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T:\Ativos Operacionais\01 - ARMAZENAGEM\02 - RELATÓRIOS\03 - CONTROLE RECEITAS E DESPESAS\"/>
    </mc:Choice>
  </mc:AlternateContent>
  <xr:revisionPtr revIDLastSave="0" documentId="13_ncr:1_{179B0693-B87B-4B1A-81C0-41B4A7EB3865}" xr6:coauthVersionLast="47" xr6:coauthVersionMax="47" xr10:uidLastSave="{00000000-0000-0000-0000-000000000000}"/>
  <bookViews>
    <workbookView xWindow="-28920" yWindow="1050" windowWidth="29040" windowHeight="15720" activeTab="1" xr2:uid="{561753EC-E43A-4A2E-BC3A-A4A96843F0FA}"/>
  </bookViews>
  <sheets>
    <sheet name="BaseRelatório" sheetId="1" r:id="rId1"/>
    <sheet name="Receitas" sheetId="8" r:id="rId2"/>
    <sheet name="BaseRelatorio v LOA" sheetId="17" state="hidden" r:id="rId3"/>
    <sheet name="BaseRelatório vOrçamento" sheetId="18" state="hidden" r:id="rId4"/>
    <sheet name="TabCondicoesComerciais" sheetId="9" r:id="rId5"/>
    <sheet name="Apoio" sheetId="7" r:id="rId6"/>
  </sheets>
  <definedNames>
    <definedName name="_xlnm._FilterDatabase" localSheetId="2" hidden="1">'BaseRelatorio v LOA'!$A$1:$H$670</definedName>
    <definedName name="_xlnm._FilterDatabase" localSheetId="3" hidden="1">'BaseRelatório vOrçamento'!$A$1:$H$702</definedName>
    <definedName name="DadosExternos_1" localSheetId="1" hidden="1">Receitas!$A$1:$O$1328</definedName>
    <definedName name="DadosExternos_2" localSheetId="4" hidden="1">TabCondicoesComerciais!$A$1:$N$74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29" i="8" l="1"/>
  <c r="K1329" i="8"/>
  <c r="L1329" i="8"/>
  <c r="M1329" i="8"/>
  <c r="P2" i="8"/>
  <c r="P3" i="8"/>
  <c r="P4" i="8"/>
  <c r="T4" i="8" s="1"/>
  <c r="P5" i="8"/>
  <c r="P6" i="8"/>
  <c r="P7" i="8"/>
  <c r="P8" i="8"/>
  <c r="P9" i="8"/>
  <c r="P10" i="8"/>
  <c r="P11" i="8"/>
  <c r="P12" i="8"/>
  <c r="T12" i="8" s="1"/>
  <c r="P13" i="8"/>
  <c r="P14" i="8"/>
  <c r="P15" i="8"/>
  <c r="P16" i="8"/>
  <c r="P17" i="8"/>
  <c r="P18" i="8"/>
  <c r="P19" i="8"/>
  <c r="P20" i="8"/>
  <c r="T20" i="8" s="1"/>
  <c r="P21" i="8"/>
  <c r="P22" i="8"/>
  <c r="P23" i="8"/>
  <c r="P24" i="8"/>
  <c r="P25" i="8"/>
  <c r="P26" i="8"/>
  <c r="P27" i="8"/>
  <c r="P28" i="8"/>
  <c r="T28" i="8" s="1"/>
  <c r="P29" i="8"/>
  <c r="P30" i="8"/>
  <c r="P31" i="8"/>
  <c r="P32" i="8"/>
  <c r="P33" i="8"/>
  <c r="P34" i="8"/>
  <c r="P35" i="8"/>
  <c r="P36" i="8"/>
  <c r="T36" i="8" s="1"/>
  <c r="P37" i="8"/>
  <c r="P38" i="8"/>
  <c r="P39" i="8"/>
  <c r="P40" i="8"/>
  <c r="P41" i="8"/>
  <c r="P42" i="8"/>
  <c r="P43" i="8"/>
  <c r="P44" i="8"/>
  <c r="T44" i="8" s="1"/>
  <c r="P45" i="8"/>
  <c r="P46" i="8"/>
  <c r="P47" i="8"/>
  <c r="P48" i="8"/>
  <c r="P49" i="8"/>
  <c r="P50" i="8"/>
  <c r="P51" i="8"/>
  <c r="P52" i="8"/>
  <c r="T52" i="8" s="1"/>
  <c r="P53" i="8"/>
  <c r="P54" i="8"/>
  <c r="P55" i="8"/>
  <c r="P56" i="8"/>
  <c r="P57" i="8"/>
  <c r="P58" i="8"/>
  <c r="P59" i="8"/>
  <c r="P60" i="8"/>
  <c r="T60" i="8" s="1"/>
  <c r="P61" i="8"/>
  <c r="P62" i="8"/>
  <c r="P63" i="8"/>
  <c r="P64" i="8"/>
  <c r="P65" i="8"/>
  <c r="P66" i="8"/>
  <c r="P67" i="8"/>
  <c r="P68" i="8"/>
  <c r="T68" i="8" s="1"/>
  <c r="P69" i="8"/>
  <c r="P70" i="8"/>
  <c r="P71" i="8"/>
  <c r="P72" i="8"/>
  <c r="P73" i="8"/>
  <c r="P74" i="8"/>
  <c r="P75" i="8"/>
  <c r="P76" i="8"/>
  <c r="T76" i="8" s="1"/>
  <c r="P77" i="8"/>
  <c r="P78" i="8"/>
  <c r="P79" i="8"/>
  <c r="P80" i="8"/>
  <c r="P81" i="8"/>
  <c r="P82" i="8"/>
  <c r="P83" i="8"/>
  <c r="P84" i="8"/>
  <c r="T84" i="8" s="1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T276" i="8" s="1"/>
  <c r="P277" i="8"/>
  <c r="P278" i="8"/>
  <c r="P279" i="8"/>
  <c r="P280" i="8"/>
  <c r="P281" i="8"/>
  <c r="P282" i="8"/>
  <c r="P283" i="8"/>
  <c r="P284" i="8"/>
  <c r="T284" i="8" s="1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T348" i="8" s="1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T476" i="8" s="1"/>
  <c r="P477" i="8"/>
  <c r="P478" i="8"/>
  <c r="P479" i="8"/>
  <c r="P480" i="8"/>
  <c r="P481" i="8"/>
  <c r="P482" i="8"/>
  <c r="P483" i="8"/>
  <c r="P484" i="8"/>
  <c r="T484" i="8" s="1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T676" i="8" s="1"/>
  <c r="P677" i="8"/>
  <c r="P678" i="8"/>
  <c r="P679" i="8"/>
  <c r="P680" i="8"/>
  <c r="P681" i="8"/>
  <c r="P682" i="8"/>
  <c r="P683" i="8"/>
  <c r="P684" i="8"/>
  <c r="T684" i="8" s="1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T772" i="8" s="1"/>
  <c r="P773" i="8"/>
  <c r="P774" i="8"/>
  <c r="P775" i="8"/>
  <c r="P776" i="8"/>
  <c r="P777" i="8"/>
  <c r="P778" i="8"/>
  <c r="P779" i="8"/>
  <c r="P780" i="8"/>
  <c r="T780" i="8" s="1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T804" i="8" s="1"/>
  <c r="P805" i="8"/>
  <c r="P806" i="8"/>
  <c r="P807" i="8"/>
  <c r="P808" i="8"/>
  <c r="P809" i="8"/>
  <c r="P810" i="8"/>
  <c r="P811" i="8"/>
  <c r="P812" i="8"/>
  <c r="T812" i="8" s="1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W677" i="8" s="1"/>
  <c r="X677" i="8" s="1"/>
  <c r="Q678" i="8"/>
  <c r="Q679" i="8"/>
  <c r="Q680" i="8"/>
  <c r="Q681" i="8"/>
  <c r="Q682" i="8"/>
  <c r="Q683" i="8"/>
  <c r="Q684" i="8"/>
  <c r="Q685" i="8"/>
  <c r="W685" i="8" s="1"/>
  <c r="Q686" i="8"/>
  <c r="Q687" i="8"/>
  <c r="Q688" i="8"/>
  <c r="Q689" i="8"/>
  <c r="Q690" i="8"/>
  <c r="Q691" i="8"/>
  <c r="Q692" i="8"/>
  <c r="Q693" i="8"/>
  <c r="W693" i="8" s="1"/>
  <c r="Q694" i="8"/>
  <c r="Q695" i="8"/>
  <c r="Q696" i="8"/>
  <c r="Q697" i="8"/>
  <c r="Q698" i="8"/>
  <c r="Q699" i="8"/>
  <c r="Q700" i="8"/>
  <c r="Q701" i="8"/>
  <c r="W701" i="8" s="1"/>
  <c r="Q702" i="8"/>
  <c r="Q703" i="8"/>
  <c r="Q704" i="8"/>
  <c r="Q705" i="8"/>
  <c r="Q706" i="8"/>
  <c r="Q707" i="8"/>
  <c r="Q708" i="8"/>
  <c r="Q709" i="8"/>
  <c r="W709" i="8" s="1"/>
  <c r="Q710" i="8"/>
  <c r="Q711" i="8"/>
  <c r="Q712" i="8"/>
  <c r="Q713" i="8"/>
  <c r="Q714" i="8"/>
  <c r="Q715" i="8"/>
  <c r="Q716" i="8"/>
  <c r="Q717" i="8"/>
  <c r="W717" i="8" s="1"/>
  <c r="Q718" i="8"/>
  <c r="Q719" i="8"/>
  <c r="Q720" i="8"/>
  <c r="Q721" i="8"/>
  <c r="Q722" i="8"/>
  <c r="Q723" i="8"/>
  <c r="Q724" i="8"/>
  <c r="Q725" i="8"/>
  <c r="W725" i="8" s="1"/>
  <c r="Q726" i="8"/>
  <c r="Q727" i="8"/>
  <c r="Q728" i="8"/>
  <c r="Q729" i="8"/>
  <c r="Q730" i="8"/>
  <c r="Q731" i="8"/>
  <c r="Q732" i="8"/>
  <c r="Q733" i="8"/>
  <c r="W733" i="8" s="1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V158" i="8" s="1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X342" i="8" s="1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  <c r="R1203" i="8"/>
  <c r="R1204" i="8"/>
  <c r="R1205" i="8"/>
  <c r="R1206" i="8"/>
  <c r="R1207" i="8"/>
  <c r="R1208" i="8"/>
  <c r="R1209" i="8"/>
  <c r="R1210" i="8"/>
  <c r="R1211" i="8"/>
  <c r="R1212" i="8"/>
  <c r="R1213" i="8"/>
  <c r="R1214" i="8"/>
  <c r="R1215" i="8"/>
  <c r="R1216" i="8"/>
  <c r="R1217" i="8"/>
  <c r="R1218" i="8"/>
  <c r="R1219" i="8"/>
  <c r="R1220" i="8"/>
  <c r="R1221" i="8"/>
  <c r="R1222" i="8"/>
  <c r="R1223" i="8"/>
  <c r="R1224" i="8"/>
  <c r="R1225" i="8"/>
  <c r="R1226" i="8"/>
  <c r="R1227" i="8"/>
  <c r="R1228" i="8"/>
  <c r="R1229" i="8"/>
  <c r="R1230" i="8"/>
  <c r="R1231" i="8"/>
  <c r="R1232" i="8"/>
  <c r="R1233" i="8"/>
  <c r="R1234" i="8"/>
  <c r="R1235" i="8"/>
  <c r="R1236" i="8"/>
  <c r="R1237" i="8"/>
  <c r="R1238" i="8"/>
  <c r="R1239" i="8"/>
  <c r="R1240" i="8"/>
  <c r="R1241" i="8"/>
  <c r="R1242" i="8"/>
  <c r="R1243" i="8"/>
  <c r="R1244" i="8"/>
  <c r="R1245" i="8"/>
  <c r="R1246" i="8"/>
  <c r="R1247" i="8"/>
  <c r="R1248" i="8"/>
  <c r="R1249" i="8"/>
  <c r="R1250" i="8"/>
  <c r="R1251" i="8"/>
  <c r="R1252" i="8"/>
  <c r="R1253" i="8"/>
  <c r="R1254" i="8"/>
  <c r="R1255" i="8"/>
  <c r="R1256" i="8"/>
  <c r="R1257" i="8"/>
  <c r="R1258" i="8"/>
  <c r="R1259" i="8"/>
  <c r="R1260" i="8"/>
  <c r="R1261" i="8"/>
  <c r="R1262" i="8"/>
  <c r="R1263" i="8"/>
  <c r="R1264" i="8"/>
  <c r="R1265" i="8"/>
  <c r="R1266" i="8"/>
  <c r="R1267" i="8"/>
  <c r="R1268" i="8"/>
  <c r="R1269" i="8"/>
  <c r="R1270" i="8"/>
  <c r="R1271" i="8"/>
  <c r="R1272" i="8"/>
  <c r="R1273" i="8"/>
  <c r="R1274" i="8"/>
  <c r="R1275" i="8"/>
  <c r="R1276" i="8"/>
  <c r="R1277" i="8"/>
  <c r="R1278" i="8"/>
  <c r="R1279" i="8"/>
  <c r="R1280" i="8"/>
  <c r="R1281" i="8"/>
  <c r="R1282" i="8"/>
  <c r="R1283" i="8"/>
  <c r="R1284" i="8"/>
  <c r="R1285" i="8"/>
  <c r="R1286" i="8"/>
  <c r="R1287" i="8"/>
  <c r="R1288" i="8"/>
  <c r="R1289" i="8"/>
  <c r="R1290" i="8"/>
  <c r="R1291" i="8"/>
  <c r="R1292" i="8"/>
  <c r="R1293" i="8"/>
  <c r="R1294" i="8"/>
  <c r="R1295" i="8"/>
  <c r="R1296" i="8"/>
  <c r="R1297" i="8"/>
  <c r="R1298" i="8"/>
  <c r="R1299" i="8"/>
  <c r="R1300" i="8"/>
  <c r="R1301" i="8"/>
  <c r="R1302" i="8"/>
  <c r="R1303" i="8"/>
  <c r="R1304" i="8"/>
  <c r="R1305" i="8"/>
  <c r="R1306" i="8"/>
  <c r="R1307" i="8"/>
  <c r="R1308" i="8"/>
  <c r="R1309" i="8"/>
  <c r="R1310" i="8"/>
  <c r="R1311" i="8"/>
  <c r="R1312" i="8"/>
  <c r="R1313" i="8"/>
  <c r="R1314" i="8"/>
  <c r="R1315" i="8"/>
  <c r="R1316" i="8"/>
  <c r="R1317" i="8"/>
  <c r="R1318" i="8"/>
  <c r="R1319" i="8"/>
  <c r="R1320" i="8"/>
  <c r="R1321" i="8"/>
  <c r="R1322" i="8"/>
  <c r="R1323" i="8"/>
  <c r="R1324" i="8"/>
  <c r="R1325" i="8"/>
  <c r="R1326" i="8"/>
  <c r="R1327" i="8"/>
  <c r="R1328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V103" i="8" s="1"/>
  <c r="S104" i="8"/>
  <c r="S105" i="8"/>
  <c r="S106" i="8"/>
  <c r="S107" i="8"/>
  <c r="S108" i="8"/>
  <c r="S109" i="8"/>
  <c r="S110" i="8"/>
  <c r="S111" i="8"/>
  <c r="V111" i="8" s="1"/>
  <c r="S112" i="8"/>
  <c r="S113" i="8"/>
  <c r="S114" i="8"/>
  <c r="S115" i="8"/>
  <c r="S116" i="8"/>
  <c r="S117" i="8"/>
  <c r="S118" i="8"/>
  <c r="S119" i="8"/>
  <c r="V119" i="8" s="1"/>
  <c r="S120" i="8"/>
  <c r="S121" i="8"/>
  <c r="S122" i="8"/>
  <c r="S123" i="8"/>
  <c r="S124" i="8"/>
  <c r="S125" i="8"/>
  <c r="S126" i="8"/>
  <c r="S127" i="8"/>
  <c r="V127" i="8" s="1"/>
  <c r="S128" i="8"/>
  <c r="S129" i="8"/>
  <c r="S130" i="8"/>
  <c r="S131" i="8"/>
  <c r="S132" i="8"/>
  <c r="S133" i="8"/>
  <c r="S134" i="8"/>
  <c r="S135" i="8"/>
  <c r="V135" i="8" s="1"/>
  <c r="S136" i="8"/>
  <c r="S137" i="8"/>
  <c r="S138" i="8"/>
  <c r="S139" i="8"/>
  <c r="S140" i="8"/>
  <c r="S141" i="8"/>
  <c r="S142" i="8"/>
  <c r="S143" i="8"/>
  <c r="V143" i="8" s="1"/>
  <c r="S144" i="8"/>
  <c r="S145" i="8"/>
  <c r="S146" i="8"/>
  <c r="S147" i="8"/>
  <c r="S148" i="8"/>
  <c r="S149" i="8"/>
  <c r="S150" i="8"/>
  <c r="S151" i="8"/>
  <c r="V151" i="8" s="1"/>
  <c r="S152" i="8"/>
  <c r="S153" i="8"/>
  <c r="S154" i="8"/>
  <c r="S155" i="8"/>
  <c r="S156" i="8"/>
  <c r="S157" i="8"/>
  <c r="S158" i="8"/>
  <c r="S159" i="8"/>
  <c r="V159" i="8" s="1"/>
  <c r="S160" i="8"/>
  <c r="S161" i="8"/>
  <c r="S162" i="8"/>
  <c r="S163" i="8"/>
  <c r="S164" i="8"/>
  <c r="S165" i="8"/>
  <c r="S166" i="8"/>
  <c r="S167" i="8"/>
  <c r="V167" i="8" s="1"/>
  <c r="S168" i="8"/>
  <c r="S169" i="8"/>
  <c r="S170" i="8"/>
  <c r="S171" i="8"/>
  <c r="S172" i="8"/>
  <c r="S173" i="8"/>
  <c r="S174" i="8"/>
  <c r="S175" i="8"/>
  <c r="V175" i="8" s="1"/>
  <c r="S176" i="8"/>
  <c r="S177" i="8"/>
  <c r="S178" i="8"/>
  <c r="S179" i="8"/>
  <c r="S180" i="8"/>
  <c r="S181" i="8"/>
  <c r="S182" i="8"/>
  <c r="S183" i="8"/>
  <c r="V183" i="8" s="1"/>
  <c r="S184" i="8"/>
  <c r="S185" i="8"/>
  <c r="S186" i="8"/>
  <c r="S187" i="8"/>
  <c r="S188" i="8"/>
  <c r="S189" i="8"/>
  <c r="S190" i="8"/>
  <c r="S191" i="8"/>
  <c r="V191" i="8" s="1"/>
  <c r="S192" i="8"/>
  <c r="S193" i="8"/>
  <c r="S194" i="8"/>
  <c r="S195" i="8"/>
  <c r="S196" i="8"/>
  <c r="S197" i="8"/>
  <c r="S198" i="8"/>
  <c r="S199" i="8"/>
  <c r="V199" i="8" s="1"/>
  <c r="S200" i="8"/>
  <c r="S201" i="8"/>
  <c r="S202" i="8"/>
  <c r="S203" i="8"/>
  <c r="S204" i="8"/>
  <c r="S205" i="8"/>
  <c r="S206" i="8"/>
  <c r="S207" i="8"/>
  <c r="V207" i="8" s="1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V223" i="8" s="1"/>
  <c r="S224" i="8"/>
  <c r="S225" i="8"/>
  <c r="S226" i="8"/>
  <c r="S227" i="8"/>
  <c r="S228" i="8"/>
  <c r="S229" i="8"/>
  <c r="S230" i="8"/>
  <c r="S231" i="8"/>
  <c r="V231" i="8" s="1"/>
  <c r="S232" i="8"/>
  <c r="S233" i="8"/>
  <c r="S234" i="8"/>
  <c r="S235" i="8"/>
  <c r="S236" i="8"/>
  <c r="S237" i="8"/>
  <c r="S238" i="8"/>
  <c r="S239" i="8"/>
  <c r="V239" i="8" s="1"/>
  <c r="S240" i="8"/>
  <c r="S241" i="8"/>
  <c r="S242" i="8"/>
  <c r="S243" i="8"/>
  <c r="S244" i="8"/>
  <c r="S245" i="8"/>
  <c r="S246" i="8"/>
  <c r="S247" i="8"/>
  <c r="V247" i="8" s="1"/>
  <c r="S248" i="8"/>
  <c r="S249" i="8"/>
  <c r="S250" i="8"/>
  <c r="S251" i="8"/>
  <c r="S252" i="8"/>
  <c r="S253" i="8"/>
  <c r="S254" i="8"/>
  <c r="S255" i="8"/>
  <c r="V255" i="8" s="1"/>
  <c r="S256" i="8"/>
  <c r="S257" i="8"/>
  <c r="S258" i="8"/>
  <c r="S259" i="8"/>
  <c r="S260" i="8"/>
  <c r="S261" i="8"/>
  <c r="S262" i="8"/>
  <c r="S263" i="8"/>
  <c r="V263" i="8" s="1"/>
  <c r="S264" i="8"/>
  <c r="S265" i="8"/>
  <c r="S266" i="8"/>
  <c r="S267" i="8"/>
  <c r="S268" i="8"/>
  <c r="S269" i="8"/>
  <c r="S270" i="8"/>
  <c r="S271" i="8"/>
  <c r="V271" i="8" s="1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V343" i="8" s="1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V407" i="8" s="1"/>
  <c r="S408" i="8"/>
  <c r="S409" i="8"/>
  <c r="S410" i="8"/>
  <c r="S411" i="8"/>
  <c r="S412" i="8"/>
  <c r="S413" i="8"/>
  <c r="S414" i="8"/>
  <c r="S415" i="8"/>
  <c r="V415" i="8" s="1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V543" i="8" s="1"/>
  <c r="S544" i="8"/>
  <c r="S545" i="8"/>
  <c r="S546" i="8"/>
  <c r="S547" i="8"/>
  <c r="S548" i="8"/>
  <c r="S549" i="8"/>
  <c r="S550" i="8"/>
  <c r="S551" i="8"/>
  <c r="V551" i="8" s="1"/>
  <c r="S552" i="8"/>
  <c r="S553" i="8"/>
  <c r="S554" i="8"/>
  <c r="S555" i="8"/>
  <c r="S556" i="8"/>
  <c r="S557" i="8"/>
  <c r="S558" i="8"/>
  <c r="S559" i="8"/>
  <c r="V559" i="8" s="1"/>
  <c r="S560" i="8"/>
  <c r="S561" i="8"/>
  <c r="S562" i="8"/>
  <c r="S563" i="8"/>
  <c r="S564" i="8"/>
  <c r="S565" i="8"/>
  <c r="S566" i="8"/>
  <c r="S567" i="8"/>
  <c r="V567" i="8" s="1"/>
  <c r="S568" i="8"/>
  <c r="S569" i="8"/>
  <c r="S570" i="8"/>
  <c r="S571" i="8"/>
  <c r="S572" i="8"/>
  <c r="S573" i="8"/>
  <c r="S574" i="8"/>
  <c r="S575" i="8"/>
  <c r="V575" i="8" s="1"/>
  <c r="S576" i="8"/>
  <c r="S577" i="8"/>
  <c r="S578" i="8"/>
  <c r="S579" i="8"/>
  <c r="S580" i="8"/>
  <c r="S581" i="8"/>
  <c r="S582" i="8"/>
  <c r="S583" i="8"/>
  <c r="V583" i="8" s="1"/>
  <c r="S584" i="8"/>
  <c r="S585" i="8"/>
  <c r="S586" i="8"/>
  <c r="S587" i="8"/>
  <c r="S588" i="8"/>
  <c r="S589" i="8"/>
  <c r="S590" i="8"/>
  <c r="S591" i="8"/>
  <c r="V591" i="8" s="1"/>
  <c r="S592" i="8"/>
  <c r="S593" i="8"/>
  <c r="S594" i="8"/>
  <c r="S595" i="8"/>
  <c r="S596" i="8"/>
  <c r="S597" i="8"/>
  <c r="S598" i="8"/>
  <c r="S599" i="8"/>
  <c r="V599" i="8" s="1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V623" i="8" s="1"/>
  <c r="S624" i="8"/>
  <c r="S625" i="8"/>
  <c r="S626" i="8"/>
  <c r="S627" i="8"/>
  <c r="S628" i="8"/>
  <c r="S629" i="8"/>
  <c r="S630" i="8"/>
  <c r="S631" i="8"/>
  <c r="V631" i="8" s="1"/>
  <c r="S632" i="8"/>
  <c r="S633" i="8"/>
  <c r="S634" i="8"/>
  <c r="S635" i="8"/>
  <c r="S636" i="8"/>
  <c r="S637" i="8"/>
  <c r="S638" i="8"/>
  <c r="S639" i="8"/>
  <c r="V639" i="8" s="1"/>
  <c r="S640" i="8"/>
  <c r="S641" i="8"/>
  <c r="S642" i="8"/>
  <c r="S643" i="8"/>
  <c r="S644" i="8"/>
  <c r="S645" i="8"/>
  <c r="S646" i="8"/>
  <c r="S647" i="8"/>
  <c r="V647" i="8" s="1"/>
  <c r="S648" i="8"/>
  <c r="S649" i="8"/>
  <c r="S650" i="8"/>
  <c r="S651" i="8"/>
  <c r="S652" i="8"/>
  <c r="S653" i="8"/>
  <c r="S654" i="8"/>
  <c r="S655" i="8"/>
  <c r="V655" i="8" s="1"/>
  <c r="S656" i="8"/>
  <c r="S657" i="8"/>
  <c r="S658" i="8"/>
  <c r="S659" i="8"/>
  <c r="S660" i="8"/>
  <c r="S661" i="8"/>
  <c r="S662" i="8"/>
  <c r="S663" i="8"/>
  <c r="V663" i="8" s="1"/>
  <c r="S664" i="8"/>
  <c r="S665" i="8"/>
  <c r="S666" i="8"/>
  <c r="S667" i="8"/>
  <c r="S668" i="8"/>
  <c r="S669" i="8"/>
  <c r="S670" i="8"/>
  <c r="S671" i="8"/>
  <c r="V671" i="8" s="1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V743" i="8" s="1"/>
  <c r="S744" i="8"/>
  <c r="S745" i="8"/>
  <c r="S746" i="8"/>
  <c r="S747" i="8"/>
  <c r="S748" i="8"/>
  <c r="S749" i="8"/>
  <c r="S750" i="8"/>
  <c r="S751" i="8"/>
  <c r="V751" i="8" s="1"/>
  <c r="S752" i="8"/>
  <c r="S753" i="8"/>
  <c r="S754" i="8"/>
  <c r="S755" i="8"/>
  <c r="S756" i="8"/>
  <c r="S757" i="8"/>
  <c r="S758" i="8"/>
  <c r="S759" i="8"/>
  <c r="V759" i="8" s="1"/>
  <c r="S760" i="8"/>
  <c r="S761" i="8"/>
  <c r="S762" i="8"/>
  <c r="S763" i="8"/>
  <c r="S764" i="8"/>
  <c r="S765" i="8"/>
  <c r="S766" i="8"/>
  <c r="S767" i="8"/>
  <c r="V767" i="8" s="1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V791" i="8" s="1"/>
  <c r="S792" i="8"/>
  <c r="S793" i="8"/>
  <c r="S794" i="8"/>
  <c r="S795" i="8"/>
  <c r="S796" i="8"/>
  <c r="S797" i="8"/>
  <c r="S798" i="8"/>
  <c r="S799" i="8"/>
  <c r="V799" i="8" s="1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V815" i="8" s="1"/>
  <c r="S816" i="8"/>
  <c r="S817" i="8"/>
  <c r="S818" i="8"/>
  <c r="S819" i="8"/>
  <c r="S820" i="8"/>
  <c r="S821" i="8"/>
  <c r="S822" i="8"/>
  <c r="S823" i="8"/>
  <c r="V823" i="8" s="1"/>
  <c r="S824" i="8"/>
  <c r="S825" i="8"/>
  <c r="S826" i="8"/>
  <c r="S827" i="8"/>
  <c r="S828" i="8"/>
  <c r="S829" i="8"/>
  <c r="S830" i="8"/>
  <c r="S831" i="8"/>
  <c r="V831" i="8" s="1"/>
  <c r="S832" i="8"/>
  <c r="S833" i="8"/>
  <c r="S834" i="8"/>
  <c r="S835" i="8"/>
  <c r="S836" i="8"/>
  <c r="S837" i="8"/>
  <c r="S838" i="8"/>
  <c r="S839" i="8"/>
  <c r="V839" i="8" s="1"/>
  <c r="S840" i="8"/>
  <c r="S841" i="8"/>
  <c r="S842" i="8"/>
  <c r="S843" i="8"/>
  <c r="S844" i="8"/>
  <c r="S845" i="8"/>
  <c r="S846" i="8"/>
  <c r="S847" i="8"/>
  <c r="V847" i="8" s="1"/>
  <c r="S848" i="8"/>
  <c r="S849" i="8"/>
  <c r="S850" i="8"/>
  <c r="S851" i="8"/>
  <c r="S852" i="8"/>
  <c r="S853" i="8"/>
  <c r="S854" i="8"/>
  <c r="S855" i="8"/>
  <c r="V855" i="8" s="1"/>
  <c r="S856" i="8"/>
  <c r="S857" i="8"/>
  <c r="S858" i="8"/>
  <c r="S859" i="8"/>
  <c r="S860" i="8"/>
  <c r="S861" i="8"/>
  <c r="S862" i="8"/>
  <c r="S863" i="8"/>
  <c r="V863" i="8" s="1"/>
  <c r="S864" i="8"/>
  <c r="S865" i="8"/>
  <c r="S866" i="8"/>
  <c r="S867" i="8"/>
  <c r="S868" i="8"/>
  <c r="S869" i="8"/>
  <c r="S870" i="8"/>
  <c r="S871" i="8"/>
  <c r="V871" i="8" s="1"/>
  <c r="S872" i="8"/>
  <c r="S873" i="8"/>
  <c r="S874" i="8"/>
  <c r="S875" i="8"/>
  <c r="S876" i="8"/>
  <c r="S877" i="8"/>
  <c r="S878" i="8"/>
  <c r="S879" i="8"/>
  <c r="V879" i="8" s="1"/>
  <c r="S880" i="8"/>
  <c r="S881" i="8"/>
  <c r="S882" i="8"/>
  <c r="S883" i="8"/>
  <c r="S884" i="8"/>
  <c r="S885" i="8"/>
  <c r="S886" i="8"/>
  <c r="S887" i="8"/>
  <c r="V887" i="8" s="1"/>
  <c r="S888" i="8"/>
  <c r="S889" i="8"/>
  <c r="S890" i="8"/>
  <c r="S891" i="8"/>
  <c r="S892" i="8"/>
  <c r="S893" i="8"/>
  <c r="S894" i="8"/>
  <c r="S895" i="8"/>
  <c r="V895" i="8" s="1"/>
  <c r="S896" i="8"/>
  <c r="S897" i="8"/>
  <c r="S898" i="8"/>
  <c r="S899" i="8"/>
  <c r="S900" i="8"/>
  <c r="S901" i="8"/>
  <c r="S902" i="8"/>
  <c r="S903" i="8"/>
  <c r="V903" i="8" s="1"/>
  <c r="S904" i="8"/>
  <c r="S905" i="8"/>
  <c r="S906" i="8"/>
  <c r="S907" i="8"/>
  <c r="S908" i="8"/>
  <c r="S909" i="8"/>
  <c r="S910" i="8"/>
  <c r="S911" i="8"/>
  <c r="V911" i="8" s="1"/>
  <c r="S912" i="8"/>
  <c r="S913" i="8"/>
  <c r="S914" i="8"/>
  <c r="S915" i="8"/>
  <c r="S916" i="8"/>
  <c r="S917" i="8"/>
  <c r="S918" i="8"/>
  <c r="S919" i="8"/>
  <c r="V919" i="8" s="1"/>
  <c r="S920" i="8"/>
  <c r="S921" i="8"/>
  <c r="S922" i="8"/>
  <c r="S923" i="8"/>
  <c r="S924" i="8"/>
  <c r="S925" i="8"/>
  <c r="S926" i="8"/>
  <c r="S927" i="8"/>
  <c r="V927" i="8" s="1"/>
  <c r="S928" i="8"/>
  <c r="S929" i="8"/>
  <c r="S930" i="8"/>
  <c r="S931" i="8"/>
  <c r="S932" i="8"/>
  <c r="S933" i="8"/>
  <c r="S934" i="8"/>
  <c r="S935" i="8"/>
  <c r="V935" i="8" s="1"/>
  <c r="S936" i="8"/>
  <c r="S937" i="8"/>
  <c r="S938" i="8"/>
  <c r="S939" i="8"/>
  <c r="S940" i="8"/>
  <c r="S941" i="8"/>
  <c r="S942" i="8"/>
  <c r="S943" i="8"/>
  <c r="V943" i="8" s="1"/>
  <c r="S944" i="8"/>
  <c r="S945" i="8"/>
  <c r="S946" i="8"/>
  <c r="S947" i="8"/>
  <c r="S948" i="8"/>
  <c r="S949" i="8"/>
  <c r="S950" i="8"/>
  <c r="S951" i="8"/>
  <c r="V951" i="8" s="1"/>
  <c r="S952" i="8"/>
  <c r="S953" i="8"/>
  <c r="S954" i="8"/>
  <c r="S955" i="8"/>
  <c r="S956" i="8"/>
  <c r="S957" i="8"/>
  <c r="S958" i="8"/>
  <c r="S959" i="8"/>
  <c r="V959" i="8" s="1"/>
  <c r="S960" i="8"/>
  <c r="S961" i="8"/>
  <c r="S962" i="8"/>
  <c r="S963" i="8"/>
  <c r="S964" i="8"/>
  <c r="S965" i="8"/>
  <c r="S966" i="8"/>
  <c r="S967" i="8"/>
  <c r="V967" i="8" s="1"/>
  <c r="S968" i="8"/>
  <c r="S969" i="8"/>
  <c r="S970" i="8"/>
  <c r="S971" i="8"/>
  <c r="S972" i="8"/>
  <c r="S973" i="8"/>
  <c r="S974" i="8"/>
  <c r="S975" i="8"/>
  <c r="V975" i="8" s="1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V991" i="8" s="1"/>
  <c r="S992" i="8"/>
  <c r="S993" i="8"/>
  <c r="S994" i="8"/>
  <c r="S995" i="8"/>
  <c r="S996" i="8"/>
  <c r="S997" i="8"/>
  <c r="S998" i="8"/>
  <c r="S999" i="8"/>
  <c r="V999" i="8" s="1"/>
  <c r="S1000" i="8"/>
  <c r="S1001" i="8"/>
  <c r="S1002" i="8"/>
  <c r="S1003" i="8"/>
  <c r="S1004" i="8"/>
  <c r="S1005" i="8"/>
  <c r="S1006" i="8"/>
  <c r="S1007" i="8"/>
  <c r="V1007" i="8" s="1"/>
  <c r="S1008" i="8"/>
  <c r="S1009" i="8"/>
  <c r="S1010" i="8"/>
  <c r="S1011" i="8"/>
  <c r="S1012" i="8"/>
  <c r="S1013" i="8"/>
  <c r="S1014" i="8"/>
  <c r="S1015" i="8"/>
  <c r="V1015" i="8" s="1"/>
  <c r="S1016" i="8"/>
  <c r="S1017" i="8"/>
  <c r="S1018" i="8"/>
  <c r="S1019" i="8"/>
  <c r="S1020" i="8"/>
  <c r="S1021" i="8"/>
  <c r="S1022" i="8"/>
  <c r="S1023" i="8"/>
  <c r="V1023" i="8" s="1"/>
  <c r="S1024" i="8"/>
  <c r="S1025" i="8"/>
  <c r="S1026" i="8"/>
  <c r="S1027" i="8"/>
  <c r="S1028" i="8"/>
  <c r="S1029" i="8"/>
  <c r="S1030" i="8"/>
  <c r="S1031" i="8"/>
  <c r="V1031" i="8" s="1"/>
  <c r="S1032" i="8"/>
  <c r="S1033" i="8"/>
  <c r="S1034" i="8"/>
  <c r="S1035" i="8"/>
  <c r="S1036" i="8"/>
  <c r="S1037" i="8"/>
  <c r="S1038" i="8"/>
  <c r="S1039" i="8"/>
  <c r="V1039" i="8" s="1"/>
  <c r="S1040" i="8"/>
  <c r="S1041" i="8"/>
  <c r="S1042" i="8"/>
  <c r="S1043" i="8"/>
  <c r="S1044" i="8"/>
  <c r="S1045" i="8"/>
  <c r="S1046" i="8"/>
  <c r="S1047" i="8"/>
  <c r="V1047" i="8" s="1"/>
  <c r="S1048" i="8"/>
  <c r="S1049" i="8"/>
  <c r="S1050" i="8"/>
  <c r="S1051" i="8"/>
  <c r="S1052" i="8"/>
  <c r="S1053" i="8"/>
  <c r="S1054" i="8"/>
  <c r="S1055" i="8"/>
  <c r="V1055" i="8" s="1"/>
  <c r="S1056" i="8"/>
  <c r="S1057" i="8"/>
  <c r="S1058" i="8"/>
  <c r="S1059" i="8"/>
  <c r="S1060" i="8"/>
  <c r="S1061" i="8"/>
  <c r="S1062" i="8"/>
  <c r="S1063" i="8"/>
  <c r="V1063" i="8" s="1"/>
  <c r="S1064" i="8"/>
  <c r="S1065" i="8"/>
  <c r="S1066" i="8"/>
  <c r="S1067" i="8"/>
  <c r="S1068" i="8"/>
  <c r="S1069" i="8"/>
  <c r="S1070" i="8"/>
  <c r="S1071" i="8"/>
  <c r="V1071" i="8" s="1"/>
  <c r="S1072" i="8"/>
  <c r="S1073" i="8"/>
  <c r="S1074" i="8"/>
  <c r="S1075" i="8"/>
  <c r="S1076" i="8"/>
  <c r="S1077" i="8"/>
  <c r="S1078" i="8"/>
  <c r="S1079" i="8"/>
  <c r="V1079" i="8" s="1"/>
  <c r="S1080" i="8"/>
  <c r="S1081" i="8"/>
  <c r="S1082" i="8"/>
  <c r="S1083" i="8"/>
  <c r="S1084" i="8"/>
  <c r="S1085" i="8"/>
  <c r="S1086" i="8"/>
  <c r="S1087" i="8"/>
  <c r="V1087" i="8" s="1"/>
  <c r="S1088" i="8"/>
  <c r="S1089" i="8"/>
  <c r="S1090" i="8"/>
  <c r="S1091" i="8"/>
  <c r="S1092" i="8"/>
  <c r="S1093" i="8"/>
  <c r="S1094" i="8"/>
  <c r="S1095" i="8"/>
  <c r="V1095" i="8" s="1"/>
  <c r="S1096" i="8"/>
  <c r="S1097" i="8"/>
  <c r="S1098" i="8"/>
  <c r="S1099" i="8"/>
  <c r="S1100" i="8"/>
  <c r="S1101" i="8"/>
  <c r="S1102" i="8"/>
  <c r="S1103" i="8"/>
  <c r="V1103" i="8" s="1"/>
  <c r="S1104" i="8"/>
  <c r="S1105" i="8"/>
  <c r="S1106" i="8"/>
  <c r="S1107" i="8"/>
  <c r="S1108" i="8"/>
  <c r="S1109" i="8"/>
  <c r="S1110" i="8"/>
  <c r="S1111" i="8"/>
  <c r="V1111" i="8" s="1"/>
  <c r="S1112" i="8"/>
  <c r="S1113" i="8"/>
  <c r="S1114" i="8"/>
  <c r="S1115" i="8"/>
  <c r="S1116" i="8"/>
  <c r="S1117" i="8"/>
  <c r="S1118" i="8"/>
  <c r="S1119" i="8"/>
  <c r="V1119" i="8" s="1"/>
  <c r="S1120" i="8"/>
  <c r="S1121" i="8"/>
  <c r="S1122" i="8"/>
  <c r="S1123" i="8"/>
  <c r="S1124" i="8"/>
  <c r="S1125" i="8"/>
  <c r="S1126" i="8"/>
  <c r="S1127" i="8"/>
  <c r="V1127" i="8" s="1"/>
  <c r="S1128" i="8"/>
  <c r="S1129" i="8"/>
  <c r="S1130" i="8"/>
  <c r="S1131" i="8"/>
  <c r="S1132" i="8"/>
  <c r="S1133" i="8"/>
  <c r="S1134" i="8"/>
  <c r="S1135" i="8"/>
  <c r="V1135" i="8" s="1"/>
  <c r="S1136" i="8"/>
  <c r="S1137" i="8"/>
  <c r="S1138" i="8"/>
  <c r="S1139" i="8"/>
  <c r="S1140" i="8"/>
  <c r="S1141" i="8"/>
  <c r="S1142" i="8"/>
  <c r="S1143" i="8"/>
  <c r="V1143" i="8" s="1"/>
  <c r="S1144" i="8"/>
  <c r="S1145" i="8"/>
  <c r="S1146" i="8"/>
  <c r="S1147" i="8"/>
  <c r="S1148" i="8"/>
  <c r="S1149" i="8"/>
  <c r="S1150" i="8"/>
  <c r="S1151" i="8"/>
  <c r="V1151" i="8" s="1"/>
  <c r="S1152" i="8"/>
  <c r="S1153" i="8"/>
  <c r="S1154" i="8"/>
  <c r="S1155" i="8"/>
  <c r="S1156" i="8"/>
  <c r="S1157" i="8"/>
  <c r="S1158" i="8"/>
  <c r="S1159" i="8"/>
  <c r="V1159" i="8" s="1"/>
  <c r="S1160" i="8"/>
  <c r="S1161" i="8"/>
  <c r="S1162" i="8"/>
  <c r="S1163" i="8"/>
  <c r="S1164" i="8"/>
  <c r="S1165" i="8"/>
  <c r="S1166" i="8"/>
  <c r="S1167" i="8"/>
  <c r="V1167" i="8" s="1"/>
  <c r="S1168" i="8"/>
  <c r="S1169" i="8"/>
  <c r="S1170" i="8"/>
  <c r="S1171" i="8"/>
  <c r="S1172" i="8"/>
  <c r="S1173" i="8"/>
  <c r="S1174" i="8"/>
  <c r="S1175" i="8"/>
  <c r="V1175" i="8" s="1"/>
  <c r="S1176" i="8"/>
  <c r="S1177" i="8"/>
  <c r="S1178" i="8"/>
  <c r="S1179" i="8"/>
  <c r="S1180" i="8"/>
  <c r="S1181" i="8"/>
  <c r="S1182" i="8"/>
  <c r="S1183" i="8"/>
  <c r="V1183" i="8" s="1"/>
  <c r="S1184" i="8"/>
  <c r="S1185" i="8"/>
  <c r="S1186" i="8"/>
  <c r="S1187" i="8"/>
  <c r="S1188" i="8"/>
  <c r="S1189" i="8"/>
  <c r="S1190" i="8"/>
  <c r="S1191" i="8"/>
  <c r="V1191" i="8" s="1"/>
  <c r="S1192" i="8"/>
  <c r="S1193" i="8"/>
  <c r="S1194" i="8"/>
  <c r="S1195" i="8"/>
  <c r="S1196" i="8"/>
  <c r="S1197" i="8"/>
  <c r="S1198" i="8"/>
  <c r="S1199" i="8"/>
  <c r="V1199" i="8" s="1"/>
  <c r="S1200" i="8"/>
  <c r="S1201" i="8"/>
  <c r="S1202" i="8"/>
  <c r="S1203" i="8"/>
  <c r="S1204" i="8"/>
  <c r="S1205" i="8"/>
  <c r="S1206" i="8"/>
  <c r="S1207" i="8"/>
  <c r="V1207" i="8" s="1"/>
  <c r="S1208" i="8"/>
  <c r="S1209" i="8"/>
  <c r="S1210" i="8"/>
  <c r="S1211" i="8"/>
  <c r="S1212" i="8"/>
  <c r="S1213" i="8"/>
  <c r="S1214" i="8"/>
  <c r="S1215" i="8"/>
  <c r="V1215" i="8" s="1"/>
  <c r="S1216" i="8"/>
  <c r="S1217" i="8"/>
  <c r="S1218" i="8"/>
  <c r="S1219" i="8"/>
  <c r="S1220" i="8"/>
  <c r="S1221" i="8"/>
  <c r="S1222" i="8"/>
  <c r="S1223" i="8"/>
  <c r="V1223" i="8" s="1"/>
  <c r="S1224" i="8"/>
  <c r="S1225" i="8"/>
  <c r="S1226" i="8"/>
  <c r="S1227" i="8"/>
  <c r="S1228" i="8"/>
  <c r="S1229" i="8"/>
  <c r="S1230" i="8"/>
  <c r="S1231" i="8"/>
  <c r="V1231" i="8" s="1"/>
  <c r="S1232" i="8"/>
  <c r="S1233" i="8"/>
  <c r="S1234" i="8"/>
  <c r="S1235" i="8"/>
  <c r="S1236" i="8"/>
  <c r="S1237" i="8"/>
  <c r="S1238" i="8"/>
  <c r="S1239" i="8"/>
  <c r="V1239" i="8" s="1"/>
  <c r="S1240" i="8"/>
  <c r="S1241" i="8"/>
  <c r="S1242" i="8"/>
  <c r="S1243" i="8"/>
  <c r="S1244" i="8"/>
  <c r="S1245" i="8"/>
  <c r="S1246" i="8"/>
  <c r="S1247" i="8"/>
  <c r="V1247" i="8" s="1"/>
  <c r="S1248" i="8"/>
  <c r="S1249" i="8"/>
  <c r="S1250" i="8"/>
  <c r="S1251" i="8"/>
  <c r="S1252" i="8"/>
  <c r="S1253" i="8"/>
  <c r="S1254" i="8"/>
  <c r="S1255" i="8"/>
  <c r="V1255" i="8" s="1"/>
  <c r="S1256" i="8"/>
  <c r="S1257" i="8"/>
  <c r="S1258" i="8"/>
  <c r="S1259" i="8"/>
  <c r="S1260" i="8"/>
  <c r="S1261" i="8"/>
  <c r="S1262" i="8"/>
  <c r="S1263" i="8"/>
  <c r="V1263" i="8" s="1"/>
  <c r="S1264" i="8"/>
  <c r="S1265" i="8"/>
  <c r="S1266" i="8"/>
  <c r="S1267" i="8"/>
  <c r="S1268" i="8"/>
  <c r="S1269" i="8"/>
  <c r="S1270" i="8"/>
  <c r="S1271" i="8"/>
  <c r="V1271" i="8" s="1"/>
  <c r="S1272" i="8"/>
  <c r="S1273" i="8"/>
  <c r="S1274" i="8"/>
  <c r="S1275" i="8"/>
  <c r="S1276" i="8"/>
  <c r="S1277" i="8"/>
  <c r="S1278" i="8"/>
  <c r="S1279" i="8"/>
  <c r="V1279" i="8" s="1"/>
  <c r="S1280" i="8"/>
  <c r="S1281" i="8"/>
  <c r="S1282" i="8"/>
  <c r="S1283" i="8"/>
  <c r="S1284" i="8"/>
  <c r="S1285" i="8"/>
  <c r="S1286" i="8"/>
  <c r="S1287" i="8"/>
  <c r="V1287" i="8" s="1"/>
  <c r="S1288" i="8"/>
  <c r="S1289" i="8"/>
  <c r="S1290" i="8"/>
  <c r="S1291" i="8"/>
  <c r="S1292" i="8"/>
  <c r="S1293" i="8"/>
  <c r="S1294" i="8"/>
  <c r="S1295" i="8"/>
  <c r="V1295" i="8" s="1"/>
  <c r="S1296" i="8"/>
  <c r="S1297" i="8"/>
  <c r="S1298" i="8"/>
  <c r="S1299" i="8"/>
  <c r="S1300" i="8"/>
  <c r="S1301" i="8"/>
  <c r="S1302" i="8"/>
  <c r="S1303" i="8"/>
  <c r="V1303" i="8" s="1"/>
  <c r="S1304" i="8"/>
  <c r="S1305" i="8"/>
  <c r="S1306" i="8"/>
  <c r="S1307" i="8"/>
  <c r="S1308" i="8"/>
  <c r="S1309" i="8"/>
  <c r="S1310" i="8"/>
  <c r="S1311" i="8"/>
  <c r="V1311" i="8" s="1"/>
  <c r="S1312" i="8"/>
  <c r="S1313" i="8"/>
  <c r="S1314" i="8"/>
  <c r="S1315" i="8"/>
  <c r="S1316" i="8"/>
  <c r="S1317" i="8"/>
  <c r="S1318" i="8"/>
  <c r="S1319" i="8"/>
  <c r="V1319" i="8" s="1"/>
  <c r="S1320" i="8"/>
  <c r="S1321" i="8"/>
  <c r="S1322" i="8"/>
  <c r="S1323" i="8"/>
  <c r="S1324" i="8"/>
  <c r="S1325" i="8"/>
  <c r="S1326" i="8"/>
  <c r="S1327" i="8"/>
  <c r="V1327" i="8" s="1"/>
  <c r="S1328" i="8"/>
  <c r="T2" i="8"/>
  <c r="T3" i="8"/>
  <c r="T5" i="8"/>
  <c r="T6" i="8"/>
  <c r="T7" i="8"/>
  <c r="T8" i="8"/>
  <c r="T9" i="8"/>
  <c r="T10" i="8"/>
  <c r="T11" i="8"/>
  <c r="T13" i="8"/>
  <c r="T14" i="8"/>
  <c r="T15" i="8"/>
  <c r="T16" i="8"/>
  <c r="T17" i="8"/>
  <c r="T18" i="8"/>
  <c r="T19" i="8"/>
  <c r="T21" i="8"/>
  <c r="T22" i="8"/>
  <c r="T23" i="8"/>
  <c r="T24" i="8"/>
  <c r="T25" i="8"/>
  <c r="T26" i="8"/>
  <c r="T27" i="8"/>
  <c r="T29" i="8"/>
  <c r="T30" i="8"/>
  <c r="T31" i="8"/>
  <c r="T32" i="8"/>
  <c r="T33" i="8"/>
  <c r="T34" i="8"/>
  <c r="T35" i="8"/>
  <c r="T37" i="8"/>
  <c r="T38" i="8"/>
  <c r="T39" i="8"/>
  <c r="T40" i="8"/>
  <c r="T41" i="8"/>
  <c r="T42" i="8"/>
  <c r="T43" i="8"/>
  <c r="T45" i="8"/>
  <c r="T46" i="8"/>
  <c r="T47" i="8"/>
  <c r="T48" i="8"/>
  <c r="T49" i="8"/>
  <c r="T50" i="8"/>
  <c r="T51" i="8"/>
  <c r="T53" i="8"/>
  <c r="T54" i="8"/>
  <c r="T55" i="8"/>
  <c r="T56" i="8"/>
  <c r="T57" i="8"/>
  <c r="T58" i="8"/>
  <c r="T59" i="8"/>
  <c r="T61" i="8"/>
  <c r="T62" i="8"/>
  <c r="T63" i="8"/>
  <c r="T64" i="8"/>
  <c r="X64" i="8" s="1"/>
  <c r="T65" i="8"/>
  <c r="T66" i="8"/>
  <c r="T67" i="8"/>
  <c r="T69" i="8"/>
  <c r="T70" i="8"/>
  <c r="T71" i="8"/>
  <c r="T72" i="8"/>
  <c r="T73" i="8"/>
  <c r="T74" i="8"/>
  <c r="T75" i="8"/>
  <c r="T77" i="8"/>
  <c r="T78" i="8"/>
  <c r="T79" i="8"/>
  <c r="T80" i="8"/>
  <c r="T81" i="8"/>
  <c r="T82" i="8"/>
  <c r="T83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X99" i="8" s="1"/>
  <c r="T100" i="8"/>
  <c r="T101" i="8"/>
  <c r="T102" i="8"/>
  <c r="T103" i="8"/>
  <c r="T104" i="8"/>
  <c r="T105" i="8"/>
  <c r="T106" i="8"/>
  <c r="T107" i="8"/>
  <c r="X107" i="8" s="1"/>
  <c r="T108" i="8"/>
  <c r="T109" i="8"/>
  <c r="T110" i="8"/>
  <c r="T111" i="8"/>
  <c r="T112" i="8"/>
  <c r="T113" i="8"/>
  <c r="T114" i="8"/>
  <c r="T115" i="8"/>
  <c r="X115" i="8" s="1"/>
  <c r="T116" i="8"/>
  <c r="T117" i="8"/>
  <c r="T118" i="8"/>
  <c r="T119" i="8"/>
  <c r="T120" i="8"/>
  <c r="T121" i="8"/>
  <c r="T122" i="8"/>
  <c r="T123" i="8"/>
  <c r="X123" i="8" s="1"/>
  <c r="T124" i="8"/>
  <c r="T125" i="8"/>
  <c r="T126" i="8"/>
  <c r="T127" i="8"/>
  <c r="T128" i="8"/>
  <c r="T129" i="8"/>
  <c r="T130" i="8"/>
  <c r="T131" i="8"/>
  <c r="X131" i="8" s="1"/>
  <c r="T132" i="8"/>
  <c r="T133" i="8"/>
  <c r="T134" i="8"/>
  <c r="T135" i="8"/>
  <c r="T136" i="8"/>
  <c r="T137" i="8"/>
  <c r="T138" i="8"/>
  <c r="T139" i="8"/>
  <c r="X139" i="8" s="1"/>
  <c r="T140" i="8"/>
  <c r="T141" i="8"/>
  <c r="T142" i="8"/>
  <c r="T143" i="8"/>
  <c r="T144" i="8"/>
  <c r="T145" i="8"/>
  <c r="T146" i="8"/>
  <c r="T147" i="8"/>
  <c r="X147" i="8" s="1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X163" i="8" s="1"/>
  <c r="T164" i="8"/>
  <c r="T165" i="8"/>
  <c r="T166" i="8"/>
  <c r="T167" i="8"/>
  <c r="T168" i="8"/>
  <c r="T169" i="8"/>
  <c r="T170" i="8"/>
  <c r="T171" i="8"/>
  <c r="X171" i="8" s="1"/>
  <c r="T172" i="8"/>
  <c r="T173" i="8"/>
  <c r="T174" i="8"/>
  <c r="T175" i="8"/>
  <c r="T176" i="8"/>
  <c r="T177" i="8"/>
  <c r="T178" i="8"/>
  <c r="T179" i="8"/>
  <c r="X179" i="8" s="1"/>
  <c r="T180" i="8"/>
  <c r="T181" i="8"/>
  <c r="T182" i="8"/>
  <c r="T183" i="8"/>
  <c r="T184" i="8"/>
  <c r="T185" i="8"/>
  <c r="T186" i="8"/>
  <c r="T187" i="8"/>
  <c r="X187" i="8" s="1"/>
  <c r="T188" i="8"/>
  <c r="T189" i="8"/>
  <c r="T190" i="8"/>
  <c r="T191" i="8"/>
  <c r="T192" i="8"/>
  <c r="T193" i="8"/>
  <c r="T194" i="8"/>
  <c r="T195" i="8"/>
  <c r="X195" i="8" s="1"/>
  <c r="T196" i="8"/>
  <c r="T197" i="8"/>
  <c r="T198" i="8"/>
  <c r="T199" i="8"/>
  <c r="T200" i="8"/>
  <c r="T201" i="8"/>
  <c r="T202" i="8"/>
  <c r="T203" i="8"/>
  <c r="X203" i="8" s="1"/>
  <c r="T204" i="8"/>
  <c r="T205" i="8"/>
  <c r="T206" i="8"/>
  <c r="T207" i="8"/>
  <c r="T208" i="8"/>
  <c r="T209" i="8"/>
  <c r="T210" i="8"/>
  <c r="T211" i="8"/>
  <c r="X211" i="8" s="1"/>
  <c r="T212" i="8"/>
  <c r="T213" i="8"/>
  <c r="T214" i="8"/>
  <c r="T215" i="8"/>
  <c r="T216" i="8"/>
  <c r="T217" i="8"/>
  <c r="T218" i="8"/>
  <c r="T219" i="8"/>
  <c r="X219" i="8" s="1"/>
  <c r="T220" i="8"/>
  <c r="T221" i="8"/>
  <c r="T222" i="8"/>
  <c r="T223" i="8"/>
  <c r="T224" i="8"/>
  <c r="T225" i="8"/>
  <c r="T226" i="8"/>
  <c r="T227" i="8"/>
  <c r="X227" i="8" s="1"/>
  <c r="T228" i="8"/>
  <c r="T229" i="8"/>
  <c r="T230" i="8"/>
  <c r="T231" i="8"/>
  <c r="T232" i="8"/>
  <c r="T233" i="8"/>
  <c r="T234" i="8"/>
  <c r="T235" i="8"/>
  <c r="X235" i="8" s="1"/>
  <c r="T236" i="8"/>
  <c r="T237" i="8"/>
  <c r="T238" i="8"/>
  <c r="T239" i="8"/>
  <c r="T240" i="8"/>
  <c r="T241" i="8"/>
  <c r="T242" i="8"/>
  <c r="T243" i="8"/>
  <c r="X243" i="8" s="1"/>
  <c r="T244" i="8"/>
  <c r="T245" i="8"/>
  <c r="T246" i="8"/>
  <c r="T247" i="8"/>
  <c r="T248" i="8"/>
  <c r="T249" i="8"/>
  <c r="T250" i="8"/>
  <c r="T251" i="8"/>
  <c r="X251" i="8" s="1"/>
  <c r="T252" i="8"/>
  <c r="T253" i="8"/>
  <c r="T254" i="8"/>
  <c r="T255" i="8"/>
  <c r="T256" i="8"/>
  <c r="T257" i="8"/>
  <c r="T258" i="8"/>
  <c r="T259" i="8"/>
  <c r="X259" i="8" s="1"/>
  <c r="T260" i="8"/>
  <c r="T261" i="8"/>
  <c r="T262" i="8"/>
  <c r="T263" i="8"/>
  <c r="T264" i="8"/>
  <c r="T265" i="8"/>
  <c r="T266" i="8"/>
  <c r="T267" i="8"/>
  <c r="X267" i="8" s="1"/>
  <c r="T268" i="8"/>
  <c r="T269" i="8"/>
  <c r="T270" i="8"/>
  <c r="T271" i="8"/>
  <c r="T272" i="8"/>
  <c r="T273" i="8"/>
  <c r="T274" i="8"/>
  <c r="T275" i="8"/>
  <c r="X275" i="8" s="1"/>
  <c r="T277" i="8"/>
  <c r="T278" i="8"/>
  <c r="T279" i="8"/>
  <c r="T280" i="8"/>
  <c r="T281" i="8"/>
  <c r="T282" i="8"/>
  <c r="T283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7" i="8"/>
  <c r="T478" i="8"/>
  <c r="T479" i="8"/>
  <c r="T480" i="8"/>
  <c r="T481" i="8"/>
  <c r="T482" i="8"/>
  <c r="T483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7" i="8"/>
  <c r="T678" i="8"/>
  <c r="T679" i="8"/>
  <c r="T680" i="8"/>
  <c r="T681" i="8"/>
  <c r="T682" i="8"/>
  <c r="T683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3" i="8"/>
  <c r="T774" i="8"/>
  <c r="T775" i="8"/>
  <c r="T776" i="8"/>
  <c r="T777" i="8"/>
  <c r="T778" i="8"/>
  <c r="T779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5" i="8"/>
  <c r="T806" i="8"/>
  <c r="T807" i="8"/>
  <c r="T808" i="8"/>
  <c r="T809" i="8"/>
  <c r="T810" i="8"/>
  <c r="T811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T1002" i="8"/>
  <c r="T1003" i="8"/>
  <c r="T1004" i="8"/>
  <c r="T1005" i="8"/>
  <c r="T1006" i="8"/>
  <c r="T1007" i="8"/>
  <c r="T1008" i="8"/>
  <c r="T1009" i="8"/>
  <c r="T1010" i="8"/>
  <c r="T1011" i="8"/>
  <c r="T1012" i="8"/>
  <c r="T1013" i="8"/>
  <c r="T1014" i="8"/>
  <c r="T1015" i="8"/>
  <c r="T1016" i="8"/>
  <c r="T1017" i="8"/>
  <c r="T1018" i="8"/>
  <c r="T1019" i="8"/>
  <c r="T1020" i="8"/>
  <c r="T1021" i="8"/>
  <c r="T1022" i="8"/>
  <c r="T1023" i="8"/>
  <c r="T1024" i="8"/>
  <c r="T1025" i="8"/>
  <c r="T1026" i="8"/>
  <c r="T1027" i="8"/>
  <c r="T1028" i="8"/>
  <c r="T1029" i="8"/>
  <c r="T1030" i="8"/>
  <c r="T1031" i="8"/>
  <c r="T1032" i="8"/>
  <c r="T1033" i="8"/>
  <c r="T1034" i="8"/>
  <c r="T1035" i="8"/>
  <c r="T1036" i="8"/>
  <c r="T1037" i="8"/>
  <c r="T1038" i="8"/>
  <c r="T1039" i="8"/>
  <c r="T1040" i="8"/>
  <c r="T1041" i="8"/>
  <c r="T1042" i="8"/>
  <c r="T1043" i="8"/>
  <c r="T1044" i="8"/>
  <c r="T1045" i="8"/>
  <c r="T1046" i="8"/>
  <c r="T1047" i="8"/>
  <c r="T1048" i="8"/>
  <c r="T1049" i="8"/>
  <c r="T1050" i="8"/>
  <c r="T1051" i="8"/>
  <c r="T1052" i="8"/>
  <c r="T1053" i="8"/>
  <c r="T1054" i="8"/>
  <c r="T1055" i="8"/>
  <c r="T1056" i="8"/>
  <c r="T1057" i="8"/>
  <c r="T1058" i="8"/>
  <c r="T1059" i="8"/>
  <c r="T1060" i="8"/>
  <c r="T1061" i="8"/>
  <c r="T1062" i="8"/>
  <c r="T1063" i="8"/>
  <c r="T1064" i="8"/>
  <c r="T1065" i="8"/>
  <c r="T1066" i="8"/>
  <c r="T1067" i="8"/>
  <c r="T1068" i="8"/>
  <c r="T1069" i="8"/>
  <c r="T1070" i="8"/>
  <c r="T1071" i="8"/>
  <c r="T1072" i="8"/>
  <c r="T1073" i="8"/>
  <c r="T1074" i="8"/>
  <c r="T1075" i="8"/>
  <c r="T1076" i="8"/>
  <c r="T1077" i="8"/>
  <c r="T1078" i="8"/>
  <c r="T1079" i="8"/>
  <c r="T1080" i="8"/>
  <c r="T1081" i="8"/>
  <c r="T1082" i="8"/>
  <c r="T1083" i="8"/>
  <c r="T1084" i="8"/>
  <c r="T1085" i="8"/>
  <c r="T1086" i="8"/>
  <c r="T1087" i="8"/>
  <c r="T1088" i="8"/>
  <c r="T1089" i="8"/>
  <c r="T1090" i="8"/>
  <c r="T1091" i="8"/>
  <c r="T1092" i="8"/>
  <c r="T1093" i="8"/>
  <c r="T1094" i="8"/>
  <c r="T1095" i="8"/>
  <c r="T1096" i="8"/>
  <c r="T1097" i="8"/>
  <c r="T1098" i="8"/>
  <c r="T1099" i="8"/>
  <c r="T1100" i="8"/>
  <c r="T1101" i="8"/>
  <c r="T1102" i="8"/>
  <c r="T1103" i="8"/>
  <c r="T1104" i="8"/>
  <c r="T1105" i="8"/>
  <c r="T1106" i="8"/>
  <c r="T1107" i="8"/>
  <c r="T1108" i="8"/>
  <c r="T1109" i="8"/>
  <c r="T1110" i="8"/>
  <c r="T1111" i="8"/>
  <c r="T1112" i="8"/>
  <c r="T1113" i="8"/>
  <c r="T1114" i="8"/>
  <c r="T1115" i="8"/>
  <c r="T1116" i="8"/>
  <c r="T1117" i="8"/>
  <c r="T1118" i="8"/>
  <c r="T1119" i="8"/>
  <c r="T1120" i="8"/>
  <c r="T1121" i="8"/>
  <c r="T1122" i="8"/>
  <c r="T1123" i="8"/>
  <c r="T1124" i="8"/>
  <c r="T1125" i="8"/>
  <c r="T1126" i="8"/>
  <c r="T1127" i="8"/>
  <c r="T1128" i="8"/>
  <c r="T1129" i="8"/>
  <c r="T1130" i="8"/>
  <c r="T1131" i="8"/>
  <c r="T1132" i="8"/>
  <c r="T1133" i="8"/>
  <c r="T1134" i="8"/>
  <c r="T1135" i="8"/>
  <c r="T1136" i="8"/>
  <c r="T1137" i="8"/>
  <c r="T1138" i="8"/>
  <c r="T1139" i="8"/>
  <c r="T1140" i="8"/>
  <c r="T1141" i="8"/>
  <c r="T1142" i="8"/>
  <c r="T1143" i="8"/>
  <c r="T1144" i="8"/>
  <c r="T1145" i="8"/>
  <c r="T1146" i="8"/>
  <c r="T1147" i="8"/>
  <c r="T1148" i="8"/>
  <c r="T1149" i="8"/>
  <c r="T1150" i="8"/>
  <c r="T1151" i="8"/>
  <c r="T1152" i="8"/>
  <c r="T1153" i="8"/>
  <c r="T1154" i="8"/>
  <c r="T1155" i="8"/>
  <c r="T1156" i="8"/>
  <c r="T1157" i="8"/>
  <c r="T1158" i="8"/>
  <c r="T1159" i="8"/>
  <c r="T1160" i="8"/>
  <c r="T1161" i="8"/>
  <c r="T1162" i="8"/>
  <c r="T1163" i="8"/>
  <c r="T1164" i="8"/>
  <c r="T1165" i="8"/>
  <c r="T1166" i="8"/>
  <c r="T1167" i="8"/>
  <c r="T1168" i="8"/>
  <c r="T1169" i="8"/>
  <c r="T1170" i="8"/>
  <c r="T1171" i="8"/>
  <c r="T1172" i="8"/>
  <c r="T1173" i="8"/>
  <c r="T1174" i="8"/>
  <c r="T1175" i="8"/>
  <c r="T1176" i="8"/>
  <c r="T1177" i="8"/>
  <c r="T1178" i="8"/>
  <c r="T1179" i="8"/>
  <c r="T1180" i="8"/>
  <c r="T1181" i="8"/>
  <c r="T1182" i="8"/>
  <c r="T1183" i="8"/>
  <c r="T1184" i="8"/>
  <c r="T1185" i="8"/>
  <c r="T1186" i="8"/>
  <c r="T1187" i="8"/>
  <c r="T1188" i="8"/>
  <c r="T1189" i="8"/>
  <c r="T1190" i="8"/>
  <c r="T1191" i="8"/>
  <c r="T1192" i="8"/>
  <c r="T1193" i="8"/>
  <c r="T1194" i="8"/>
  <c r="T1195" i="8"/>
  <c r="T1196" i="8"/>
  <c r="T1197" i="8"/>
  <c r="T1198" i="8"/>
  <c r="T1199" i="8"/>
  <c r="T1200" i="8"/>
  <c r="T1201" i="8"/>
  <c r="T1202" i="8"/>
  <c r="T1203" i="8"/>
  <c r="T1204" i="8"/>
  <c r="T1205" i="8"/>
  <c r="T1206" i="8"/>
  <c r="T1207" i="8"/>
  <c r="T1208" i="8"/>
  <c r="T1209" i="8"/>
  <c r="T1210" i="8"/>
  <c r="T1211" i="8"/>
  <c r="T1212" i="8"/>
  <c r="T1213" i="8"/>
  <c r="T1214" i="8"/>
  <c r="T1215" i="8"/>
  <c r="T1216" i="8"/>
  <c r="T1217" i="8"/>
  <c r="T1218" i="8"/>
  <c r="T1219" i="8"/>
  <c r="T1220" i="8"/>
  <c r="T1221" i="8"/>
  <c r="T1222" i="8"/>
  <c r="T1223" i="8"/>
  <c r="T1224" i="8"/>
  <c r="T1225" i="8"/>
  <c r="T1226" i="8"/>
  <c r="T1227" i="8"/>
  <c r="T1228" i="8"/>
  <c r="T1229" i="8"/>
  <c r="T1230" i="8"/>
  <c r="T1231" i="8"/>
  <c r="T1232" i="8"/>
  <c r="T1233" i="8"/>
  <c r="T1234" i="8"/>
  <c r="T1235" i="8"/>
  <c r="T1236" i="8"/>
  <c r="T1237" i="8"/>
  <c r="T1238" i="8"/>
  <c r="T1239" i="8"/>
  <c r="T1240" i="8"/>
  <c r="T1241" i="8"/>
  <c r="T1242" i="8"/>
  <c r="T1243" i="8"/>
  <c r="T1244" i="8"/>
  <c r="T1245" i="8"/>
  <c r="T1246" i="8"/>
  <c r="T1247" i="8"/>
  <c r="T1248" i="8"/>
  <c r="T1249" i="8"/>
  <c r="T1250" i="8"/>
  <c r="T1251" i="8"/>
  <c r="T1252" i="8"/>
  <c r="T1253" i="8"/>
  <c r="T1254" i="8"/>
  <c r="T1255" i="8"/>
  <c r="T1256" i="8"/>
  <c r="T1257" i="8"/>
  <c r="T1258" i="8"/>
  <c r="T1259" i="8"/>
  <c r="T1260" i="8"/>
  <c r="T1261" i="8"/>
  <c r="T1262" i="8"/>
  <c r="T1263" i="8"/>
  <c r="T1264" i="8"/>
  <c r="T1265" i="8"/>
  <c r="T1266" i="8"/>
  <c r="T1267" i="8"/>
  <c r="T1268" i="8"/>
  <c r="T1269" i="8"/>
  <c r="T1270" i="8"/>
  <c r="T1271" i="8"/>
  <c r="T1272" i="8"/>
  <c r="T1273" i="8"/>
  <c r="T1274" i="8"/>
  <c r="T1275" i="8"/>
  <c r="T1276" i="8"/>
  <c r="T1277" i="8"/>
  <c r="T1278" i="8"/>
  <c r="T1279" i="8"/>
  <c r="T1280" i="8"/>
  <c r="T1281" i="8"/>
  <c r="T1282" i="8"/>
  <c r="T1283" i="8"/>
  <c r="T1284" i="8"/>
  <c r="T1285" i="8"/>
  <c r="T1286" i="8"/>
  <c r="T1287" i="8"/>
  <c r="T1288" i="8"/>
  <c r="T1289" i="8"/>
  <c r="T1290" i="8"/>
  <c r="T1291" i="8"/>
  <c r="T1292" i="8"/>
  <c r="T1293" i="8"/>
  <c r="T1294" i="8"/>
  <c r="T1295" i="8"/>
  <c r="T1296" i="8"/>
  <c r="T1297" i="8"/>
  <c r="T1298" i="8"/>
  <c r="T1299" i="8"/>
  <c r="T1300" i="8"/>
  <c r="T1301" i="8"/>
  <c r="T1302" i="8"/>
  <c r="T1303" i="8"/>
  <c r="T1304" i="8"/>
  <c r="T1305" i="8"/>
  <c r="T1306" i="8"/>
  <c r="T1307" i="8"/>
  <c r="T1308" i="8"/>
  <c r="T1309" i="8"/>
  <c r="T1310" i="8"/>
  <c r="T1311" i="8"/>
  <c r="T1312" i="8"/>
  <c r="T1313" i="8"/>
  <c r="T1314" i="8"/>
  <c r="T1315" i="8"/>
  <c r="T1316" i="8"/>
  <c r="T1317" i="8"/>
  <c r="T1318" i="8"/>
  <c r="T1319" i="8"/>
  <c r="T1320" i="8"/>
  <c r="T1321" i="8"/>
  <c r="T1322" i="8"/>
  <c r="T1323" i="8"/>
  <c r="T1324" i="8"/>
  <c r="T1325" i="8"/>
  <c r="T1326" i="8"/>
  <c r="T1327" i="8"/>
  <c r="T1328" i="8"/>
  <c r="U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V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4" i="8"/>
  <c r="V105" i="8"/>
  <c r="V106" i="8"/>
  <c r="V107" i="8"/>
  <c r="V108" i="8"/>
  <c r="V109" i="8"/>
  <c r="V110" i="8"/>
  <c r="V112" i="8"/>
  <c r="V113" i="8"/>
  <c r="V114" i="8"/>
  <c r="V115" i="8"/>
  <c r="V116" i="8"/>
  <c r="V117" i="8"/>
  <c r="V118" i="8"/>
  <c r="V120" i="8"/>
  <c r="V121" i="8"/>
  <c r="V122" i="8"/>
  <c r="V123" i="8"/>
  <c r="V124" i="8"/>
  <c r="V125" i="8"/>
  <c r="V126" i="8"/>
  <c r="V128" i="8"/>
  <c r="V129" i="8"/>
  <c r="V130" i="8"/>
  <c r="V131" i="8"/>
  <c r="V132" i="8"/>
  <c r="V133" i="8"/>
  <c r="V134" i="8"/>
  <c r="V136" i="8"/>
  <c r="V137" i="8"/>
  <c r="V138" i="8"/>
  <c r="V139" i="8"/>
  <c r="V140" i="8"/>
  <c r="V141" i="8"/>
  <c r="V142" i="8"/>
  <c r="V144" i="8"/>
  <c r="V145" i="8"/>
  <c r="V146" i="8"/>
  <c r="V147" i="8"/>
  <c r="V148" i="8"/>
  <c r="V149" i="8"/>
  <c r="V150" i="8"/>
  <c r="V152" i="8"/>
  <c r="V153" i="8"/>
  <c r="V154" i="8"/>
  <c r="V155" i="8"/>
  <c r="V156" i="8"/>
  <c r="V157" i="8"/>
  <c r="V160" i="8"/>
  <c r="V161" i="8"/>
  <c r="V162" i="8"/>
  <c r="V163" i="8"/>
  <c r="V164" i="8"/>
  <c r="V165" i="8"/>
  <c r="V166" i="8"/>
  <c r="V168" i="8"/>
  <c r="V169" i="8"/>
  <c r="V170" i="8"/>
  <c r="V171" i="8"/>
  <c r="V172" i="8"/>
  <c r="V173" i="8"/>
  <c r="V174" i="8"/>
  <c r="V176" i="8"/>
  <c r="V177" i="8"/>
  <c r="V178" i="8"/>
  <c r="V179" i="8"/>
  <c r="V180" i="8"/>
  <c r="V181" i="8"/>
  <c r="V182" i="8"/>
  <c r="V184" i="8"/>
  <c r="V185" i="8"/>
  <c r="V186" i="8"/>
  <c r="V187" i="8"/>
  <c r="V188" i="8"/>
  <c r="V189" i="8"/>
  <c r="V190" i="8"/>
  <c r="V192" i="8"/>
  <c r="V193" i="8"/>
  <c r="V194" i="8"/>
  <c r="V195" i="8"/>
  <c r="V196" i="8"/>
  <c r="V197" i="8"/>
  <c r="V198" i="8"/>
  <c r="V200" i="8"/>
  <c r="V201" i="8"/>
  <c r="V202" i="8"/>
  <c r="V203" i="8"/>
  <c r="V204" i="8"/>
  <c r="V205" i="8"/>
  <c r="V206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4" i="8"/>
  <c r="V225" i="8"/>
  <c r="V226" i="8"/>
  <c r="V227" i="8"/>
  <c r="V228" i="8"/>
  <c r="V229" i="8"/>
  <c r="V230" i="8"/>
  <c r="V232" i="8"/>
  <c r="V233" i="8"/>
  <c r="V234" i="8"/>
  <c r="V235" i="8"/>
  <c r="V236" i="8"/>
  <c r="V237" i="8"/>
  <c r="V238" i="8"/>
  <c r="V240" i="8"/>
  <c r="V241" i="8"/>
  <c r="V242" i="8"/>
  <c r="V243" i="8"/>
  <c r="V244" i="8"/>
  <c r="V245" i="8"/>
  <c r="V246" i="8"/>
  <c r="V248" i="8"/>
  <c r="V249" i="8"/>
  <c r="V250" i="8"/>
  <c r="V251" i="8"/>
  <c r="V252" i="8"/>
  <c r="V253" i="8"/>
  <c r="V254" i="8"/>
  <c r="V256" i="8"/>
  <c r="V257" i="8"/>
  <c r="V258" i="8"/>
  <c r="V259" i="8"/>
  <c r="V260" i="8"/>
  <c r="V261" i="8"/>
  <c r="V262" i="8"/>
  <c r="V264" i="8"/>
  <c r="V265" i="8"/>
  <c r="V266" i="8"/>
  <c r="V267" i="8"/>
  <c r="V268" i="8"/>
  <c r="V269" i="8"/>
  <c r="V270" i="8"/>
  <c r="V272" i="8"/>
  <c r="V273" i="8"/>
  <c r="V274" i="8"/>
  <c r="V275" i="8"/>
  <c r="V277" i="8"/>
  <c r="V278" i="8"/>
  <c r="V279" i="8"/>
  <c r="V280" i="8"/>
  <c r="V281" i="8"/>
  <c r="V282" i="8"/>
  <c r="V283" i="8"/>
  <c r="X283" i="8" s="1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4" i="8"/>
  <c r="V345" i="8"/>
  <c r="V346" i="8"/>
  <c r="V347" i="8"/>
  <c r="V348" i="8"/>
  <c r="X348" i="8" s="1"/>
  <c r="V350" i="8"/>
  <c r="V351" i="8"/>
  <c r="V352" i="8"/>
  <c r="V353" i="8"/>
  <c r="V354" i="8"/>
  <c r="V355" i="8"/>
  <c r="V356" i="8"/>
  <c r="V358" i="8"/>
  <c r="V359" i="8"/>
  <c r="V360" i="8"/>
  <c r="V361" i="8"/>
  <c r="V362" i="8"/>
  <c r="V363" i="8"/>
  <c r="V364" i="8"/>
  <c r="V366" i="8"/>
  <c r="V367" i="8"/>
  <c r="V368" i="8"/>
  <c r="V369" i="8"/>
  <c r="V370" i="8"/>
  <c r="V371" i="8"/>
  <c r="V372" i="8"/>
  <c r="V374" i="8"/>
  <c r="V375" i="8"/>
  <c r="V376" i="8"/>
  <c r="V377" i="8"/>
  <c r="V378" i="8"/>
  <c r="V379" i="8"/>
  <c r="V380" i="8"/>
  <c r="V382" i="8"/>
  <c r="V383" i="8"/>
  <c r="V384" i="8"/>
  <c r="V385" i="8"/>
  <c r="V386" i="8"/>
  <c r="V387" i="8"/>
  <c r="V388" i="8"/>
  <c r="V390" i="8"/>
  <c r="V391" i="8"/>
  <c r="V392" i="8"/>
  <c r="V393" i="8"/>
  <c r="V394" i="8"/>
  <c r="V395" i="8"/>
  <c r="V396" i="8"/>
  <c r="V398" i="8"/>
  <c r="V399" i="8"/>
  <c r="V400" i="8"/>
  <c r="V401" i="8"/>
  <c r="V402" i="8"/>
  <c r="V403" i="8"/>
  <c r="V404" i="8"/>
  <c r="V405" i="8"/>
  <c r="V406" i="8"/>
  <c r="V408" i="8"/>
  <c r="V409" i="8"/>
  <c r="V410" i="8"/>
  <c r="V411" i="8"/>
  <c r="V412" i="8"/>
  <c r="V413" i="8"/>
  <c r="V414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X475" i="8" s="1"/>
  <c r="V476" i="8"/>
  <c r="X476" i="8" s="1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4" i="8"/>
  <c r="V545" i="8"/>
  <c r="X545" i="8" s="1"/>
  <c r="V546" i="8"/>
  <c r="V547" i="8"/>
  <c r="V548" i="8"/>
  <c r="V549" i="8"/>
  <c r="V550" i="8"/>
  <c r="V552" i="8"/>
  <c r="V553" i="8"/>
  <c r="V554" i="8"/>
  <c r="V555" i="8"/>
  <c r="V556" i="8"/>
  <c r="V557" i="8"/>
  <c r="V558" i="8"/>
  <c r="V560" i="8"/>
  <c r="V561" i="8"/>
  <c r="V562" i="8"/>
  <c r="V563" i="8"/>
  <c r="V564" i="8"/>
  <c r="V565" i="8"/>
  <c r="V566" i="8"/>
  <c r="V568" i="8"/>
  <c r="V569" i="8"/>
  <c r="V570" i="8"/>
  <c r="V571" i="8"/>
  <c r="V572" i="8"/>
  <c r="V573" i="8"/>
  <c r="V574" i="8"/>
  <c r="V576" i="8"/>
  <c r="V577" i="8"/>
  <c r="V578" i="8"/>
  <c r="V579" i="8"/>
  <c r="V580" i="8"/>
  <c r="V581" i="8"/>
  <c r="V582" i="8"/>
  <c r="V584" i="8"/>
  <c r="V585" i="8"/>
  <c r="V586" i="8"/>
  <c r="V587" i="8"/>
  <c r="V588" i="8"/>
  <c r="V589" i="8"/>
  <c r="V590" i="8"/>
  <c r="V592" i="8"/>
  <c r="V593" i="8"/>
  <c r="V594" i="8"/>
  <c r="V595" i="8"/>
  <c r="V596" i="8"/>
  <c r="V597" i="8"/>
  <c r="V598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X611" i="8" s="1"/>
  <c r="V612" i="8"/>
  <c r="V613" i="8"/>
  <c r="V614" i="8"/>
  <c r="V615" i="8"/>
  <c r="V616" i="8"/>
  <c r="V617" i="8"/>
  <c r="V618" i="8"/>
  <c r="V619" i="8"/>
  <c r="V620" i="8"/>
  <c r="V621" i="8"/>
  <c r="V622" i="8"/>
  <c r="V624" i="8"/>
  <c r="V625" i="8"/>
  <c r="V626" i="8"/>
  <c r="V627" i="8"/>
  <c r="V628" i="8"/>
  <c r="V629" i="8"/>
  <c r="V630" i="8"/>
  <c r="V632" i="8"/>
  <c r="V633" i="8"/>
  <c r="V634" i="8"/>
  <c r="V635" i="8"/>
  <c r="V636" i="8"/>
  <c r="V637" i="8"/>
  <c r="V638" i="8"/>
  <c r="V640" i="8"/>
  <c r="V641" i="8"/>
  <c r="V642" i="8"/>
  <c r="V643" i="8"/>
  <c r="V644" i="8"/>
  <c r="V645" i="8"/>
  <c r="V646" i="8"/>
  <c r="V648" i="8"/>
  <c r="V649" i="8"/>
  <c r="V650" i="8"/>
  <c r="V651" i="8"/>
  <c r="V652" i="8"/>
  <c r="V653" i="8"/>
  <c r="V654" i="8"/>
  <c r="V656" i="8"/>
  <c r="V657" i="8"/>
  <c r="V658" i="8"/>
  <c r="V659" i="8"/>
  <c r="V660" i="8"/>
  <c r="V661" i="8"/>
  <c r="V662" i="8"/>
  <c r="V664" i="8"/>
  <c r="V665" i="8"/>
  <c r="V666" i="8"/>
  <c r="V667" i="8"/>
  <c r="V668" i="8"/>
  <c r="V669" i="8"/>
  <c r="V670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4" i="8"/>
  <c r="V745" i="8"/>
  <c r="V746" i="8"/>
  <c r="V747" i="8"/>
  <c r="V748" i="8"/>
  <c r="V749" i="8"/>
  <c r="V750" i="8"/>
  <c r="V752" i="8"/>
  <c r="V753" i="8"/>
  <c r="V754" i="8"/>
  <c r="V755" i="8"/>
  <c r="V756" i="8"/>
  <c r="V757" i="8"/>
  <c r="V758" i="8"/>
  <c r="V760" i="8"/>
  <c r="V761" i="8"/>
  <c r="V762" i="8"/>
  <c r="V763" i="8"/>
  <c r="V764" i="8"/>
  <c r="V765" i="8"/>
  <c r="V766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2" i="8"/>
  <c r="V793" i="8"/>
  <c r="V794" i="8"/>
  <c r="V795" i="8"/>
  <c r="X795" i="8" s="1"/>
  <c r="V796" i="8"/>
  <c r="V797" i="8"/>
  <c r="V798" i="8"/>
  <c r="V800" i="8"/>
  <c r="V801" i="8"/>
  <c r="V802" i="8"/>
  <c r="V803" i="8"/>
  <c r="V805" i="8"/>
  <c r="V806" i="8"/>
  <c r="V807" i="8"/>
  <c r="V808" i="8"/>
  <c r="V809" i="8"/>
  <c r="V810" i="8"/>
  <c r="V811" i="8"/>
  <c r="V813" i="8"/>
  <c r="V814" i="8"/>
  <c r="V816" i="8"/>
  <c r="V817" i="8"/>
  <c r="V818" i="8"/>
  <c r="V819" i="8"/>
  <c r="X819" i="8" s="1"/>
  <c r="V820" i="8"/>
  <c r="V821" i="8"/>
  <c r="V822" i="8"/>
  <c r="V824" i="8"/>
  <c r="V825" i="8"/>
  <c r="V826" i="8"/>
  <c r="V827" i="8"/>
  <c r="V828" i="8"/>
  <c r="V829" i="8"/>
  <c r="V830" i="8"/>
  <c r="V832" i="8"/>
  <c r="V833" i="8"/>
  <c r="V834" i="8"/>
  <c r="V835" i="8"/>
  <c r="V836" i="8"/>
  <c r="V837" i="8"/>
  <c r="V838" i="8"/>
  <c r="V840" i="8"/>
  <c r="V841" i="8"/>
  <c r="V842" i="8"/>
  <c r="V843" i="8"/>
  <c r="V844" i="8"/>
  <c r="V845" i="8"/>
  <c r="V846" i="8"/>
  <c r="V848" i="8"/>
  <c r="V849" i="8"/>
  <c r="V850" i="8"/>
  <c r="V851" i="8"/>
  <c r="V852" i="8"/>
  <c r="V853" i="8"/>
  <c r="V854" i="8"/>
  <c r="V856" i="8"/>
  <c r="V857" i="8"/>
  <c r="V858" i="8"/>
  <c r="V859" i="8"/>
  <c r="V860" i="8"/>
  <c r="V861" i="8"/>
  <c r="V862" i="8"/>
  <c r="V864" i="8"/>
  <c r="V865" i="8"/>
  <c r="V866" i="8"/>
  <c r="V867" i="8"/>
  <c r="V868" i="8"/>
  <c r="V869" i="8"/>
  <c r="V870" i="8"/>
  <c r="V872" i="8"/>
  <c r="V873" i="8"/>
  <c r="V874" i="8"/>
  <c r="V875" i="8"/>
  <c r="V876" i="8"/>
  <c r="V877" i="8"/>
  <c r="V878" i="8"/>
  <c r="V880" i="8"/>
  <c r="V881" i="8"/>
  <c r="V882" i="8"/>
  <c r="V883" i="8"/>
  <c r="V884" i="8"/>
  <c r="V885" i="8"/>
  <c r="V886" i="8"/>
  <c r="V888" i="8"/>
  <c r="V889" i="8"/>
  <c r="V890" i="8"/>
  <c r="V891" i="8"/>
  <c r="V892" i="8"/>
  <c r="V893" i="8"/>
  <c r="V894" i="8"/>
  <c r="V896" i="8"/>
  <c r="V897" i="8"/>
  <c r="V898" i="8"/>
  <c r="V899" i="8"/>
  <c r="V900" i="8"/>
  <c r="V901" i="8"/>
  <c r="V902" i="8"/>
  <c r="V904" i="8"/>
  <c r="V905" i="8"/>
  <c r="V906" i="8"/>
  <c r="V907" i="8"/>
  <c r="V908" i="8"/>
  <c r="V909" i="8"/>
  <c r="V910" i="8"/>
  <c r="V912" i="8"/>
  <c r="V913" i="8"/>
  <c r="V914" i="8"/>
  <c r="V915" i="8"/>
  <c r="V916" i="8"/>
  <c r="V917" i="8"/>
  <c r="V918" i="8"/>
  <c r="V920" i="8"/>
  <c r="V921" i="8"/>
  <c r="V922" i="8"/>
  <c r="V923" i="8"/>
  <c r="V924" i="8"/>
  <c r="V925" i="8"/>
  <c r="V926" i="8"/>
  <c r="V928" i="8"/>
  <c r="V929" i="8"/>
  <c r="V930" i="8"/>
  <c r="V931" i="8"/>
  <c r="V932" i="8"/>
  <c r="V933" i="8"/>
  <c r="V934" i="8"/>
  <c r="V936" i="8"/>
  <c r="V937" i="8"/>
  <c r="V938" i="8"/>
  <c r="V939" i="8"/>
  <c r="V940" i="8"/>
  <c r="V941" i="8"/>
  <c r="V942" i="8"/>
  <c r="V944" i="8"/>
  <c r="V945" i="8"/>
  <c r="V946" i="8"/>
  <c r="V947" i="8"/>
  <c r="V948" i="8"/>
  <c r="V949" i="8"/>
  <c r="V950" i="8"/>
  <c r="V952" i="8"/>
  <c r="V953" i="8"/>
  <c r="V954" i="8"/>
  <c r="V955" i="8"/>
  <c r="V956" i="8"/>
  <c r="V957" i="8"/>
  <c r="V958" i="8"/>
  <c r="V960" i="8"/>
  <c r="V961" i="8"/>
  <c r="V962" i="8"/>
  <c r="V963" i="8"/>
  <c r="V964" i="8"/>
  <c r="V965" i="8"/>
  <c r="V966" i="8"/>
  <c r="V968" i="8"/>
  <c r="V969" i="8"/>
  <c r="V970" i="8"/>
  <c r="V971" i="8"/>
  <c r="V972" i="8"/>
  <c r="V973" i="8"/>
  <c r="V974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2" i="8"/>
  <c r="V993" i="8"/>
  <c r="V994" i="8"/>
  <c r="V995" i="8"/>
  <c r="V996" i="8"/>
  <c r="V997" i="8"/>
  <c r="V998" i="8"/>
  <c r="V1000" i="8"/>
  <c r="V1001" i="8"/>
  <c r="V1002" i="8"/>
  <c r="V1003" i="8"/>
  <c r="V1004" i="8"/>
  <c r="V1005" i="8"/>
  <c r="V1006" i="8"/>
  <c r="V1008" i="8"/>
  <c r="V1009" i="8"/>
  <c r="V1010" i="8"/>
  <c r="V1011" i="8"/>
  <c r="V1012" i="8"/>
  <c r="V1013" i="8"/>
  <c r="V1014" i="8"/>
  <c r="V1016" i="8"/>
  <c r="V1017" i="8"/>
  <c r="V1018" i="8"/>
  <c r="V1019" i="8"/>
  <c r="V1020" i="8"/>
  <c r="V1021" i="8"/>
  <c r="V1022" i="8"/>
  <c r="V1024" i="8"/>
  <c r="V1025" i="8"/>
  <c r="V1026" i="8"/>
  <c r="V1027" i="8"/>
  <c r="V1028" i="8"/>
  <c r="V1029" i="8"/>
  <c r="V1030" i="8"/>
  <c r="V1032" i="8"/>
  <c r="V1033" i="8"/>
  <c r="V1034" i="8"/>
  <c r="V1035" i="8"/>
  <c r="V1036" i="8"/>
  <c r="V1037" i="8"/>
  <c r="V1038" i="8"/>
  <c r="V1040" i="8"/>
  <c r="V1041" i="8"/>
  <c r="V1042" i="8"/>
  <c r="V1043" i="8"/>
  <c r="V1044" i="8"/>
  <c r="V1045" i="8"/>
  <c r="V1046" i="8"/>
  <c r="V1048" i="8"/>
  <c r="V1049" i="8"/>
  <c r="V1050" i="8"/>
  <c r="V1051" i="8"/>
  <c r="V1052" i="8"/>
  <c r="V1053" i="8"/>
  <c r="V1054" i="8"/>
  <c r="V1056" i="8"/>
  <c r="V1057" i="8"/>
  <c r="V1058" i="8"/>
  <c r="V1059" i="8"/>
  <c r="V1060" i="8"/>
  <c r="V1061" i="8"/>
  <c r="V1062" i="8"/>
  <c r="V1064" i="8"/>
  <c r="V1065" i="8"/>
  <c r="V1066" i="8"/>
  <c r="V1067" i="8"/>
  <c r="V1068" i="8"/>
  <c r="V1069" i="8"/>
  <c r="V1070" i="8"/>
  <c r="V1072" i="8"/>
  <c r="V1073" i="8"/>
  <c r="V1074" i="8"/>
  <c r="V1075" i="8"/>
  <c r="V1076" i="8"/>
  <c r="V1077" i="8"/>
  <c r="V1078" i="8"/>
  <c r="V1080" i="8"/>
  <c r="V1081" i="8"/>
  <c r="V1082" i="8"/>
  <c r="V1083" i="8"/>
  <c r="V1084" i="8"/>
  <c r="V1085" i="8"/>
  <c r="V1086" i="8"/>
  <c r="V1088" i="8"/>
  <c r="V1089" i="8"/>
  <c r="V1090" i="8"/>
  <c r="V1091" i="8"/>
  <c r="V1092" i="8"/>
  <c r="V1093" i="8"/>
  <c r="V1094" i="8"/>
  <c r="V1096" i="8"/>
  <c r="V1097" i="8"/>
  <c r="V1098" i="8"/>
  <c r="V1099" i="8"/>
  <c r="V1100" i="8"/>
  <c r="V1101" i="8"/>
  <c r="V1102" i="8"/>
  <c r="V1104" i="8"/>
  <c r="V1105" i="8"/>
  <c r="V1106" i="8"/>
  <c r="V1107" i="8"/>
  <c r="V1108" i="8"/>
  <c r="V1109" i="8"/>
  <c r="V1110" i="8"/>
  <c r="V1112" i="8"/>
  <c r="V1113" i="8"/>
  <c r="V1114" i="8"/>
  <c r="V1115" i="8"/>
  <c r="V1116" i="8"/>
  <c r="V1117" i="8"/>
  <c r="V1118" i="8"/>
  <c r="V1120" i="8"/>
  <c r="V1121" i="8"/>
  <c r="V1122" i="8"/>
  <c r="V1123" i="8"/>
  <c r="V1124" i="8"/>
  <c r="V1125" i="8"/>
  <c r="V1126" i="8"/>
  <c r="V1128" i="8"/>
  <c r="V1129" i="8"/>
  <c r="V1130" i="8"/>
  <c r="V1131" i="8"/>
  <c r="V1132" i="8"/>
  <c r="V1133" i="8"/>
  <c r="V1134" i="8"/>
  <c r="V1136" i="8"/>
  <c r="V1137" i="8"/>
  <c r="V1138" i="8"/>
  <c r="V1139" i="8"/>
  <c r="V1140" i="8"/>
  <c r="V1141" i="8"/>
  <c r="V1142" i="8"/>
  <c r="V1144" i="8"/>
  <c r="V1145" i="8"/>
  <c r="V1146" i="8"/>
  <c r="V1147" i="8"/>
  <c r="V1148" i="8"/>
  <c r="V1149" i="8"/>
  <c r="V1150" i="8"/>
  <c r="V1152" i="8"/>
  <c r="V1153" i="8"/>
  <c r="V1154" i="8"/>
  <c r="V1155" i="8"/>
  <c r="V1156" i="8"/>
  <c r="V1157" i="8"/>
  <c r="V1158" i="8"/>
  <c r="V1160" i="8"/>
  <c r="V1161" i="8"/>
  <c r="V1162" i="8"/>
  <c r="V1163" i="8"/>
  <c r="V1164" i="8"/>
  <c r="V1165" i="8"/>
  <c r="V1166" i="8"/>
  <c r="V1168" i="8"/>
  <c r="V1169" i="8"/>
  <c r="V1170" i="8"/>
  <c r="V1171" i="8"/>
  <c r="V1172" i="8"/>
  <c r="V1173" i="8"/>
  <c r="V1174" i="8"/>
  <c r="V1176" i="8"/>
  <c r="V1177" i="8"/>
  <c r="V1178" i="8"/>
  <c r="V1179" i="8"/>
  <c r="V1180" i="8"/>
  <c r="V1181" i="8"/>
  <c r="V1182" i="8"/>
  <c r="V1184" i="8"/>
  <c r="V1185" i="8"/>
  <c r="V1186" i="8"/>
  <c r="V1187" i="8"/>
  <c r="V1188" i="8"/>
  <c r="V1189" i="8"/>
  <c r="V1190" i="8"/>
  <c r="V1192" i="8"/>
  <c r="V1193" i="8"/>
  <c r="V1194" i="8"/>
  <c r="V1195" i="8"/>
  <c r="V1196" i="8"/>
  <c r="V1197" i="8"/>
  <c r="V1198" i="8"/>
  <c r="V1200" i="8"/>
  <c r="V1201" i="8"/>
  <c r="V1202" i="8"/>
  <c r="V1203" i="8"/>
  <c r="V1204" i="8"/>
  <c r="V1205" i="8"/>
  <c r="V1206" i="8"/>
  <c r="V1208" i="8"/>
  <c r="V1209" i="8"/>
  <c r="V1210" i="8"/>
  <c r="V1211" i="8"/>
  <c r="V1212" i="8"/>
  <c r="V1213" i="8"/>
  <c r="V1214" i="8"/>
  <c r="V1216" i="8"/>
  <c r="V1217" i="8"/>
  <c r="V1218" i="8"/>
  <c r="V1219" i="8"/>
  <c r="V1220" i="8"/>
  <c r="V1221" i="8"/>
  <c r="V1222" i="8"/>
  <c r="V1224" i="8"/>
  <c r="V1225" i="8"/>
  <c r="V1226" i="8"/>
  <c r="V1227" i="8"/>
  <c r="V1228" i="8"/>
  <c r="V1229" i="8"/>
  <c r="V1230" i="8"/>
  <c r="V1232" i="8"/>
  <c r="V1233" i="8"/>
  <c r="V1234" i="8"/>
  <c r="V1235" i="8"/>
  <c r="V1236" i="8"/>
  <c r="V1237" i="8"/>
  <c r="V1238" i="8"/>
  <c r="V1240" i="8"/>
  <c r="V1241" i="8"/>
  <c r="V1242" i="8"/>
  <c r="V1243" i="8"/>
  <c r="V1244" i="8"/>
  <c r="V1245" i="8"/>
  <c r="V1246" i="8"/>
  <c r="V1248" i="8"/>
  <c r="V1249" i="8"/>
  <c r="V1250" i="8"/>
  <c r="V1251" i="8"/>
  <c r="V1252" i="8"/>
  <c r="V1253" i="8"/>
  <c r="V1254" i="8"/>
  <c r="V1256" i="8"/>
  <c r="V1257" i="8"/>
  <c r="V1258" i="8"/>
  <c r="V1259" i="8"/>
  <c r="V1260" i="8"/>
  <c r="V1261" i="8"/>
  <c r="V1262" i="8"/>
  <c r="V1264" i="8"/>
  <c r="V1265" i="8"/>
  <c r="V1266" i="8"/>
  <c r="V1267" i="8"/>
  <c r="V1268" i="8"/>
  <c r="V1269" i="8"/>
  <c r="V1270" i="8"/>
  <c r="V1272" i="8"/>
  <c r="V1273" i="8"/>
  <c r="V1274" i="8"/>
  <c r="V1275" i="8"/>
  <c r="V1276" i="8"/>
  <c r="V1277" i="8"/>
  <c r="V1278" i="8"/>
  <c r="V1280" i="8"/>
  <c r="V1281" i="8"/>
  <c r="V1282" i="8"/>
  <c r="V1283" i="8"/>
  <c r="V1284" i="8"/>
  <c r="V1285" i="8"/>
  <c r="V1286" i="8"/>
  <c r="V1288" i="8"/>
  <c r="V1289" i="8"/>
  <c r="V1290" i="8"/>
  <c r="V1291" i="8"/>
  <c r="V1292" i="8"/>
  <c r="V1293" i="8"/>
  <c r="V1294" i="8"/>
  <c r="V1296" i="8"/>
  <c r="V1297" i="8"/>
  <c r="V1298" i="8"/>
  <c r="V1299" i="8"/>
  <c r="V1300" i="8"/>
  <c r="V1301" i="8"/>
  <c r="V1302" i="8"/>
  <c r="V1304" i="8"/>
  <c r="V1305" i="8"/>
  <c r="V1306" i="8"/>
  <c r="V1307" i="8"/>
  <c r="V1308" i="8"/>
  <c r="V1309" i="8"/>
  <c r="V1310" i="8"/>
  <c r="V1312" i="8"/>
  <c r="V1313" i="8"/>
  <c r="V1314" i="8"/>
  <c r="V1315" i="8"/>
  <c r="V1316" i="8"/>
  <c r="V1317" i="8"/>
  <c r="V1318" i="8"/>
  <c r="V1320" i="8"/>
  <c r="V1321" i="8"/>
  <c r="V1322" i="8"/>
  <c r="V1323" i="8"/>
  <c r="V1324" i="8"/>
  <c r="V1325" i="8"/>
  <c r="V1326" i="8"/>
  <c r="V1328" i="8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2" i="8"/>
  <c r="W113" i="8"/>
  <c r="W114" i="8"/>
  <c r="W115" i="8"/>
  <c r="W116" i="8"/>
  <c r="W117" i="8"/>
  <c r="W118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8" i="8"/>
  <c r="W160" i="8"/>
  <c r="W161" i="8"/>
  <c r="W162" i="8"/>
  <c r="W163" i="8"/>
  <c r="W164" i="8"/>
  <c r="W165" i="8"/>
  <c r="W166" i="8"/>
  <c r="W168" i="8"/>
  <c r="W169" i="8"/>
  <c r="W170" i="8"/>
  <c r="W171" i="8"/>
  <c r="W172" i="8"/>
  <c r="W173" i="8"/>
  <c r="W174" i="8"/>
  <c r="W176" i="8"/>
  <c r="W177" i="8"/>
  <c r="W178" i="8"/>
  <c r="W179" i="8"/>
  <c r="W180" i="8"/>
  <c r="W181" i="8"/>
  <c r="W182" i="8"/>
  <c r="W184" i="8"/>
  <c r="W185" i="8"/>
  <c r="W186" i="8"/>
  <c r="W187" i="8"/>
  <c r="W188" i="8"/>
  <c r="W189" i="8"/>
  <c r="W190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2" i="8"/>
  <c r="W233" i="8"/>
  <c r="W234" i="8"/>
  <c r="W235" i="8"/>
  <c r="W236" i="8"/>
  <c r="W237" i="8"/>
  <c r="W238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2" i="8"/>
  <c r="W273" i="8"/>
  <c r="W274" i="8"/>
  <c r="W275" i="8"/>
  <c r="W276" i="8"/>
  <c r="W278" i="8"/>
  <c r="W279" i="8"/>
  <c r="W280" i="8"/>
  <c r="W281" i="8"/>
  <c r="W282" i="8"/>
  <c r="W283" i="8"/>
  <c r="W284" i="8"/>
  <c r="W286" i="8"/>
  <c r="W287" i="8"/>
  <c r="W288" i="8"/>
  <c r="W289" i="8"/>
  <c r="W290" i="8"/>
  <c r="W291" i="8"/>
  <c r="W292" i="8"/>
  <c r="W294" i="8"/>
  <c r="W295" i="8"/>
  <c r="W296" i="8"/>
  <c r="W297" i="8"/>
  <c r="W298" i="8"/>
  <c r="W299" i="8"/>
  <c r="W300" i="8"/>
  <c r="W302" i="8"/>
  <c r="W303" i="8"/>
  <c r="W304" i="8"/>
  <c r="W305" i="8"/>
  <c r="W306" i="8"/>
  <c r="W307" i="8"/>
  <c r="W308" i="8"/>
  <c r="W310" i="8"/>
  <c r="W311" i="8"/>
  <c r="W312" i="8"/>
  <c r="W313" i="8"/>
  <c r="W314" i="8"/>
  <c r="W315" i="8"/>
  <c r="W316" i="8"/>
  <c r="W318" i="8"/>
  <c r="W319" i="8"/>
  <c r="W320" i="8"/>
  <c r="W321" i="8"/>
  <c r="W322" i="8"/>
  <c r="W323" i="8"/>
  <c r="W324" i="8"/>
  <c r="W326" i="8"/>
  <c r="W327" i="8"/>
  <c r="W328" i="8"/>
  <c r="W329" i="8"/>
  <c r="W330" i="8"/>
  <c r="W331" i="8"/>
  <c r="W332" i="8"/>
  <c r="W334" i="8"/>
  <c r="W335" i="8"/>
  <c r="W336" i="8"/>
  <c r="W337" i="8"/>
  <c r="W338" i="8"/>
  <c r="W339" i="8"/>
  <c r="W340" i="8"/>
  <c r="W342" i="8"/>
  <c r="W344" i="8"/>
  <c r="W345" i="8"/>
  <c r="W346" i="8"/>
  <c r="W347" i="8"/>
  <c r="X347" i="8" s="1"/>
  <c r="W348" i="8"/>
  <c r="W350" i="8"/>
  <c r="W351" i="8"/>
  <c r="W352" i="8"/>
  <c r="W353" i="8"/>
  <c r="W354" i="8"/>
  <c r="W355" i="8"/>
  <c r="W356" i="8"/>
  <c r="W358" i="8"/>
  <c r="W359" i="8"/>
  <c r="W360" i="8"/>
  <c r="W361" i="8"/>
  <c r="X361" i="8" s="1"/>
  <c r="W362" i="8"/>
  <c r="W363" i="8"/>
  <c r="W364" i="8"/>
  <c r="W366" i="8"/>
  <c r="W367" i="8"/>
  <c r="W368" i="8"/>
  <c r="W369" i="8"/>
  <c r="W370" i="8"/>
  <c r="W371" i="8"/>
  <c r="W372" i="8"/>
  <c r="W374" i="8"/>
  <c r="W375" i="8"/>
  <c r="W376" i="8"/>
  <c r="W377" i="8"/>
  <c r="W378" i="8"/>
  <c r="W379" i="8"/>
  <c r="W380" i="8"/>
  <c r="W382" i="8"/>
  <c r="W383" i="8"/>
  <c r="W384" i="8"/>
  <c r="W385" i="8"/>
  <c r="W386" i="8"/>
  <c r="W387" i="8"/>
  <c r="W388" i="8"/>
  <c r="W390" i="8"/>
  <c r="W391" i="8"/>
  <c r="W392" i="8"/>
  <c r="W393" i="8"/>
  <c r="W394" i="8"/>
  <c r="W395" i="8"/>
  <c r="W396" i="8"/>
  <c r="W398" i="8"/>
  <c r="W399" i="8"/>
  <c r="W400" i="8"/>
  <c r="W401" i="8"/>
  <c r="W402" i="8"/>
  <c r="W403" i="8"/>
  <c r="W404" i="8"/>
  <c r="W405" i="8"/>
  <c r="W406" i="8"/>
  <c r="W408" i="8"/>
  <c r="W409" i="8"/>
  <c r="W410" i="8"/>
  <c r="W411" i="8"/>
  <c r="W412" i="8"/>
  <c r="W413" i="8"/>
  <c r="W414" i="8"/>
  <c r="W416" i="8"/>
  <c r="W417" i="8"/>
  <c r="W418" i="8"/>
  <c r="W419" i="8"/>
  <c r="W420" i="8"/>
  <c r="W422" i="8"/>
  <c r="W423" i="8"/>
  <c r="W424" i="8"/>
  <c r="W425" i="8"/>
  <c r="W426" i="8"/>
  <c r="W427" i="8"/>
  <c r="W428" i="8"/>
  <c r="W430" i="8"/>
  <c r="W431" i="8"/>
  <c r="W432" i="8"/>
  <c r="W433" i="8"/>
  <c r="W434" i="8"/>
  <c r="W435" i="8"/>
  <c r="W436" i="8"/>
  <c r="W438" i="8"/>
  <c r="W439" i="8"/>
  <c r="W440" i="8"/>
  <c r="W441" i="8"/>
  <c r="W442" i="8"/>
  <c r="W443" i="8"/>
  <c r="W444" i="8"/>
  <c r="W446" i="8"/>
  <c r="W447" i="8"/>
  <c r="W448" i="8"/>
  <c r="W449" i="8"/>
  <c r="W450" i="8"/>
  <c r="W451" i="8"/>
  <c r="W452" i="8"/>
  <c r="W454" i="8"/>
  <c r="W455" i="8"/>
  <c r="W456" i="8"/>
  <c r="W457" i="8"/>
  <c r="W458" i="8"/>
  <c r="W459" i="8"/>
  <c r="W460" i="8"/>
  <c r="W462" i="8"/>
  <c r="W463" i="8"/>
  <c r="W464" i="8"/>
  <c r="W465" i="8"/>
  <c r="W466" i="8"/>
  <c r="W467" i="8"/>
  <c r="W468" i="8"/>
  <c r="W470" i="8"/>
  <c r="W471" i="8"/>
  <c r="W472" i="8"/>
  <c r="W473" i="8"/>
  <c r="W474" i="8"/>
  <c r="W475" i="8"/>
  <c r="W476" i="8"/>
  <c r="W478" i="8"/>
  <c r="W479" i="8"/>
  <c r="W480" i="8"/>
  <c r="W481" i="8"/>
  <c r="W482" i="8"/>
  <c r="W483" i="8"/>
  <c r="W484" i="8"/>
  <c r="W486" i="8"/>
  <c r="W487" i="8"/>
  <c r="W488" i="8"/>
  <c r="W489" i="8"/>
  <c r="W490" i="8"/>
  <c r="W491" i="8"/>
  <c r="W492" i="8"/>
  <c r="W494" i="8"/>
  <c r="W495" i="8"/>
  <c r="W496" i="8"/>
  <c r="W497" i="8"/>
  <c r="W498" i="8"/>
  <c r="W499" i="8"/>
  <c r="W500" i="8"/>
  <c r="W502" i="8"/>
  <c r="W503" i="8"/>
  <c r="W504" i="8"/>
  <c r="W505" i="8"/>
  <c r="W506" i="8"/>
  <c r="W507" i="8"/>
  <c r="W508" i="8"/>
  <c r="W510" i="8"/>
  <c r="W511" i="8"/>
  <c r="W512" i="8"/>
  <c r="W513" i="8"/>
  <c r="W514" i="8"/>
  <c r="W515" i="8"/>
  <c r="W516" i="8"/>
  <c r="W518" i="8"/>
  <c r="W519" i="8"/>
  <c r="W520" i="8"/>
  <c r="W521" i="8"/>
  <c r="W522" i="8"/>
  <c r="W523" i="8"/>
  <c r="W524" i="8"/>
  <c r="W526" i="8"/>
  <c r="W527" i="8"/>
  <c r="W528" i="8"/>
  <c r="W529" i="8"/>
  <c r="W530" i="8"/>
  <c r="W531" i="8"/>
  <c r="W532" i="8"/>
  <c r="W534" i="8"/>
  <c r="W535" i="8"/>
  <c r="W536" i="8"/>
  <c r="W537" i="8"/>
  <c r="W538" i="8"/>
  <c r="W539" i="8"/>
  <c r="W540" i="8"/>
  <c r="W541" i="8"/>
  <c r="W542" i="8"/>
  <c r="W544" i="8"/>
  <c r="W545" i="8"/>
  <c r="W546" i="8"/>
  <c r="W547" i="8"/>
  <c r="W548" i="8"/>
  <c r="W549" i="8"/>
  <c r="W550" i="8"/>
  <c r="W552" i="8"/>
  <c r="W553" i="8"/>
  <c r="W554" i="8"/>
  <c r="W555" i="8"/>
  <c r="W556" i="8"/>
  <c r="W557" i="8"/>
  <c r="W558" i="8"/>
  <c r="W560" i="8"/>
  <c r="W561" i="8"/>
  <c r="W562" i="8"/>
  <c r="W563" i="8"/>
  <c r="W564" i="8"/>
  <c r="W565" i="8"/>
  <c r="W566" i="8"/>
  <c r="W568" i="8"/>
  <c r="W569" i="8"/>
  <c r="W570" i="8"/>
  <c r="W571" i="8"/>
  <c r="W572" i="8"/>
  <c r="W573" i="8"/>
  <c r="W574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2" i="8"/>
  <c r="W633" i="8"/>
  <c r="W634" i="8"/>
  <c r="W635" i="8"/>
  <c r="W636" i="8"/>
  <c r="W637" i="8"/>
  <c r="W638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6" i="8"/>
  <c r="W657" i="8"/>
  <c r="W658" i="8"/>
  <c r="W659" i="8"/>
  <c r="W660" i="8"/>
  <c r="W661" i="8"/>
  <c r="W662" i="8"/>
  <c r="W664" i="8"/>
  <c r="W665" i="8"/>
  <c r="W666" i="8"/>
  <c r="W667" i="8"/>
  <c r="W668" i="8"/>
  <c r="W669" i="8"/>
  <c r="W670" i="8"/>
  <c r="W672" i="8"/>
  <c r="W673" i="8"/>
  <c r="W674" i="8"/>
  <c r="W675" i="8"/>
  <c r="W676" i="8"/>
  <c r="W678" i="8"/>
  <c r="W679" i="8"/>
  <c r="W680" i="8"/>
  <c r="W681" i="8"/>
  <c r="W682" i="8"/>
  <c r="W683" i="8"/>
  <c r="W684" i="8"/>
  <c r="X684" i="8" s="1"/>
  <c r="W686" i="8"/>
  <c r="W687" i="8"/>
  <c r="W688" i="8"/>
  <c r="W689" i="8"/>
  <c r="W690" i="8"/>
  <c r="W691" i="8"/>
  <c r="W692" i="8"/>
  <c r="W694" i="8"/>
  <c r="W695" i="8"/>
  <c r="W696" i="8"/>
  <c r="W697" i="8"/>
  <c r="W698" i="8"/>
  <c r="W699" i="8"/>
  <c r="W700" i="8"/>
  <c r="W702" i="8"/>
  <c r="W703" i="8"/>
  <c r="W704" i="8"/>
  <c r="W705" i="8"/>
  <c r="W706" i="8"/>
  <c r="W707" i="8"/>
  <c r="W708" i="8"/>
  <c r="W710" i="8"/>
  <c r="W711" i="8"/>
  <c r="W712" i="8"/>
  <c r="W713" i="8"/>
  <c r="W714" i="8"/>
  <c r="W715" i="8"/>
  <c r="W716" i="8"/>
  <c r="W718" i="8"/>
  <c r="W719" i="8"/>
  <c r="W720" i="8"/>
  <c r="W721" i="8"/>
  <c r="W722" i="8"/>
  <c r="W723" i="8"/>
  <c r="W724" i="8"/>
  <c r="W726" i="8"/>
  <c r="W727" i="8"/>
  <c r="W728" i="8"/>
  <c r="W729" i="8"/>
  <c r="W730" i="8"/>
  <c r="W731" i="8"/>
  <c r="W732" i="8"/>
  <c r="W734" i="8"/>
  <c r="W735" i="8"/>
  <c r="W736" i="8"/>
  <c r="W737" i="8"/>
  <c r="W738" i="8"/>
  <c r="W739" i="8"/>
  <c r="W740" i="8"/>
  <c r="W741" i="8"/>
  <c r="W742" i="8"/>
  <c r="W744" i="8"/>
  <c r="W745" i="8"/>
  <c r="W746" i="8"/>
  <c r="W747" i="8"/>
  <c r="W748" i="8"/>
  <c r="W749" i="8"/>
  <c r="W750" i="8"/>
  <c r="W752" i="8"/>
  <c r="W753" i="8"/>
  <c r="W754" i="8"/>
  <c r="W755" i="8"/>
  <c r="W756" i="8"/>
  <c r="W757" i="8"/>
  <c r="W758" i="8"/>
  <c r="W760" i="8"/>
  <c r="W761" i="8"/>
  <c r="W762" i="8"/>
  <c r="W763" i="8"/>
  <c r="W764" i="8"/>
  <c r="W765" i="8"/>
  <c r="W766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6" i="8"/>
  <c r="W817" i="8"/>
  <c r="W818" i="8"/>
  <c r="W819" i="8"/>
  <c r="W820" i="8"/>
  <c r="W821" i="8"/>
  <c r="W822" i="8"/>
  <c r="W824" i="8"/>
  <c r="W825" i="8"/>
  <c r="W826" i="8"/>
  <c r="W827" i="8"/>
  <c r="W828" i="8"/>
  <c r="W829" i="8"/>
  <c r="W830" i="8"/>
  <c r="W832" i="8"/>
  <c r="W833" i="8"/>
  <c r="W834" i="8"/>
  <c r="W835" i="8"/>
  <c r="W836" i="8"/>
  <c r="W837" i="8"/>
  <c r="W838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6" i="8"/>
  <c r="W857" i="8"/>
  <c r="W858" i="8"/>
  <c r="W859" i="8"/>
  <c r="W860" i="8"/>
  <c r="W861" i="8"/>
  <c r="W862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8" i="8"/>
  <c r="W889" i="8"/>
  <c r="W890" i="8"/>
  <c r="W891" i="8"/>
  <c r="W892" i="8"/>
  <c r="W893" i="8"/>
  <c r="W894" i="8"/>
  <c r="W896" i="8"/>
  <c r="W897" i="8"/>
  <c r="W898" i="8"/>
  <c r="W899" i="8"/>
  <c r="W900" i="8"/>
  <c r="W901" i="8"/>
  <c r="W902" i="8"/>
  <c r="W904" i="8"/>
  <c r="W905" i="8"/>
  <c r="W906" i="8"/>
  <c r="W907" i="8"/>
  <c r="W908" i="8"/>
  <c r="W909" i="8"/>
  <c r="W910" i="8"/>
  <c r="W912" i="8"/>
  <c r="W913" i="8"/>
  <c r="W914" i="8"/>
  <c r="W915" i="8"/>
  <c r="W916" i="8"/>
  <c r="W917" i="8"/>
  <c r="W918" i="8"/>
  <c r="W920" i="8"/>
  <c r="W921" i="8"/>
  <c r="W922" i="8"/>
  <c r="W923" i="8"/>
  <c r="W924" i="8"/>
  <c r="W925" i="8"/>
  <c r="W926" i="8"/>
  <c r="W928" i="8"/>
  <c r="W929" i="8"/>
  <c r="W930" i="8"/>
  <c r="W931" i="8"/>
  <c r="W932" i="8"/>
  <c r="W933" i="8"/>
  <c r="W934" i="8"/>
  <c r="W935" i="8"/>
  <c r="W936" i="8"/>
  <c r="W937" i="8"/>
  <c r="W938" i="8"/>
  <c r="W939" i="8"/>
  <c r="W940" i="8"/>
  <c r="W941" i="8"/>
  <c r="W942" i="8"/>
  <c r="W944" i="8"/>
  <c r="W945" i="8"/>
  <c r="W946" i="8"/>
  <c r="W947" i="8"/>
  <c r="W948" i="8"/>
  <c r="W949" i="8"/>
  <c r="W950" i="8"/>
  <c r="W952" i="8"/>
  <c r="W953" i="8"/>
  <c r="W954" i="8"/>
  <c r="W955" i="8"/>
  <c r="W956" i="8"/>
  <c r="W957" i="8"/>
  <c r="W958" i="8"/>
  <c r="W959" i="8"/>
  <c r="W960" i="8"/>
  <c r="W961" i="8"/>
  <c r="W962" i="8"/>
  <c r="W963" i="8"/>
  <c r="W964" i="8"/>
  <c r="W965" i="8"/>
  <c r="W966" i="8"/>
  <c r="W968" i="8"/>
  <c r="W969" i="8"/>
  <c r="W970" i="8"/>
  <c r="W971" i="8"/>
  <c r="W972" i="8"/>
  <c r="W973" i="8"/>
  <c r="W974" i="8"/>
  <c r="W976" i="8"/>
  <c r="W977" i="8"/>
  <c r="W978" i="8"/>
  <c r="W979" i="8"/>
  <c r="W980" i="8"/>
  <c r="W981" i="8"/>
  <c r="W982" i="8"/>
  <c r="W983" i="8"/>
  <c r="W984" i="8"/>
  <c r="W985" i="8"/>
  <c r="W986" i="8"/>
  <c r="W987" i="8"/>
  <c r="W988" i="8"/>
  <c r="W989" i="8"/>
  <c r="W990" i="8"/>
  <c r="W992" i="8"/>
  <c r="W993" i="8"/>
  <c r="W994" i="8"/>
  <c r="W995" i="8"/>
  <c r="W996" i="8"/>
  <c r="W997" i="8"/>
  <c r="W998" i="8"/>
  <c r="W1000" i="8"/>
  <c r="W1001" i="8"/>
  <c r="W1002" i="8"/>
  <c r="W1003" i="8"/>
  <c r="W1004" i="8"/>
  <c r="W1005" i="8"/>
  <c r="W1006" i="8"/>
  <c r="W1008" i="8"/>
  <c r="W1009" i="8"/>
  <c r="W1010" i="8"/>
  <c r="W1011" i="8"/>
  <c r="W1012" i="8"/>
  <c r="W1013" i="8"/>
  <c r="W1014" i="8"/>
  <c r="W1016" i="8"/>
  <c r="W1017" i="8"/>
  <c r="W1018" i="8"/>
  <c r="W1019" i="8"/>
  <c r="W1020" i="8"/>
  <c r="W1021" i="8"/>
  <c r="W1022" i="8"/>
  <c r="W1023" i="8"/>
  <c r="W1024" i="8"/>
  <c r="W1025" i="8"/>
  <c r="W1026" i="8"/>
  <c r="W1027" i="8"/>
  <c r="W1028" i="8"/>
  <c r="W1029" i="8"/>
  <c r="W1030" i="8"/>
  <c r="W1032" i="8"/>
  <c r="W1033" i="8"/>
  <c r="W1034" i="8"/>
  <c r="W1035" i="8"/>
  <c r="W1036" i="8"/>
  <c r="W1037" i="8"/>
  <c r="W1038" i="8"/>
  <c r="W1040" i="8"/>
  <c r="W1041" i="8"/>
  <c r="W1042" i="8"/>
  <c r="W1043" i="8"/>
  <c r="W1044" i="8"/>
  <c r="W1045" i="8"/>
  <c r="W1046" i="8"/>
  <c r="W1048" i="8"/>
  <c r="W1049" i="8"/>
  <c r="W1050" i="8"/>
  <c r="W1051" i="8"/>
  <c r="W1052" i="8"/>
  <c r="W1053" i="8"/>
  <c r="W1054" i="8"/>
  <c r="W1056" i="8"/>
  <c r="W1057" i="8"/>
  <c r="W1058" i="8"/>
  <c r="W1059" i="8"/>
  <c r="W1060" i="8"/>
  <c r="W1061" i="8"/>
  <c r="W1062" i="8"/>
  <c r="W1063" i="8"/>
  <c r="W1064" i="8"/>
  <c r="W1065" i="8"/>
  <c r="W1066" i="8"/>
  <c r="W1067" i="8"/>
  <c r="W1068" i="8"/>
  <c r="W1069" i="8"/>
  <c r="W1070" i="8"/>
  <c r="W1071" i="8"/>
  <c r="W1072" i="8"/>
  <c r="W1073" i="8"/>
  <c r="W1074" i="8"/>
  <c r="W1075" i="8"/>
  <c r="W1076" i="8"/>
  <c r="W1077" i="8"/>
  <c r="W1078" i="8"/>
  <c r="W1080" i="8"/>
  <c r="W1081" i="8"/>
  <c r="W1082" i="8"/>
  <c r="W1083" i="8"/>
  <c r="W1084" i="8"/>
  <c r="W1085" i="8"/>
  <c r="W1086" i="8"/>
  <c r="W1088" i="8"/>
  <c r="W1089" i="8"/>
  <c r="W1090" i="8"/>
  <c r="W1091" i="8"/>
  <c r="W1092" i="8"/>
  <c r="W1093" i="8"/>
  <c r="W1094" i="8"/>
  <c r="W1095" i="8"/>
  <c r="W1096" i="8"/>
  <c r="W1097" i="8"/>
  <c r="W1098" i="8"/>
  <c r="W1099" i="8"/>
  <c r="W1100" i="8"/>
  <c r="W1101" i="8"/>
  <c r="W1102" i="8"/>
  <c r="W1103" i="8"/>
  <c r="W1104" i="8"/>
  <c r="W1105" i="8"/>
  <c r="W1106" i="8"/>
  <c r="W1107" i="8"/>
  <c r="W1108" i="8"/>
  <c r="W1109" i="8"/>
  <c r="W1110" i="8"/>
  <c r="W1111" i="8"/>
  <c r="W1112" i="8"/>
  <c r="W1113" i="8"/>
  <c r="W1114" i="8"/>
  <c r="W1115" i="8"/>
  <c r="W1116" i="8"/>
  <c r="W1117" i="8"/>
  <c r="W1118" i="8"/>
  <c r="W1119" i="8"/>
  <c r="W1120" i="8"/>
  <c r="W1121" i="8"/>
  <c r="W1122" i="8"/>
  <c r="W1123" i="8"/>
  <c r="W1124" i="8"/>
  <c r="W1125" i="8"/>
  <c r="W1126" i="8"/>
  <c r="W1127" i="8"/>
  <c r="W1128" i="8"/>
  <c r="W1129" i="8"/>
  <c r="W1130" i="8"/>
  <c r="W1131" i="8"/>
  <c r="W1132" i="8"/>
  <c r="W1133" i="8"/>
  <c r="W1134" i="8"/>
  <c r="W1135" i="8"/>
  <c r="W1136" i="8"/>
  <c r="W1137" i="8"/>
  <c r="W1138" i="8"/>
  <c r="W1139" i="8"/>
  <c r="W1140" i="8"/>
  <c r="W1141" i="8"/>
  <c r="W1142" i="8"/>
  <c r="W1143" i="8"/>
  <c r="W1144" i="8"/>
  <c r="W1145" i="8"/>
  <c r="W1146" i="8"/>
  <c r="W1147" i="8"/>
  <c r="W1148" i="8"/>
  <c r="W1149" i="8"/>
  <c r="W1150" i="8"/>
  <c r="W1151" i="8"/>
  <c r="W1152" i="8"/>
  <c r="W1153" i="8"/>
  <c r="W1154" i="8"/>
  <c r="W1155" i="8"/>
  <c r="W1156" i="8"/>
  <c r="W1157" i="8"/>
  <c r="W1158" i="8"/>
  <c r="W1159" i="8"/>
  <c r="W1160" i="8"/>
  <c r="W1161" i="8"/>
  <c r="W1162" i="8"/>
  <c r="W1163" i="8"/>
  <c r="W1164" i="8"/>
  <c r="W1165" i="8"/>
  <c r="W1166" i="8"/>
  <c r="W1167" i="8"/>
  <c r="W1168" i="8"/>
  <c r="W1169" i="8"/>
  <c r="W1170" i="8"/>
  <c r="W1171" i="8"/>
  <c r="W1172" i="8"/>
  <c r="W1173" i="8"/>
  <c r="W1174" i="8"/>
  <c r="W1175" i="8"/>
  <c r="W1176" i="8"/>
  <c r="W1177" i="8"/>
  <c r="W1178" i="8"/>
  <c r="W1179" i="8"/>
  <c r="W1180" i="8"/>
  <c r="W1181" i="8"/>
  <c r="W1182" i="8"/>
  <c r="W1183" i="8"/>
  <c r="W1184" i="8"/>
  <c r="W1185" i="8"/>
  <c r="W1186" i="8"/>
  <c r="W1187" i="8"/>
  <c r="W1188" i="8"/>
  <c r="W1189" i="8"/>
  <c r="W1190" i="8"/>
  <c r="W1191" i="8"/>
  <c r="W1192" i="8"/>
  <c r="W1193" i="8"/>
  <c r="W1194" i="8"/>
  <c r="W1195" i="8"/>
  <c r="W1196" i="8"/>
  <c r="W1197" i="8"/>
  <c r="W1198" i="8"/>
  <c r="W1199" i="8"/>
  <c r="W1200" i="8"/>
  <c r="W1201" i="8"/>
  <c r="W1202" i="8"/>
  <c r="W1203" i="8"/>
  <c r="W1204" i="8"/>
  <c r="W1205" i="8"/>
  <c r="W1206" i="8"/>
  <c r="W1207" i="8"/>
  <c r="W1208" i="8"/>
  <c r="W1209" i="8"/>
  <c r="W1210" i="8"/>
  <c r="W1211" i="8"/>
  <c r="W1212" i="8"/>
  <c r="W1213" i="8"/>
  <c r="W1214" i="8"/>
  <c r="W1215" i="8"/>
  <c r="W1216" i="8"/>
  <c r="W1217" i="8"/>
  <c r="W1218" i="8"/>
  <c r="W1219" i="8"/>
  <c r="W1220" i="8"/>
  <c r="W1221" i="8"/>
  <c r="W1222" i="8"/>
  <c r="W1223" i="8"/>
  <c r="W1224" i="8"/>
  <c r="W1225" i="8"/>
  <c r="W1226" i="8"/>
  <c r="W1227" i="8"/>
  <c r="W1228" i="8"/>
  <c r="W1229" i="8"/>
  <c r="W1230" i="8"/>
  <c r="W1231" i="8"/>
  <c r="W1232" i="8"/>
  <c r="W1233" i="8"/>
  <c r="W1234" i="8"/>
  <c r="W1235" i="8"/>
  <c r="W1236" i="8"/>
  <c r="W1237" i="8"/>
  <c r="W1238" i="8"/>
  <c r="W1239" i="8"/>
  <c r="W1240" i="8"/>
  <c r="W1241" i="8"/>
  <c r="W1242" i="8"/>
  <c r="W1243" i="8"/>
  <c r="W1244" i="8"/>
  <c r="W1245" i="8"/>
  <c r="W1246" i="8"/>
  <c r="W1247" i="8"/>
  <c r="W1248" i="8"/>
  <c r="W1249" i="8"/>
  <c r="W1250" i="8"/>
  <c r="W1251" i="8"/>
  <c r="W1252" i="8"/>
  <c r="W1253" i="8"/>
  <c r="W1254" i="8"/>
  <c r="W1255" i="8"/>
  <c r="W1256" i="8"/>
  <c r="W1257" i="8"/>
  <c r="W1258" i="8"/>
  <c r="W1259" i="8"/>
  <c r="W1260" i="8"/>
  <c r="W1261" i="8"/>
  <c r="W1262" i="8"/>
  <c r="W1263" i="8"/>
  <c r="W1264" i="8"/>
  <c r="W1265" i="8"/>
  <c r="W1266" i="8"/>
  <c r="W1267" i="8"/>
  <c r="W1268" i="8"/>
  <c r="W1269" i="8"/>
  <c r="W1270" i="8"/>
  <c r="W1271" i="8"/>
  <c r="W1272" i="8"/>
  <c r="W1273" i="8"/>
  <c r="W1274" i="8"/>
  <c r="W1275" i="8"/>
  <c r="W1276" i="8"/>
  <c r="W1277" i="8"/>
  <c r="W1278" i="8"/>
  <c r="W1279" i="8"/>
  <c r="W1280" i="8"/>
  <c r="W1281" i="8"/>
  <c r="W1282" i="8"/>
  <c r="W1283" i="8"/>
  <c r="W1284" i="8"/>
  <c r="W1285" i="8"/>
  <c r="W1286" i="8"/>
  <c r="W1287" i="8"/>
  <c r="W1288" i="8"/>
  <c r="W1289" i="8"/>
  <c r="W1290" i="8"/>
  <c r="W1291" i="8"/>
  <c r="W1292" i="8"/>
  <c r="W1293" i="8"/>
  <c r="W1294" i="8"/>
  <c r="W1295" i="8"/>
  <c r="W1296" i="8"/>
  <c r="W1297" i="8"/>
  <c r="W1298" i="8"/>
  <c r="W1299" i="8"/>
  <c r="W1300" i="8"/>
  <c r="W1301" i="8"/>
  <c r="W1302" i="8"/>
  <c r="W1303" i="8"/>
  <c r="W1304" i="8"/>
  <c r="W1305" i="8"/>
  <c r="W1306" i="8"/>
  <c r="W1307" i="8"/>
  <c r="W1308" i="8"/>
  <c r="W1309" i="8"/>
  <c r="W1310" i="8"/>
  <c r="W1311" i="8"/>
  <c r="W1312" i="8"/>
  <c r="W1313" i="8"/>
  <c r="W1314" i="8"/>
  <c r="W1315" i="8"/>
  <c r="W1316" i="8"/>
  <c r="W1317" i="8"/>
  <c r="W1318" i="8"/>
  <c r="W1319" i="8"/>
  <c r="W1320" i="8"/>
  <c r="W1321" i="8"/>
  <c r="W1322" i="8"/>
  <c r="W1323" i="8"/>
  <c r="W1324" i="8"/>
  <c r="W1325" i="8"/>
  <c r="W1326" i="8"/>
  <c r="W1327" i="8"/>
  <c r="W1328" i="8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100" i="8"/>
  <c r="X101" i="8"/>
  <c r="X102" i="8"/>
  <c r="X103" i="8"/>
  <c r="X104" i="8"/>
  <c r="X105" i="8"/>
  <c r="X106" i="8"/>
  <c r="X108" i="8"/>
  <c r="X109" i="8"/>
  <c r="X110" i="8"/>
  <c r="X111" i="8"/>
  <c r="X112" i="8"/>
  <c r="X113" i="8"/>
  <c r="X114" i="8"/>
  <c r="X116" i="8"/>
  <c r="X117" i="8"/>
  <c r="X118" i="8"/>
  <c r="X119" i="8"/>
  <c r="X120" i="8"/>
  <c r="X121" i="8"/>
  <c r="X122" i="8"/>
  <c r="X124" i="8"/>
  <c r="X125" i="8"/>
  <c r="X126" i="8"/>
  <c r="X127" i="8"/>
  <c r="X128" i="8"/>
  <c r="X129" i="8"/>
  <c r="X130" i="8"/>
  <c r="X132" i="8"/>
  <c r="X133" i="8"/>
  <c r="X134" i="8"/>
  <c r="X135" i="8"/>
  <c r="X136" i="8"/>
  <c r="X137" i="8"/>
  <c r="X138" i="8"/>
  <c r="X140" i="8"/>
  <c r="X141" i="8"/>
  <c r="X142" i="8"/>
  <c r="X143" i="8"/>
  <c r="X144" i="8"/>
  <c r="X145" i="8"/>
  <c r="X146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4" i="8"/>
  <c r="X165" i="8"/>
  <c r="X166" i="8"/>
  <c r="X167" i="8"/>
  <c r="X168" i="8"/>
  <c r="X169" i="8"/>
  <c r="X170" i="8"/>
  <c r="X172" i="8"/>
  <c r="X173" i="8"/>
  <c r="X174" i="8"/>
  <c r="X175" i="8"/>
  <c r="X176" i="8"/>
  <c r="X177" i="8"/>
  <c r="X178" i="8"/>
  <c r="X180" i="8"/>
  <c r="X181" i="8"/>
  <c r="X182" i="8"/>
  <c r="X183" i="8"/>
  <c r="X184" i="8"/>
  <c r="X185" i="8"/>
  <c r="X186" i="8"/>
  <c r="X188" i="8"/>
  <c r="X189" i="8"/>
  <c r="X190" i="8"/>
  <c r="X191" i="8"/>
  <c r="X192" i="8"/>
  <c r="X193" i="8"/>
  <c r="X194" i="8"/>
  <c r="X196" i="8"/>
  <c r="X197" i="8"/>
  <c r="X198" i="8"/>
  <c r="X199" i="8"/>
  <c r="X200" i="8"/>
  <c r="X201" i="8"/>
  <c r="X202" i="8"/>
  <c r="X204" i="8"/>
  <c r="X205" i="8"/>
  <c r="X206" i="8"/>
  <c r="X207" i="8"/>
  <c r="X208" i="8"/>
  <c r="X209" i="8"/>
  <c r="X210" i="8"/>
  <c r="X212" i="8"/>
  <c r="X213" i="8"/>
  <c r="X214" i="8"/>
  <c r="X215" i="8"/>
  <c r="X216" i="8"/>
  <c r="X217" i="8"/>
  <c r="X218" i="8"/>
  <c r="X220" i="8"/>
  <c r="X221" i="8"/>
  <c r="X222" i="8"/>
  <c r="X223" i="8"/>
  <c r="X224" i="8"/>
  <c r="X225" i="8"/>
  <c r="X226" i="8"/>
  <c r="X228" i="8"/>
  <c r="X229" i="8"/>
  <c r="X230" i="8"/>
  <c r="X231" i="8"/>
  <c r="X232" i="8"/>
  <c r="X233" i="8"/>
  <c r="X234" i="8"/>
  <c r="X236" i="8"/>
  <c r="X237" i="8"/>
  <c r="X238" i="8"/>
  <c r="X239" i="8"/>
  <c r="X240" i="8"/>
  <c r="X241" i="8"/>
  <c r="X242" i="8"/>
  <c r="X244" i="8"/>
  <c r="X245" i="8"/>
  <c r="X246" i="8"/>
  <c r="X247" i="8"/>
  <c r="X248" i="8"/>
  <c r="X249" i="8"/>
  <c r="X250" i="8"/>
  <c r="X252" i="8"/>
  <c r="X253" i="8"/>
  <c r="X254" i="8"/>
  <c r="X255" i="8"/>
  <c r="X256" i="8"/>
  <c r="X257" i="8"/>
  <c r="X258" i="8"/>
  <c r="X260" i="8"/>
  <c r="X261" i="8"/>
  <c r="X262" i="8"/>
  <c r="X263" i="8"/>
  <c r="X264" i="8"/>
  <c r="X265" i="8"/>
  <c r="X266" i="8"/>
  <c r="X268" i="8"/>
  <c r="X269" i="8"/>
  <c r="X270" i="8"/>
  <c r="X271" i="8"/>
  <c r="X272" i="8"/>
  <c r="X273" i="8"/>
  <c r="X274" i="8"/>
  <c r="X276" i="8"/>
  <c r="X277" i="8"/>
  <c r="X278" i="8"/>
  <c r="X279" i="8"/>
  <c r="X280" i="8"/>
  <c r="X281" i="8"/>
  <c r="X282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3" i="8"/>
  <c r="X344" i="8"/>
  <c r="X345" i="8"/>
  <c r="X346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8" i="8"/>
  <c r="X479" i="8"/>
  <c r="X480" i="8"/>
  <c r="X481" i="8"/>
  <c r="X482" i="8"/>
  <c r="X483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2" i="8"/>
  <c r="X613" i="8"/>
  <c r="X614" i="8"/>
  <c r="X615" i="8"/>
  <c r="X616" i="8"/>
  <c r="X617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8" i="8"/>
  <c r="X679" i="8"/>
  <c r="X680" i="8"/>
  <c r="X681" i="8"/>
  <c r="X682" i="8"/>
  <c r="X683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6" i="8"/>
  <c r="X797" i="8"/>
  <c r="X798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1176" i="8"/>
  <c r="X1177" i="8"/>
  <c r="X1178" i="8"/>
  <c r="X1179" i="8"/>
  <c r="X1180" i="8"/>
  <c r="X1181" i="8"/>
  <c r="X1182" i="8"/>
  <c r="X1183" i="8"/>
  <c r="X1184" i="8"/>
  <c r="X1185" i="8"/>
  <c r="X1186" i="8"/>
  <c r="X1187" i="8"/>
  <c r="X1188" i="8"/>
  <c r="X1189" i="8"/>
  <c r="X1190" i="8"/>
  <c r="X1191" i="8"/>
  <c r="X1192" i="8"/>
  <c r="X1193" i="8"/>
  <c r="X1194" i="8"/>
  <c r="X1195" i="8"/>
  <c r="X1196" i="8"/>
  <c r="X1197" i="8"/>
  <c r="X1198" i="8"/>
  <c r="X1199" i="8"/>
  <c r="X1200" i="8"/>
  <c r="X1201" i="8"/>
  <c r="X1202" i="8"/>
  <c r="X1203" i="8"/>
  <c r="X1204" i="8"/>
  <c r="X1205" i="8"/>
  <c r="X1206" i="8"/>
  <c r="X1207" i="8"/>
  <c r="X1208" i="8"/>
  <c r="X1209" i="8"/>
  <c r="X1210" i="8"/>
  <c r="X1211" i="8"/>
  <c r="X1212" i="8"/>
  <c r="X1213" i="8"/>
  <c r="X1214" i="8"/>
  <c r="X1215" i="8"/>
  <c r="X1216" i="8"/>
  <c r="X1217" i="8"/>
  <c r="X1218" i="8"/>
  <c r="X1219" i="8"/>
  <c r="X1220" i="8"/>
  <c r="X1221" i="8"/>
  <c r="X1222" i="8"/>
  <c r="X1223" i="8"/>
  <c r="X1224" i="8"/>
  <c r="X1225" i="8"/>
  <c r="X1226" i="8"/>
  <c r="X1227" i="8"/>
  <c r="X1228" i="8"/>
  <c r="X1229" i="8"/>
  <c r="X1230" i="8"/>
  <c r="X1231" i="8"/>
  <c r="X1232" i="8"/>
  <c r="X1233" i="8"/>
  <c r="X1234" i="8"/>
  <c r="X1235" i="8"/>
  <c r="X1236" i="8"/>
  <c r="X1237" i="8"/>
  <c r="X1238" i="8"/>
  <c r="X1239" i="8"/>
  <c r="X1240" i="8"/>
  <c r="X1241" i="8"/>
  <c r="X1242" i="8"/>
  <c r="X1243" i="8"/>
  <c r="X1244" i="8"/>
  <c r="X1245" i="8"/>
  <c r="X1246" i="8"/>
  <c r="X1247" i="8"/>
  <c r="X1248" i="8"/>
  <c r="X1249" i="8"/>
  <c r="X1250" i="8"/>
  <c r="X1251" i="8"/>
  <c r="X1252" i="8"/>
  <c r="X1253" i="8"/>
  <c r="X1254" i="8"/>
  <c r="X1255" i="8"/>
  <c r="X1256" i="8"/>
  <c r="X1257" i="8"/>
  <c r="X1258" i="8"/>
  <c r="X1259" i="8"/>
  <c r="X1260" i="8"/>
  <c r="X1261" i="8"/>
  <c r="X1262" i="8"/>
  <c r="X1263" i="8"/>
  <c r="X1264" i="8"/>
  <c r="X1265" i="8"/>
  <c r="X1266" i="8"/>
  <c r="X1267" i="8"/>
  <c r="X1268" i="8"/>
  <c r="X1269" i="8"/>
  <c r="X1270" i="8"/>
  <c r="X1271" i="8"/>
  <c r="X1272" i="8"/>
  <c r="X1273" i="8"/>
  <c r="X1274" i="8"/>
  <c r="X1275" i="8"/>
  <c r="X1276" i="8"/>
  <c r="X1277" i="8"/>
  <c r="X1278" i="8"/>
  <c r="X1279" i="8"/>
  <c r="X1280" i="8"/>
  <c r="X1281" i="8"/>
  <c r="X1282" i="8"/>
  <c r="X1283" i="8"/>
  <c r="X1284" i="8"/>
  <c r="X1285" i="8"/>
  <c r="X1286" i="8"/>
  <c r="X1287" i="8"/>
  <c r="X1288" i="8"/>
  <c r="X1289" i="8"/>
  <c r="X1290" i="8"/>
  <c r="X1291" i="8"/>
  <c r="X1292" i="8"/>
  <c r="X1293" i="8"/>
  <c r="X1294" i="8"/>
  <c r="X1295" i="8"/>
  <c r="X1296" i="8"/>
  <c r="X1297" i="8"/>
  <c r="X1298" i="8"/>
  <c r="X1299" i="8"/>
  <c r="X1300" i="8"/>
  <c r="X1301" i="8"/>
  <c r="X1302" i="8"/>
  <c r="X1303" i="8"/>
  <c r="X1304" i="8"/>
  <c r="X1305" i="8"/>
  <c r="X1306" i="8"/>
  <c r="X1307" i="8"/>
  <c r="X1308" i="8"/>
  <c r="X1309" i="8"/>
  <c r="X1310" i="8"/>
  <c r="X1311" i="8"/>
  <c r="X1312" i="8"/>
  <c r="X1313" i="8"/>
  <c r="X1314" i="8"/>
  <c r="X1315" i="8"/>
  <c r="X1316" i="8"/>
  <c r="X1317" i="8"/>
  <c r="X1318" i="8"/>
  <c r="X1319" i="8"/>
  <c r="X1320" i="8"/>
  <c r="X1321" i="8"/>
  <c r="X1322" i="8"/>
  <c r="X1323" i="8"/>
  <c r="X1324" i="8"/>
  <c r="X1325" i="8"/>
  <c r="X1326" i="8"/>
  <c r="X1327" i="8"/>
  <c r="X1328" i="8"/>
  <c r="C1262" i="1"/>
  <c r="D1262" i="1"/>
  <c r="E1262" i="1"/>
  <c r="C1261" i="1"/>
  <c r="D1261" i="1"/>
  <c r="E1261" i="1"/>
  <c r="C1260" i="1"/>
  <c r="D1260" i="1"/>
  <c r="E1260" i="1"/>
  <c r="C1259" i="1"/>
  <c r="D1259" i="1"/>
  <c r="E1259" i="1"/>
  <c r="X676" i="8" l="1"/>
  <c r="X484" i="8"/>
  <c r="X544" i="8"/>
  <c r="W533" i="8"/>
  <c r="W525" i="8"/>
  <c r="W517" i="8"/>
  <c r="W509" i="8"/>
  <c r="W501" i="8"/>
  <c r="W493" i="8"/>
  <c r="W485" i="8"/>
  <c r="X485" i="8" s="1"/>
  <c r="W477" i="8"/>
  <c r="X477" i="8" s="1"/>
  <c r="W469" i="8"/>
  <c r="W461" i="8"/>
  <c r="W453" i="8"/>
  <c r="W445" i="8"/>
  <c r="W437" i="8"/>
  <c r="W429" i="8"/>
  <c r="X429" i="8" s="1"/>
  <c r="W421" i="8"/>
  <c r="V397" i="8"/>
  <c r="V389" i="8"/>
  <c r="V381" i="8"/>
  <c r="V373" i="8"/>
  <c r="V365" i="8"/>
  <c r="V357" i="8"/>
  <c r="V349" i="8"/>
  <c r="W341" i="8"/>
  <c r="W333" i="8"/>
  <c r="W325" i="8"/>
  <c r="W317" i="8"/>
  <c r="W309" i="8"/>
  <c r="W301" i="8"/>
  <c r="W293" i="8"/>
  <c r="W285" i="8"/>
  <c r="W277" i="8"/>
  <c r="W157" i="8"/>
  <c r="X685" i="8"/>
  <c r="X618" i="8"/>
  <c r="X610" i="8"/>
  <c r="X744" i="8"/>
  <c r="X416" i="8"/>
  <c r="W1087" i="8"/>
  <c r="W1079" i="8"/>
  <c r="W1055" i="8"/>
  <c r="W1047" i="8"/>
  <c r="W1039" i="8"/>
  <c r="X1039" i="8" s="1"/>
  <c r="W1031" i="8"/>
  <c r="W1015" i="8"/>
  <c r="W1007" i="8"/>
  <c r="W999" i="8"/>
  <c r="W991" i="8"/>
  <c r="W975" i="8"/>
  <c r="X975" i="8" s="1"/>
  <c r="W967" i="8"/>
  <c r="W951" i="8"/>
  <c r="W943" i="8"/>
  <c r="W927" i="8"/>
  <c r="X927" i="8" s="1"/>
  <c r="W919" i="8"/>
  <c r="W911" i="8"/>
  <c r="W903" i="8"/>
  <c r="W895" i="8"/>
  <c r="W887" i="8"/>
  <c r="W863" i="8"/>
  <c r="W855" i="8"/>
  <c r="W839" i="8"/>
  <c r="X839" i="8" s="1"/>
  <c r="W831" i="8"/>
  <c r="W823" i="8"/>
  <c r="W815" i="8"/>
  <c r="W799" i="8"/>
  <c r="X799" i="8" s="1"/>
  <c r="W767" i="8"/>
  <c r="W759" i="8"/>
  <c r="W751" i="8"/>
  <c r="W743" i="8"/>
  <c r="X743" i="8" s="1"/>
  <c r="W671" i="8"/>
  <c r="W663" i="8"/>
  <c r="W655" i="8"/>
  <c r="W639" i="8"/>
  <c r="W631" i="8"/>
  <c r="W575" i="8"/>
  <c r="W567" i="8"/>
  <c r="W559" i="8"/>
  <c r="W551" i="8"/>
  <c r="W543" i="8"/>
  <c r="X543" i="8" s="1"/>
  <c r="W415" i="8"/>
  <c r="X415" i="8" s="1"/>
  <c r="W407" i="8"/>
  <c r="W343" i="8"/>
  <c r="W271" i="8"/>
  <c r="W239" i="8"/>
  <c r="W231" i="8"/>
  <c r="W207" i="8"/>
  <c r="W191" i="8"/>
  <c r="W183" i="8"/>
  <c r="W175" i="8"/>
  <c r="W167" i="8"/>
  <c r="W159" i="8"/>
  <c r="W119" i="8"/>
  <c r="W111" i="8"/>
  <c r="V342" i="8"/>
  <c r="W397" i="8"/>
  <c r="W389" i="8"/>
  <c r="W381" i="8"/>
  <c r="W373" i="8"/>
  <c r="W365" i="8"/>
  <c r="W357" i="8"/>
  <c r="W349" i="8"/>
  <c r="V812" i="8"/>
  <c r="V804" i="8"/>
  <c r="V284" i="8"/>
  <c r="X284" i="8" s="1"/>
  <c r="V276" i="8"/>
  <c r="C1070" i="1"/>
  <c r="D1070" i="1"/>
  <c r="E1070" i="1"/>
  <c r="C1071" i="1"/>
  <c r="D1071" i="1"/>
  <c r="E1071" i="1"/>
  <c r="C1072" i="1"/>
  <c r="D1072" i="1"/>
  <c r="E1072" i="1"/>
  <c r="C1073" i="1"/>
  <c r="D1073" i="1"/>
  <c r="E1073" i="1"/>
  <c r="C1066" i="1"/>
  <c r="D1066" i="1"/>
  <c r="E1066" i="1"/>
  <c r="C1067" i="1"/>
  <c r="D1067" i="1"/>
  <c r="E1067" i="1"/>
  <c r="C1068" i="1"/>
  <c r="D1068" i="1"/>
  <c r="E1068" i="1"/>
  <c r="C1069" i="1"/>
  <c r="D1069" i="1"/>
  <c r="E1069" i="1"/>
  <c r="C1062" i="1"/>
  <c r="D1062" i="1"/>
  <c r="E1062" i="1"/>
  <c r="C1063" i="1"/>
  <c r="D1063" i="1"/>
  <c r="E1063" i="1"/>
  <c r="C1064" i="1"/>
  <c r="D1064" i="1"/>
  <c r="E1064" i="1"/>
  <c r="C1065" i="1"/>
  <c r="D1065" i="1"/>
  <c r="E1065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C1046" i="1"/>
  <c r="D1046" i="1"/>
  <c r="E1046" i="1"/>
  <c r="C1047" i="1"/>
  <c r="D1047" i="1"/>
  <c r="E1047" i="1"/>
  <c r="C1048" i="1"/>
  <c r="D1048" i="1"/>
  <c r="E1048" i="1"/>
  <c r="C1049" i="1"/>
  <c r="D1049" i="1"/>
  <c r="E1049" i="1"/>
  <c r="C1042" i="1"/>
  <c r="D1042" i="1"/>
  <c r="E1042" i="1"/>
  <c r="C1043" i="1"/>
  <c r="D1043" i="1"/>
  <c r="E1043" i="1"/>
  <c r="C1044" i="1"/>
  <c r="D1044" i="1"/>
  <c r="E1044" i="1"/>
  <c r="C1045" i="1"/>
  <c r="D1045" i="1"/>
  <c r="E1045" i="1"/>
  <c r="C1258" i="1" l="1"/>
  <c r="D1258" i="1"/>
  <c r="E1258" i="1"/>
  <c r="E1257" i="1" l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11" i="1"/>
  <c r="E1241" i="1" l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0" i="1"/>
  <c r="E1209" i="1"/>
  <c r="C1209" i="1"/>
  <c r="E1208" i="1"/>
  <c r="C1208" i="1"/>
  <c r="E1207" i="1"/>
  <c r="C1207" i="1"/>
  <c r="E1206" i="1"/>
  <c r="C1206" i="1"/>
  <c r="E1205" i="1"/>
  <c r="C1205" i="1"/>
  <c r="E1204" i="1"/>
  <c r="C1204" i="1"/>
  <c r="E1203" i="1"/>
  <c r="C1203" i="1"/>
  <c r="E1202" i="1"/>
  <c r="C1202" i="1"/>
  <c r="E1201" i="1"/>
  <c r="C1201" i="1"/>
  <c r="E1200" i="1"/>
  <c r="C1200" i="1"/>
  <c r="E1199" i="1"/>
  <c r="C1199" i="1"/>
  <c r="E1198" i="1"/>
  <c r="C1198" i="1"/>
  <c r="E1197" i="1"/>
  <c r="C1197" i="1"/>
  <c r="E1196" i="1"/>
  <c r="C1196" i="1"/>
  <c r="E1195" i="1"/>
  <c r="C1195" i="1"/>
  <c r="E1194" i="1"/>
  <c r="C1194" i="1"/>
  <c r="E1193" i="1"/>
  <c r="C1193" i="1"/>
  <c r="E1192" i="1"/>
  <c r="C1192" i="1"/>
  <c r="E1191" i="1"/>
  <c r="C1191" i="1"/>
  <c r="E1190" i="1"/>
  <c r="C1190" i="1"/>
  <c r="E1189" i="1"/>
  <c r="C1189" i="1"/>
  <c r="E1188" i="1"/>
  <c r="C1188" i="1"/>
  <c r="E1187" i="1"/>
  <c r="C1187" i="1"/>
  <c r="E1186" i="1"/>
  <c r="C1186" i="1"/>
  <c r="E1185" i="1"/>
  <c r="C1185" i="1"/>
  <c r="E1184" i="1"/>
  <c r="C1184" i="1"/>
  <c r="E1183" i="1"/>
  <c r="C1183" i="1"/>
  <c r="E1182" i="1"/>
  <c r="C1182" i="1"/>
  <c r="E1181" i="1"/>
  <c r="C1181" i="1"/>
  <c r="E1180" i="1"/>
  <c r="C1180" i="1"/>
  <c r="E1179" i="1"/>
  <c r="C1179" i="1"/>
  <c r="E1178" i="1"/>
  <c r="C1178" i="1"/>
  <c r="E1177" i="1"/>
  <c r="C1177" i="1"/>
  <c r="E1176" i="1"/>
  <c r="C1176" i="1"/>
  <c r="E1175" i="1"/>
  <c r="C1175" i="1"/>
  <c r="E1174" i="1"/>
  <c r="C1174" i="1"/>
  <c r="E1173" i="1"/>
  <c r="C1173" i="1"/>
  <c r="E1172" i="1"/>
  <c r="C1172" i="1"/>
  <c r="E1171" i="1"/>
  <c r="C1171" i="1"/>
  <c r="E1170" i="1"/>
  <c r="C1170" i="1"/>
  <c r="E1169" i="1"/>
  <c r="C1169" i="1"/>
  <c r="E1168" i="1"/>
  <c r="C1168" i="1"/>
  <c r="E1167" i="1"/>
  <c r="C1167" i="1"/>
  <c r="E1166" i="1"/>
  <c r="C1166" i="1"/>
  <c r="E1165" i="1"/>
  <c r="C1165" i="1"/>
  <c r="E1164" i="1"/>
  <c r="C1164" i="1"/>
  <c r="E1163" i="1"/>
  <c r="C1163" i="1"/>
  <c r="E1162" i="1"/>
  <c r="C1162" i="1"/>
  <c r="E1077" i="1"/>
  <c r="E1076" i="1"/>
  <c r="E1075" i="1"/>
  <c r="E1074" i="1"/>
  <c r="E1041" i="1"/>
  <c r="E1040" i="1"/>
  <c r="E1039" i="1"/>
  <c r="E1038" i="1"/>
  <c r="E1016" i="1"/>
  <c r="E1015" i="1"/>
  <c r="E1014" i="1"/>
  <c r="E1013" i="1"/>
  <c r="E1012" i="1"/>
  <c r="E1011" i="1"/>
  <c r="E1010" i="1"/>
  <c r="E1009" i="1"/>
  <c r="E985" i="1"/>
  <c r="E984" i="1"/>
  <c r="E983" i="1"/>
  <c r="E982" i="1"/>
  <c r="E981" i="1"/>
  <c r="E980" i="1"/>
  <c r="E979" i="1"/>
  <c r="E978" i="1"/>
  <c r="E956" i="1"/>
  <c r="E955" i="1"/>
  <c r="E954" i="1"/>
  <c r="E953" i="1"/>
  <c r="E952" i="1"/>
  <c r="E951" i="1"/>
  <c r="E950" i="1"/>
  <c r="E949" i="1"/>
  <c r="E929" i="1"/>
  <c r="E928" i="1"/>
  <c r="E927" i="1"/>
  <c r="E926" i="1"/>
  <c r="E925" i="1"/>
  <c r="E924" i="1"/>
  <c r="E923" i="1"/>
  <c r="E922" i="1"/>
  <c r="E900" i="1"/>
  <c r="E899" i="1"/>
  <c r="E898" i="1"/>
  <c r="E897" i="1"/>
  <c r="E896" i="1"/>
  <c r="E895" i="1"/>
  <c r="E894" i="1"/>
  <c r="E893" i="1"/>
  <c r="E869" i="1"/>
  <c r="E868" i="1"/>
  <c r="E867" i="1"/>
  <c r="E866" i="1"/>
  <c r="E865" i="1"/>
  <c r="E864" i="1"/>
  <c r="E863" i="1"/>
  <c r="E862" i="1"/>
  <c r="E840" i="1"/>
  <c r="E839" i="1"/>
  <c r="E838" i="1"/>
  <c r="E837" i="1"/>
  <c r="E836" i="1"/>
  <c r="E835" i="1"/>
  <c r="E834" i="1"/>
  <c r="E833" i="1"/>
  <c r="E809" i="1"/>
  <c r="E808" i="1"/>
  <c r="E807" i="1"/>
  <c r="E806" i="1"/>
  <c r="E805" i="1"/>
  <c r="E804" i="1"/>
  <c r="E803" i="1"/>
  <c r="E802" i="1"/>
  <c r="E781" i="1"/>
  <c r="E780" i="1"/>
  <c r="E779" i="1"/>
  <c r="E778" i="1"/>
  <c r="E777" i="1"/>
  <c r="E776" i="1"/>
  <c r="E775" i="1"/>
  <c r="E774" i="1"/>
  <c r="E749" i="1"/>
  <c r="E748" i="1"/>
  <c r="E747" i="1"/>
  <c r="E746" i="1"/>
  <c r="E745" i="1"/>
  <c r="E744" i="1"/>
  <c r="E743" i="1"/>
  <c r="E742" i="1"/>
  <c r="E717" i="1"/>
  <c r="E716" i="1"/>
  <c r="E715" i="1"/>
  <c r="E714" i="1"/>
  <c r="E713" i="1"/>
  <c r="E712" i="1"/>
  <c r="E711" i="1"/>
  <c r="G671" i="17" l="1"/>
  <c r="J20" i="18" l="1"/>
  <c r="G703" i="18"/>
  <c r="J597" i="18"/>
  <c r="J593" i="18"/>
  <c r="J589" i="18"/>
  <c r="J585" i="18"/>
  <c r="J581" i="18"/>
  <c r="J576" i="18"/>
  <c r="J572" i="18"/>
  <c r="J568" i="18"/>
  <c r="J564" i="18"/>
  <c r="J560" i="18"/>
  <c r="J556" i="18"/>
  <c r="J552" i="18"/>
  <c r="J548" i="18"/>
  <c r="J544" i="18"/>
  <c r="J540" i="18"/>
  <c r="J536" i="18"/>
  <c r="J532" i="18"/>
  <c r="J528" i="18"/>
  <c r="J524" i="18"/>
  <c r="J521" i="18"/>
  <c r="J516" i="18"/>
  <c r="J512" i="18"/>
  <c r="J500" i="18"/>
  <c r="J496" i="18"/>
  <c r="J492" i="18"/>
  <c r="J488" i="18"/>
  <c r="J484" i="18"/>
  <c r="J480" i="18"/>
  <c r="J472" i="18"/>
  <c r="J468" i="18"/>
  <c r="J456" i="18"/>
  <c r="J452" i="18"/>
  <c r="J448" i="18"/>
  <c r="J444" i="18"/>
  <c r="J440" i="18"/>
  <c r="J436" i="18"/>
  <c r="J433" i="18"/>
  <c r="J428" i="18"/>
  <c r="J424" i="18"/>
  <c r="J412" i="18"/>
  <c r="J408" i="18"/>
  <c r="J404" i="18"/>
  <c r="J400" i="18"/>
  <c r="J396" i="18"/>
  <c r="J392" i="18"/>
  <c r="J384" i="18"/>
  <c r="J380" i="18"/>
  <c r="J368" i="18"/>
  <c r="J364" i="18"/>
  <c r="J360" i="18"/>
  <c r="J356" i="18"/>
  <c r="J352" i="18"/>
  <c r="J348" i="18"/>
  <c r="J345" i="18"/>
  <c r="J340" i="18"/>
  <c r="J336" i="18"/>
  <c r="J324" i="18"/>
  <c r="J320" i="18"/>
  <c r="J316" i="18"/>
  <c r="J312" i="18"/>
  <c r="J308" i="18"/>
  <c r="J304" i="18"/>
  <c r="J296" i="18"/>
  <c r="J292" i="18"/>
  <c r="J280" i="18"/>
  <c r="J276" i="18"/>
  <c r="J272" i="18"/>
  <c r="J268" i="18"/>
  <c r="J264" i="18"/>
  <c r="J260" i="18"/>
  <c r="J257" i="18"/>
  <c r="J252" i="18"/>
  <c r="J248" i="18"/>
  <c r="J236" i="18"/>
  <c r="J232" i="18"/>
  <c r="J228" i="18"/>
  <c r="J224" i="18"/>
  <c r="J220" i="18"/>
  <c r="J216" i="18"/>
  <c r="J208" i="18"/>
  <c r="J204" i="18"/>
  <c r="J192" i="18"/>
  <c r="J188" i="18"/>
  <c r="J184" i="18"/>
  <c r="J180" i="18"/>
  <c r="J176" i="18"/>
  <c r="J172" i="18"/>
  <c r="J169" i="18"/>
  <c r="J164" i="18"/>
  <c r="J160" i="18"/>
  <c r="J148" i="18"/>
  <c r="J144" i="18"/>
  <c r="J140" i="18"/>
  <c r="J136" i="18"/>
  <c r="J132" i="18"/>
  <c r="J128" i="18"/>
  <c r="J120" i="18"/>
  <c r="J116" i="18"/>
  <c r="J104" i="18"/>
  <c r="J100" i="18"/>
  <c r="J96" i="18"/>
  <c r="J92" i="18"/>
  <c r="J88" i="18"/>
  <c r="J84" i="18"/>
  <c r="J80" i="18"/>
  <c r="J76" i="18"/>
  <c r="J72" i="18"/>
  <c r="J60" i="18"/>
  <c r="J56" i="18"/>
  <c r="J52" i="18"/>
  <c r="J48" i="18"/>
  <c r="J44" i="18"/>
  <c r="J40" i="18"/>
  <c r="J36" i="18"/>
  <c r="J32" i="18"/>
  <c r="J28" i="18"/>
  <c r="J16" i="18"/>
  <c r="J12" i="18"/>
  <c r="J8" i="18"/>
  <c r="J4" i="18"/>
  <c r="J701" i="18" l="1"/>
  <c r="J697" i="18"/>
  <c r="J693" i="18"/>
  <c r="J689" i="18"/>
  <c r="J685" i="18"/>
  <c r="J681" i="18"/>
  <c r="J677" i="18"/>
  <c r="J673" i="18"/>
  <c r="C670" i="18"/>
  <c r="J669" i="18"/>
  <c r="C669" i="18"/>
  <c r="C668" i="18"/>
  <c r="C667" i="18"/>
  <c r="C666" i="18"/>
  <c r="J665" i="18"/>
  <c r="C665" i="18"/>
  <c r="C664" i="18"/>
  <c r="C663" i="18"/>
  <c r="C662" i="18"/>
  <c r="J661" i="18"/>
  <c r="C661" i="18"/>
  <c r="C660" i="18"/>
  <c r="C659" i="18"/>
  <c r="C658" i="18"/>
  <c r="J657" i="18"/>
  <c r="C657" i="18"/>
  <c r="C656" i="18"/>
  <c r="C655" i="18"/>
  <c r="C654" i="18"/>
  <c r="J653" i="18"/>
  <c r="C653" i="18"/>
  <c r="C652" i="18"/>
  <c r="C651" i="18"/>
  <c r="C650" i="18"/>
  <c r="J649" i="18"/>
  <c r="C649" i="18"/>
  <c r="C648" i="18"/>
  <c r="C647" i="18"/>
  <c r="C646" i="18"/>
  <c r="J645" i="18"/>
  <c r="C645" i="18"/>
  <c r="C644" i="18"/>
  <c r="C643" i="18"/>
  <c r="C642" i="18"/>
  <c r="J641" i="18"/>
  <c r="C641" i="18"/>
  <c r="C640" i="18"/>
  <c r="C639" i="18"/>
  <c r="C638" i="18"/>
  <c r="J637" i="18"/>
  <c r="C637" i="18"/>
  <c r="C636" i="18"/>
  <c r="C635" i="18"/>
  <c r="C634" i="18"/>
  <c r="J633" i="18"/>
  <c r="C633" i="18"/>
  <c r="C632" i="18"/>
  <c r="C631" i="18"/>
  <c r="C630" i="18"/>
  <c r="J629" i="18"/>
  <c r="C629" i="18"/>
  <c r="C628" i="18"/>
  <c r="C627" i="18"/>
  <c r="C626" i="18"/>
  <c r="J625" i="18"/>
  <c r="C625" i="18"/>
  <c r="C624" i="18"/>
  <c r="C623" i="18"/>
  <c r="J621" i="18"/>
  <c r="J617" i="18"/>
  <c r="J613" i="18"/>
  <c r="J609" i="18"/>
  <c r="J605" i="18"/>
  <c r="J601" i="18"/>
  <c r="J508" i="18"/>
  <c r="J504" i="18"/>
  <c r="J477" i="18"/>
  <c r="J464" i="18"/>
  <c r="J460" i="18"/>
  <c r="J420" i="18"/>
  <c r="J416" i="18"/>
  <c r="J389" i="18"/>
  <c r="J376" i="18"/>
  <c r="J372" i="18"/>
  <c r="J332" i="18"/>
  <c r="J328" i="18"/>
  <c r="J301" i="18"/>
  <c r="J288" i="18"/>
  <c r="J284" i="18"/>
  <c r="J244" i="18"/>
  <c r="J240" i="18"/>
  <c r="J213" i="18"/>
  <c r="J200" i="18"/>
  <c r="J196" i="18"/>
  <c r="J156" i="18"/>
  <c r="J152" i="18"/>
  <c r="J124" i="18"/>
  <c r="J112" i="18"/>
  <c r="J108" i="18"/>
  <c r="J68" i="18"/>
  <c r="J64" i="18"/>
  <c r="J24" i="18"/>
  <c r="AB133" i="8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18" i="1"/>
  <c r="E509" i="1"/>
  <c r="E508" i="1"/>
  <c r="E507" i="1"/>
  <c r="E506" i="1"/>
  <c r="E505" i="1"/>
  <c r="E504" i="1"/>
  <c r="E503" i="1"/>
  <c r="E502" i="1"/>
  <c r="E477" i="1"/>
  <c r="E476" i="1"/>
  <c r="E475" i="1"/>
  <c r="E465" i="1"/>
  <c r="E464" i="1"/>
  <c r="E463" i="1"/>
  <c r="E462" i="1"/>
  <c r="E461" i="1"/>
  <c r="E460" i="1"/>
  <c r="E459" i="1"/>
  <c r="E458" i="1"/>
  <c r="E430" i="1"/>
  <c r="E421" i="1"/>
  <c r="E420" i="1"/>
  <c r="E419" i="1"/>
  <c r="E418" i="1"/>
  <c r="E417" i="1"/>
  <c r="E416" i="1"/>
  <c r="E415" i="1"/>
  <c r="E414" i="1"/>
  <c r="E389" i="1"/>
  <c r="E388" i="1"/>
  <c r="E387" i="1"/>
  <c r="E377" i="1"/>
  <c r="E376" i="1"/>
  <c r="E375" i="1"/>
  <c r="E374" i="1"/>
  <c r="E373" i="1"/>
  <c r="E372" i="1"/>
  <c r="E371" i="1"/>
  <c r="E370" i="1"/>
  <c r="E342" i="1"/>
  <c r="E333" i="1"/>
  <c r="E332" i="1"/>
  <c r="E331" i="1"/>
  <c r="E330" i="1"/>
  <c r="E329" i="1"/>
  <c r="E328" i="1"/>
  <c r="E327" i="1"/>
  <c r="E326" i="1"/>
  <c r="E301" i="1"/>
  <c r="E300" i="1"/>
  <c r="E299" i="1"/>
  <c r="E289" i="1"/>
  <c r="E288" i="1"/>
  <c r="E287" i="1"/>
  <c r="E286" i="1"/>
  <c r="E285" i="1"/>
  <c r="E284" i="1"/>
  <c r="E283" i="1"/>
  <c r="E282" i="1"/>
  <c r="E254" i="1"/>
  <c r="E245" i="1"/>
  <c r="E244" i="1"/>
  <c r="E243" i="1"/>
  <c r="E242" i="1"/>
  <c r="E241" i="1"/>
  <c r="E240" i="1"/>
  <c r="E239" i="1"/>
  <c r="E238" i="1"/>
  <c r="E213" i="1"/>
  <c r="E212" i="1"/>
  <c r="E211" i="1"/>
  <c r="E201" i="1"/>
  <c r="E200" i="1"/>
  <c r="E199" i="1"/>
  <c r="E198" i="1"/>
  <c r="E197" i="1"/>
  <c r="E196" i="1"/>
  <c r="E195" i="1"/>
  <c r="E194" i="1"/>
  <c r="E166" i="1"/>
  <c r="E157" i="1"/>
  <c r="E156" i="1"/>
  <c r="E155" i="1"/>
  <c r="E154" i="1"/>
  <c r="E153" i="1"/>
  <c r="E152" i="1"/>
  <c r="E151" i="1"/>
  <c r="E150" i="1"/>
  <c r="E125" i="1"/>
  <c r="E124" i="1"/>
  <c r="E123" i="1"/>
  <c r="E113" i="1"/>
  <c r="E112" i="1"/>
  <c r="E111" i="1"/>
  <c r="E110" i="1"/>
  <c r="E109" i="1"/>
  <c r="E108" i="1"/>
  <c r="E107" i="1"/>
  <c r="E106" i="1"/>
  <c r="E69" i="1"/>
  <c r="E68" i="1"/>
  <c r="E67" i="1"/>
  <c r="E66" i="1"/>
  <c r="E65" i="1"/>
  <c r="E64" i="1"/>
  <c r="E63" i="1"/>
  <c r="E62" i="1"/>
  <c r="E25" i="1"/>
  <c r="E24" i="1"/>
  <c r="E23" i="1"/>
  <c r="E22" i="1"/>
  <c r="E21" i="1"/>
  <c r="E20" i="1"/>
  <c r="E19" i="1"/>
  <c r="E18" i="1"/>
  <c r="J703" i="18" l="1"/>
  <c r="F722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8B523-C17E-429B-A23F-9B976B9952DD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2" xr16:uid="{B3F8F7BB-A970-4DA9-9B9C-E227FBE4A199}" keepAlive="1" name="Consulta - BD_Receitas" description="Conexão com a consulta 'BD_Receitas' na pasta de trabalho." type="5" refreshedVersion="8" background="1" saveData="1">
    <dbPr connection="Provider=Microsoft.Mashup.OleDb.1;Data Source=$Workbook$;Location=BD_Receitas;Extended Properties=&quot;&quot;" command="SELECT * FROM [BD_Receitas]"/>
  </connection>
  <connection id="3" xr16:uid="{2D97883D-F417-44A6-AD0A-AEE327181836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4" xr16:uid="{BB11CFDB-8179-482D-BAD4-3FC20FD99D23}" keepAlive="1" name="Consulta - Recebidos Receita" description="Conexão com a consulta 'Recebidos Receita' na pasta de trabalho." type="5" refreshedVersion="7" background="1" saveData="1">
    <dbPr connection="Provider=Microsoft.Mashup.OleDb.1;Data Source=$Workbook$;Location=&quot;Recebidos Receita&quot;;Extended Properties=&quot;&quot;" command="SELECT * FROM [Recebidos Receita]"/>
  </connection>
  <connection id="5" xr16:uid="{F8706023-C464-45AF-A23F-4A1769A64738}" keepAlive="1" name="Consulta - TabCondicoesComerciais" description="Conexão com a consulta 'TabCondicoesComerciais' na pasta de trabalho." type="5" refreshedVersion="8" background="1" saveData="1">
    <dbPr connection="Provider=Microsoft.Mashup.OleDb.1;Data Source=$Workbook$;Location=TabCondicoesComerciais;Extended Properties=&quot;&quot;" command="SELECT * FROM [TabCondicoesComerciais]"/>
  </connection>
  <connection id="6" xr16:uid="{1F7CF7A8-E81E-47DE-87E3-DB5D3314F182}" keepAlive="1" name="Consulta - TabGerencia" description="Conexão com a consulta 'TabGerencia' na pasta de trabalho." type="5" refreshedVersion="0" background="1">
    <dbPr connection="Provider=Microsoft.Mashup.OleDb.1;Data Source=$Workbook$;Location=TabGerencia;Extended Properties=&quot;&quot;" command="SELECT * FROM [TabGerencia]"/>
  </connection>
  <connection id="7" xr16:uid="{1065B8D1-C09C-4E3B-A867-F43D8C6BE53E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8" xr16:uid="{175BDC94-1B5B-43D6-A8EA-3B6C1975902E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  <connection id="9" xr16:uid="{FDF06452-4A7C-42B1-85FF-5382C0EE0CE8}" keepAlive="1" name="Consulta - Volume_Cedido" description="Conexão com a consulta 'Volume_Cedido' na pasta de trabalho." type="5" refreshedVersion="8" background="1" saveData="1">
    <dbPr connection="Provider=Microsoft.Mashup.OleDb.1;Data Source=$Workbook$;Location=Volume_Cedido;Extended Properties=&quot;&quot;" command="SELECT * FROM [Volume_Cedido]"/>
  </connection>
</connections>
</file>

<file path=xl/sharedStrings.xml><?xml version="1.0" encoding="utf-8"?>
<sst xmlns="http://schemas.openxmlformats.org/spreadsheetml/2006/main" count="23752" uniqueCount="344">
  <si>
    <t>ID</t>
  </si>
  <si>
    <t>COD.FILIAL</t>
  </si>
  <si>
    <t>FILIAL</t>
  </si>
  <si>
    <t>CONGENERE</t>
  </si>
  <si>
    <t>TIPO DE COBRANÇA</t>
  </si>
  <si>
    <t>DATA CONTABIL</t>
  </si>
  <si>
    <t>Vibra</t>
  </si>
  <si>
    <t>Avanço Espaço</t>
  </si>
  <si>
    <t>Avanço Horário</t>
  </si>
  <si>
    <t>Raízen</t>
  </si>
  <si>
    <t>Ipiranga</t>
  </si>
  <si>
    <t>Duque de Caxias</t>
  </si>
  <si>
    <t>Guarulhos</t>
  </si>
  <si>
    <t>Ruff</t>
  </si>
  <si>
    <t>Ciapetro</t>
  </si>
  <si>
    <t>Operação Normal</t>
  </si>
  <si>
    <t>Nº NF</t>
  </si>
  <si>
    <t>Justificativas</t>
  </si>
  <si>
    <t>Total</t>
  </si>
  <si>
    <t>São José do Rio Preto</t>
  </si>
  <si>
    <t>Vol. Movimentado M³</t>
  </si>
  <si>
    <t>Valor Total R$</t>
  </si>
  <si>
    <t>11</t>
  </si>
  <si>
    <t>13</t>
  </si>
  <si>
    <t>Tarifa 2º Giro</t>
  </si>
  <si>
    <t>16</t>
  </si>
  <si>
    <t>20</t>
  </si>
  <si>
    <t>Check Tarifa</t>
  </si>
  <si>
    <t>Tarifa 1º Giro</t>
  </si>
  <si>
    <t>Gerência</t>
  </si>
  <si>
    <t>Corredor</t>
  </si>
  <si>
    <t>BRASILIA</t>
  </si>
  <si>
    <t>PAULISTA</t>
  </si>
  <si>
    <t>NORDESTE</t>
  </si>
  <si>
    <t>PAULINIA</t>
  </si>
  <si>
    <t>RJ e ES</t>
  </si>
  <si>
    <t>MINAS CENTRAL</t>
  </si>
  <si>
    <t>BAIANO</t>
  </si>
  <si>
    <t>Valor Contrato</t>
  </si>
  <si>
    <t>Valor Movimentado</t>
  </si>
  <si>
    <t xml:space="preserve">Volume Mínimo </t>
  </si>
  <si>
    <t>Volume 1º Giro</t>
  </si>
  <si>
    <t>Nº Filial</t>
  </si>
  <si>
    <t>Base</t>
  </si>
  <si>
    <t>Congênere</t>
  </si>
  <si>
    <t>Volume mínimo 
(m3)</t>
  </si>
  <si>
    <t>38</t>
  </si>
  <si>
    <t>Vol. 1ºGiro</t>
  </si>
  <si>
    <t>1</t>
  </si>
  <si>
    <t>Betim</t>
  </si>
  <si>
    <t>Potencial</t>
  </si>
  <si>
    <t>Tobras</t>
  </si>
  <si>
    <t>Atlantica</t>
  </si>
  <si>
    <t>111</t>
  </si>
  <si>
    <t>112</t>
  </si>
  <si>
    <t>382</t>
  </si>
  <si>
    <t>491</t>
  </si>
  <si>
    <t>49</t>
  </si>
  <si>
    <t>Luis Eduardo Magalhães</t>
  </si>
  <si>
    <t>38201</t>
  </si>
  <si>
    <t>BETIM</t>
  </si>
  <si>
    <t>DUQUE DE CAXIAS</t>
  </si>
  <si>
    <t>GUAMARE</t>
  </si>
  <si>
    <t>GUARULHOS</t>
  </si>
  <si>
    <t>LEM</t>
  </si>
  <si>
    <t>Outras Receitas</t>
  </si>
  <si>
    <t>162</t>
  </si>
  <si>
    <t>12</t>
  </si>
  <si>
    <t>14</t>
  </si>
  <si>
    <t>15</t>
  </si>
  <si>
    <t>201</t>
  </si>
  <si>
    <t>492</t>
  </si>
  <si>
    <t>49201</t>
  </si>
  <si>
    <t>49101</t>
  </si>
  <si>
    <t>42</t>
  </si>
  <si>
    <t>Tarifa Cobrada</t>
  </si>
  <si>
    <t>Tarifa Efetiva</t>
  </si>
  <si>
    <t>COD BASE</t>
  </si>
  <si>
    <t>BASE</t>
  </si>
  <si>
    <t>GOIÂNIA</t>
  </si>
  <si>
    <t>SÃO JOSÉ DO RIO PRETO</t>
  </si>
  <si>
    <t>CUIABÁ</t>
  </si>
  <si>
    <t>PAULÍNIA</t>
  </si>
  <si>
    <t>%ALE</t>
  </si>
  <si>
    <t>28</t>
  </si>
  <si>
    <t>67</t>
  </si>
  <si>
    <t>20101</t>
  </si>
  <si>
    <t>Guamaré</t>
  </si>
  <si>
    <t>Vencimento CESP</t>
  </si>
  <si>
    <t>Valor Orçado</t>
  </si>
  <si>
    <t>Volume Orçado</t>
  </si>
  <si>
    <t>11201</t>
  </si>
  <si>
    <t>38202</t>
  </si>
  <si>
    <t>11101</t>
  </si>
  <si>
    <t>16201</t>
  </si>
  <si>
    <t>Status</t>
  </si>
  <si>
    <t>ID 82120 aditivo contrato por 02 anos, cesp no mesmo ID</t>
  </si>
  <si>
    <t>ID 81714, seguindo para fase de assinatura e posterior protocolo na ANP</t>
  </si>
  <si>
    <t>ID 81166, protocalado ANP</t>
  </si>
  <si>
    <t>ID 81613 homologado</t>
  </si>
  <si>
    <t>ID 81613 Homologado</t>
  </si>
  <si>
    <t>16202</t>
  </si>
  <si>
    <t>1401</t>
  </si>
  <si>
    <t>1201</t>
  </si>
  <si>
    <t>Vencimento da Condição Comercial</t>
  </si>
  <si>
    <t>1501</t>
  </si>
  <si>
    <t>Elaw 81712</t>
  </si>
  <si>
    <t>1301</t>
  </si>
  <si>
    <t>Elaw 81710</t>
  </si>
  <si>
    <t>-</t>
  </si>
  <si>
    <t>GOIANIA</t>
  </si>
  <si>
    <t>20102</t>
  </si>
  <si>
    <t>Goiânia</t>
  </si>
  <si>
    <t>Petrobahia</t>
  </si>
  <si>
    <t>1101</t>
  </si>
  <si>
    <t>364</t>
  </si>
  <si>
    <t>Rede Sol</t>
  </si>
  <si>
    <t>GO E TRIANGULO MINEIRO</t>
  </si>
  <si>
    <t>113</t>
  </si>
  <si>
    <t>49202</t>
  </si>
  <si>
    <t>365</t>
  </si>
  <si>
    <t/>
  </si>
  <si>
    <t>1502</t>
  </si>
  <si>
    <t>367</t>
  </si>
  <si>
    <t>20103</t>
  </si>
  <si>
    <t>11102</t>
  </si>
  <si>
    <t>368</t>
  </si>
  <si>
    <t>369</t>
  </si>
  <si>
    <t>Núcleo</t>
  </si>
  <si>
    <t>Avanço de espaço</t>
  </si>
  <si>
    <t>370</t>
  </si>
  <si>
    <t>371</t>
  </si>
  <si>
    <t>Início da Condição Comercial</t>
  </si>
  <si>
    <t>11103</t>
  </si>
  <si>
    <t>49102</t>
  </si>
  <si>
    <t>49203</t>
  </si>
  <si>
    <t>ID criado para inicio 07/2024</t>
  </si>
  <si>
    <t>372</t>
  </si>
  <si>
    <t>49204</t>
  </si>
  <si>
    <t>1102</t>
  </si>
  <si>
    <t>373</t>
  </si>
  <si>
    <t>.</t>
  </si>
  <si>
    <t>1503</t>
  </si>
  <si>
    <t>374</t>
  </si>
  <si>
    <t>20104</t>
  </si>
  <si>
    <t>375</t>
  </si>
  <si>
    <t>99</t>
  </si>
  <si>
    <t>376</t>
  </si>
  <si>
    <t>101</t>
  </si>
  <si>
    <t>13300</t>
  </si>
  <si>
    <t>38203</t>
  </si>
  <si>
    <t>17616</t>
  </si>
  <si>
    <t>COBRANÇA DE ARMAZENAGEM CONJUNTA REFERENTE A DEZ/2024</t>
  </si>
  <si>
    <t>17617</t>
  </si>
  <si>
    <t>17618</t>
  </si>
  <si>
    <t>Receita com armazenagem</t>
  </si>
  <si>
    <t>102</t>
  </si>
  <si>
    <t>378</t>
  </si>
  <si>
    <t>103</t>
  </si>
  <si>
    <t>49205</t>
  </si>
  <si>
    <t>17619</t>
  </si>
  <si>
    <t>17621</t>
  </si>
  <si>
    <t>17620</t>
  </si>
  <si>
    <t>380</t>
  </si>
  <si>
    <t>107</t>
  </si>
  <si>
    <t>106</t>
  </si>
  <si>
    <t>16203</t>
  </si>
  <si>
    <t>424</t>
  </si>
  <si>
    <t>38204</t>
  </si>
  <si>
    <t>165</t>
  </si>
  <si>
    <t>Sim Distribuidora</t>
  </si>
  <si>
    <t>1110</t>
  </si>
  <si>
    <t>11104</t>
  </si>
  <si>
    <t>49206</t>
  </si>
  <si>
    <t>17622</t>
  </si>
  <si>
    <t>17623</t>
  </si>
  <si>
    <t>17624</t>
  </si>
  <si>
    <t>38205</t>
  </si>
  <si>
    <t>381</t>
  </si>
  <si>
    <t>105</t>
  </si>
  <si>
    <t xml:space="preserve">Boletim de Conformidade/ Certificado de analise - Descarga Rodo/ Certificado de analise - bombeios brava energia </t>
  </si>
  <si>
    <t>425</t>
  </si>
  <si>
    <t>366</t>
  </si>
  <si>
    <t>Refente ao retroativo de Janeiro</t>
  </si>
  <si>
    <t>20105</t>
  </si>
  <si>
    <t>1606</t>
  </si>
  <si>
    <t>114</t>
  </si>
  <si>
    <t>383</t>
  </si>
  <si>
    <t>Cobrado volume mínimo contratado (1090m³)</t>
  </si>
  <si>
    <t>Certificado de analise - descarga rodo/ bombeios brava</t>
  </si>
  <si>
    <t>115</t>
  </si>
  <si>
    <t>17627</t>
  </si>
  <si>
    <t>17628</t>
  </si>
  <si>
    <t>17626</t>
  </si>
  <si>
    <t>16204</t>
  </si>
  <si>
    <t>109</t>
  </si>
  <si>
    <t>117</t>
  </si>
  <si>
    <t>118</t>
  </si>
  <si>
    <t>384</t>
  </si>
  <si>
    <t>Cobrado volume mínimo contratado (1020m³)</t>
  </si>
  <si>
    <t>1607</t>
  </si>
  <si>
    <t>1105</t>
  </si>
  <si>
    <t>MG RJ ES</t>
  </si>
  <si>
    <t>SAO PAULO</t>
  </si>
  <si>
    <t>salvo sem NF devido a problemas no sistema</t>
  </si>
  <si>
    <t>385</t>
  </si>
  <si>
    <t>426</t>
  </si>
  <si>
    <t>Rdp</t>
  </si>
  <si>
    <t>11004</t>
  </si>
  <si>
    <t>Verificar</t>
  </si>
  <si>
    <t>1608</t>
  </si>
  <si>
    <t>119</t>
  </si>
  <si>
    <t>Seviços de armazenagem referente ao mês de maio 2025.</t>
  </si>
  <si>
    <t>120</t>
  </si>
  <si>
    <t>429</t>
  </si>
  <si>
    <t>Volume cobrado descontando o valor do avanço de horário</t>
  </si>
  <si>
    <t>428</t>
  </si>
  <si>
    <t>Volume cobrado descontando o valor que foi pago a mais em Fev/25</t>
  </si>
  <si>
    <t>Valor Orçado LOA</t>
  </si>
  <si>
    <t>Volume Orçado LOA</t>
  </si>
  <si>
    <t>17633</t>
  </si>
  <si>
    <t>17634</t>
  </si>
  <si>
    <t>17632</t>
  </si>
  <si>
    <t>17635</t>
  </si>
  <si>
    <t>431</t>
  </si>
  <si>
    <t>430</t>
  </si>
  <si>
    <t>386</t>
  </si>
  <si>
    <t>retirada do restante produto , distrato tobras</t>
  </si>
  <si>
    <t>122</t>
  </si>
  <si>
    <t>DESCONTO DE R$ 7.145,25 - REFERENTE A COBRANÇA INDEVIDA - DUPLICIDADE NAS OPERAÇÕES DE EMPRÉSTIMOS ENTRE AS CONGENERES, CONFORME MESES E VALORES RELACIONADOS NO CAMPO DE OBSERVAÇÕA DA NOTA FISCAL - FEVEREIRO 65.000 m³ R$ 2.054,70, MARÇO 25.000 m³ R$ 775,99 e MAIO 135.000 m³ R$ 4.314,56   - SALDO À RECEBER R$ 61,248,05.</t>
  </si>
  <si>
    <t>121</t>
  </si>
  <si>
    <t>Receita com armazenagem / aguardando a emissão da NF</t>
  </si>
  <si>
    <t>DATA CONTÁBIL</t>
  </si>
  <si>
    <t>COD. FILIAL</t>
  </si>
  <si>
    <t>VALOR ORÇADO</t>
  </si>
  <si>
    <t>VOLUME ORÇADO</t>
  </si>
  <si>
    <t>CONGÊNERE</t>
  </si>
  <si>
    <t>Foi cobrado 21,403 de avanço</t>
  </si>
  <si>
    <t>17638</t>
  </si>
  <si>
    <t>COBRANÇA DE ARMAZENAGEM CONJUNTA REFERENTE A JUL/2025</t>
  </si>
  <si>
    <t>17637</t>
  </si>
  <si>
    <t>433</t>
  </si>
  <si>
    <t>432</t>
  </si>
  <si>
    <t>387</t>
  </si>
  <si>
    <t>124</t>
  </si>
  <si>
    <t>123</t>
  </si>
  <si>
    <t>379</t>
  </si>
  <si>
    <t>17639</t>
  </si>
  <si>
    <t>17640</t>
  </si>
  <si>
    <t>434</t>
  </si>
  <si>
    <t>435</t>
  </si>
  <si>
    <t>Abono do adicional de horário</t>
  </si>
  <si>
    <t>126</t>
  </si>
  <si>
    <t>SERVIÇOS DE ARMAZENAGEM REFERENTE AO MÊS DE AGOSTO - 2025.
SENDO:R$ 35.019,49 REFERENTE À MOVIMENTAÇÃO DE 1.100 m³, MOVIMENTAÇÃO MINIMA.
DESCONTO DE R$ 18.010,70 REFERENTE A COBRANÇA INDEVIDA À MAIOR, NA FATURA DO MÊS ANTERIOR. 
VALOR DA NOTA MÊS DE AGOSTO R$ 17.008,79
SENDO:R$ 425,22 REFERENTE À ISS.</t>
  </si>
  <si>
    <t>125</t>
  </si>
  <si>
    <t>388</t>
  </si>
  <si>
    <t>128</t>
  </si>
  <si>
    <t>127</t>
  </si>
  <si>
    <t>4</t>
  </si>
  <si>
    <t>17642</t>
  </si>
  <si>
    <t>17641</t>
  </si>
  <si>
    <t>436</t>
  </si>
  <si>
    <t>437</t>
  </si>
  <si>
    <t>38206</t>
  </si>
  <si>
    <t>16205</t>
  </si>
  <si>
    <t>390</t>
  </si>
  <si>
    <t>Cobrado valor mínimo contratado (1020m³)</t>
  </si>
  <si>
    <t>Cobrança do volume minimo movimentado</t>
  </si>
  <si>
    <t>439</t>
  </si>
  <si>
    <t>ok</t>
  </si>
  <si>
    <t>438</t>
  </si>
  <si>
    <t>6</t>
  </si>
  <si>
    <t>17644</t>
  </si>
  <si>
    <t>17643</t>
  </si>
  <si>
    <t>1504</t>
  </si>
  <si>
    <t>1103</t>
  </si>
  <si>
    <t>NF não emitida no mês de Novembro</t>
  </si>
  <si>
    <t>Atlântica</t>
  </si>
  <si>
    <t>Filial</t>
  </si>
  <si>
    <t xml:space="preserve">Valor </t>
  </si>
  <si>
    <t>Justificativa</t>
  </si>
  <si>
    <t>Reajuste previsto maior que o Índice realizado</t>
  </si>
  <si>
    <t>Redução de take or pay no início do ano</t>
  </si>
  <si>
    <t>Finalização do contrato no ano de 2024</t>
  </si>
  <si>
    <t>Término do contrato da Tobras em Maio/25</t>
  </si>
  <si>
    <t>443</t>
  </si>
  <si>
    <t>442</t>
  </si>
  <si>
    <t>391</t>
  </si>
  <si>
    <t>RDP</t>
  </si>
  <si>
    <t>Início do contrato RDP em Maio/25</t>
  </si>
  <si>
    <t>Movimentação acima do mínimo do contrato</t>
  </si>
  <si>
    <t>Desafio</t>
  </si>
  <si>
    <t>Desafio estabelecido para a filial</t>
  </si>
  <si>
    <t>Contrato não realizado por questões documentais</t>
  </si>
  <si>
    <t>Redução de take or pay do contrato</t>
  </si>
  <si>
    <t>Contrato iniciado em Maio/25 não previsto no orçamento</t>
  </si>
  <si>
    <t>Rede Sim</t>
  </si>
  <si>
    <t>Contrato iniciado em Abr/25 não previsto no orçamento</t>
  </si>
  <si>
    <t>Luís Eduardo Magalhães</t>
  </si>
  <si>
    <t>Movimentação acima do mínimo do contrato - previsão de formação do pool</t>
  </si>
  <si>
    <t>Redução do volume mínimo do contrato</t>
  </si>
  <si>
    <t>Até Novembro</t>
  </si>
  <si>
    <t>9</t>
  </si>
  <si>
    <t>393</t>
  </si>
  <si>
    <t>392</t>
  </si>
  <si>
    <t>132</t>
  </si>
  <si>
    <t>131</t>
  </si>
  <si>
    <t>49207</t>
  </si>
  <si>
    <t>444</t>
  </si>
  <si>
    <t>445</t>
  </si>
  <si>
    <t>395</t>
  </si>
  <si>
    <t>394</t>
  </si>
  <si>
    <t xml:space="preserve">SEM NF </t>
  </si>
  <si>
    <t>11105</t>
  </si>
  <si>
    <t>20106</t>
  </si>
  <si>
    <t>446</t>
  </si>
  <si>
    <t>447</t>
  </si>
  <si>
    <t>18</t>
  </si>
  <si>
    <t>397</t>
  </si>
  <si>
    <t>396</t>
  </si>
  <si>
    <t>2</t>
  </si>
  <si>
    <t>Armazenagem de 1.148,062m³</t>
  </si>
  <si>
    <t>20500</t>
  </si>
  <si>
    <t>160801</t>
  </si>
  <si>
    <t>450</t>
  </si>
  <si>
    <t>449</t>
  </si>
  <si>
    <t>3</t>
  </si>
  <si>
    <t>REFERENTE À MOVIMENTAÇÃO MÍNIMA DE 3.300m³.</t>
  </si>
  <si>
    <t>11005</t>
  </si>
  <si>
    <t>Cobrança referente ao volume minimo movimentado</t>
  </si>
  <si>
    <t>452</t>
  </si>
  <si>
    <t>451</t>
  </si>
  <si>
    <t>5</t>
  </si>
  <si>
    <t>454</t>
  </si>
  <si>
    <t>453</t>
  </si>
  <si>
    <t>7</t>
  </si>
  <si>
    <t>8</t>
  </si>
  <si>
    <t>10</t>
  </si>
  <si>
    <t>Diesel maritimo</t>
  </si>
  <si>
    <t>398</t>
  </si>
  <si>
    <t>408</t>
  </si>
  <si>
    <t>409</t>
  </si>
  <si>
    <t>16206</t>
  </si>
  <si>
    <t>20107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</si>
</sst>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* #,##0.000_-;\-* #,##0.000_-;_-* &quot;-&quot;??_-;_-@_-"/>
    <numFmt numFmtId="167" formatCode="0.0000"/>
    <numFmt numFmtId="168" formatCode="_-* #,##0.0000000_-;\-* #,##0.000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44" fontId="0" fillId="0" borderId="0" xfId="2" applyFont="1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49" fontId="0" fillId="0" borderId="0" xfId="0" applyNumberFormat="1"/>
    <xf numFmtId="44" fontId="0" fillId="0" borderId="0" xfId="0" applyNumberForma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1" applyFont="1"/>
    <xf numFmtId="44" fontId="0" fillId="0" borderId="0" xfId="0" applyNumberFormat="1"/>
    <xf numFmtId="44" fontId="0" fillId="0" borderId="0" xfId="2" applyFont="1" applyAlignment="1">
      <alignment horizontal="center"/>
    </xf>
    <xf numFmtId="43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4" fontId="4" fillId="0" borderId="0" xfId="2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9" fontId="0" fillId="0" borderId="0" xfId="4" applyFont="1" applyAlignment="1">
      <alignment horizontal="center" vertical="center"/>
    </xf>
    <xf numFmtId="44" fontId="0" fillId="0" borderId="0" xfId="2" applyFont="1" applyAlignment="1">
      <alignment horizontal="center" vertical="center" wrapText="1"/>
    </xf>
    <xf numFmtId="167" fontId="0" fillId="0" borderId="0" xfId="0" applyNumberFormat="1"/>
    <xf numFmtId="8" fontId="0" fillId="0" borderId="0" xfId="0" applyNumberFormat="1"/>
    <xf numFmtId="44" fontId="3" fillId="2" borderId="0" xfId="2" applyFont="1" applyFill="1" applyBorder="1" applyAlignment="1">
      <alignment horizontal="center" vertical="center" wrapText="1"/>
    </xf>
    <xf numFmtId="164" fontId="3" fillId="2" borderId="0" xfId="1" applyNumberFormat="1" applyFont="1" applyFill="1" applyBorder="1" applyAlignment="1">
      <alignment horizontal="center" vertical="center" wrapText="1"/>
    </xf>
    <xf numFmtId="9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44" fontId="0" fillId="0" borderId="0" xfId="2" applyFont="1" applyFill="1" applyAlignment="1">
      <alignment horizontal="center" vertical="center"/>
    </xf>
    <xf numFmtId="14" fontId="0" fillId="0" borderId="0" xfId="2" applyNumberFormat="1" applyFont="1"/>
    <xf numFmtId="44" fontId="0" fillId="0" borderId="0" xfId="2" applyFont="1" applyAlignment="1">
      <alignment horizontal="left" vertical="center" indent="1"/>
    </xf>
    <xf numFmtId="0" fontId="0" fillId="0" borderId="0" xfId="2" applyNumberFormat="1" applyFont="1"/>
    <xf numFmtId="43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44" fontId="0" fillId="0" borderId="0" xfId="0" applyNumberFormat="1" applyAlignment="1">
      <alignment horizontal="center" vertical="center" wrapText="1"/>
    </xf>
    <xf numFmtId="166" fontId="0" fillId="0" borderId="0" xfId="1" applyNumberFormat="1" applyFont="1" applyFill="1" applyAlignment="1">
      <alignment horizontal="center" vertical="center"/>
    </xf>
    <xf numFmtId="166" fontId="0" fillId="0" borderId="0" xfId="2" applyNumberFormat="1" applyFont="1" applyFill="1" applyAlignment="1">
      <alignment horizontal="center" vertical="center"/>
    </xf>
    <xf numFmtId="2" fontId="0" fillId="0" borderId="0" xfId="4" applyNumberFormat="1" applyFont="1" applyAlignment="1">
      <alignment horizontal="center" vertical="center"/>
    </xf>
    <xf numFmtId="8" fontId="0" fillId="0" borderId="0" xfId="2" applyNumberFormat="1" applyFont="1" applyAlignment="1">
      <alignment horizontal="center" vertical="center"/>
    </xf>
    <xf numFmtId="44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4" fontId="3" fillId="2" borderId="2" xfId="2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4" fontId="0" fillId="3" borderId="2" xfId="2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3" borderId="3" xfId="2" applyFont="1" applyFill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166" fontId="0" fillId="4" borderId="3" xfId="1" applyNumberFormat="1" applyFont="1" applyFill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4" fontId="0" fillId="0" borderId="0" xfId="0" applyNumberFormat="1"/>
    <xf numFmtId="44" fontId="0" fillId="0" borderId="2" xfId="2" applyFont="1" applyFill="1" applyBorder="1" applyAlignment="1">
      <alignment horizontal="center" vertical="center"/>
    </xf>
    <xf numFmtId="166" fontId="0" fillId="0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Moeda" xfId="2" builtinId="4"/>
    <cellStyle name="Moeda 2" xfId="6" xr:uid="{F112B688-E90A-4CAC-A73D-5BCA3D3B9213}"/>
    <cellStyle name="Moeda 2 11" xfId="3" xr:uid="{487C7B94-9F8D-4862-B9DC-718A041EA64D}"/>
    <cellStyle name="Normal" xfId="0" builtinId="0"/>
    <cellStyle name="Porcentagem" xfId="4" builtinId="5"/>
    <cellStyle name="Vírgula" xfId="1" builtinId="3"/>
    <cellStyle name="Vírgula 2" xfId="5" xr:uid="{4401340A-82F1-4514-A42E-D211393666D2}"/>
  </cellStyles>
  <dxfs count="70"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6" formatCode="_-* #,##0.000_-;\-* #,##0.000_-;_-* &quot;-&quot;??_-;_-@_-"/>
      <alignment horizontal="center" vertical="center" textRotation="0" wrapText="0" indent="0" justifyLastLine="0" shrinkToFit="0" readingOrder="0"/>
    </dxf>
    <dxf>
      <numFmt numFmtId="166" formatCode="_-* #,##0.000_-;\-* #,##0.000_-;_-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539F"/>
      <color rgb="FFEE31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F264BB4-89C9-41EC-B574-DBA2141EFE43}" autoFormatId="16" applyNumberFormats="0" applyBorderFormats="0" applyFontFormats="0" applyPatternFormats="0" applyAlignmentFormats="0" applyWidthHeightFormats="0">
  <queryTableRefresh nextId="100" unboundColumnsRight="9">
    <queryTableFields count="24">
      <queryTableField id="1" name="ID" tableColumnId="1"/>
      <queryTableField id="2" name="DATA CONTABIL" tableColumnId="2"/>
      <queryTableField id="94" name="Gerência" tableColumnId="18"/>
      <queryTableField id="98" name="Núcleo" tableColumnId="20"/>
      <queryTableField id="95" name="Corredor" tableColumnId="19"/>
      <queryTableField id="3" name="COD.FILIAL" tableColumnId="3"/>
      <queryTableField id="4" name="FILIAL" tableColumnId="4"/>
      <queryTableField id="5" name="CONGENERE" tableColumnId="5"/>
      <queryTableField id="6" name="TIPO DE COBRANÇA" tableColumnId="6"/>
      <queryTableField id="84" name="Valor Orçado" tableColumnId="8"/>
      <queryTableField id="85" name="Volume Orçado" tableColumnId="9"/>
      <queryTableField id="90" name="Valor Total R$" tableColumnId="10"/>
      <queryTableField id="91" name="Vol. Movimentado M³" tableColumnId="11"/>
      <queryTableField id="92" name="Nº NF" tableColumnId="15"/>
      <queryTableField id="93" name="Justificativas" tableColumnId="16"/>
      <queryTableField id="80" dataBound="0" tableColumnId="49"/>
      <queryTableField id="81" dataBound="0" tableColumnId="50"/>
      <queryTableField id="78" dataBound="0" tableColumnId="47"/>
      <queryTableField id="79" dataBound="0" tableColumnId="48"/>
      <queryTableField id="14" dataBound="0" tableColumnId="14"/>
      <queryTableField id="83" dataBound="0" tableColumnId="7"/>
      <queryTableField id="12" dataBound="0" tableColumnId="12"/>
      <queryTableField id="13" dataBound="0" tableColumnId="13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894B1B61-0760-43B2-AC01-895315FEAD26}" autoFormatId="16" applyNumberFormats="0" applyBorderFormats="0" applyFontFormats="0" applyPatternFormats="0" applyAlignmentFormats="0" applyWidthHeightFormats="0">
  <queryTableRefresh nextId="28">
    <queryTableFields count="14">
      <queryTableField id="1" name="ID" tableColumnId="1"/>
      <queryTableField id="2" name="Nº Filial" tableColumnId="2"/>
      <queryTableField id="3" name="Base" tableColumnId="3"/>
      <queryTableField id="4" name="Congênere" tableColumnId="4"/>
      <queryTableField id="11" name="Vol. 1ºGiro" tableColumnId="5"/>
      <queryTableField id="6" name="Volume mínimo _x000a_(m3)" tableColumnId="6"/>
      <queryTableField id="16" name="Tarifa 1º Giro" tableColumnId="11"/>
      <queryTableField id="8" name="Tarifa 2º Giro" tableColumnId="8"/>
      <queryTableField id="9" name="Avanço Espaço" tableColumnId="9"/>
      <queryTableField id="10" name="Avanço Horário" tableColumnId="10"/>
      <queryTableField id="25" name="Início da Condição Comercial" tableColumnId="14"/>
      <queryTableField id="23" name="Vencimento da Condição Comercial" tableColumnId="13"/>
      <queryTableField id="19" name="Vencimento CESP" tableColumnId="7"/>
      <queryTableField id="21" name="Status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37677-0450-42DD-B586-13B1D17D157B}" name="TabReceitas" displayName="TabReceitas" ref="A1:H1262" headerRowDxfId="65" dataDxfId="64" tableBorderDxfId="63">
  <autoFilter ref="A1:H1262" xr:uid="{05B37677-0450-42DD-B586-13B1D17D157B}">
    <filterColumn colId="1">
      <filters>
        <dateGroupItem year="2026" month="9" dateTimeGrouping="month"/>
        <dateGroupItem year="2026" month="10" dateTimeGrouping="month"/>
        <dateGroupItem year="2026" month="11" dateTimeGrouping="month"/>
        <dateGroupItem year="2026" month="12" dateTimeGrouping="month"/>
      </filters>
    </filterColumn>
    <filterColumn colId="3">
      <filters>
        <filter val="São José do Rio Preto"/>
      </filters>
    </filterColumn>
  </autoFilter>
  <tableColumns count="8">
    <tableColumn id="1" xr3:uid="{EC8690C4-6982-4AD8-B2AD-5337A6297C86}" name="ID" totalsRowLabel="Total" dataDxfId="62" totalsRowDxfId="61"/>
    <tableColumn id="2" xr3:uid="{68E08284-2A44-488B-B4B4-43D325BA280F}" name="DATA CONTABIL" totalsRowFunction="count" dataDxfId="60" totalsRowDxfId="59"/>
    <tableColumn id="3" xr3:uid="{5183CE33-8CB1-463E-ABEF-F44DCBD22538}" name="COD.FILIAL" dataDxfId="58" totalsRowDxfId="57">
      <calculatedColumnFormula>_xlfn.XLOOKUP(TabReceitas[[#This Row],[ID]],TabCondicoesComerciais[ID],TabCondicoesComerciais[Nº Filial],0)</calculatedColumnFormula>
    </tableColumn>
    <tableColumn id="4" xr3:uid="{DE20DFDF-1B48-4FD9-A751-8D6B2879B645}" name="FILIAL" totalsRowFunction="count" dataDxfId="56" totalsRowDxfId="55">
      <calculatedColumnFormula>_xlfn.XLOOKUP(TabReceitas[[#This Row],[ID]],TabCondicoesComerciais[ID],TabCondicoesComerciais[Base],"Verificar")</calculatedColumnFormula>
    </tableColumn>
    <tableColumn id="5" xr3:uid="{BBD01E51-493D-4E21-82A4-DC565EAEAF93}" name="CONGENERE" dataDxfId="54" totalsRowDxfId="53">
      <calculatedColumnFormula>_xlfn.XLOOKUP(TabReceitas[[#This Row],[ID]],TabCondicoesComerciais[ID],TabCondicoesComerciais[Congênere],"Verificar")</calculatedColumnFormula>
    </tableColumn>
    <tableColumn id="6" xr3:uid="{FCD54BE4-047D-4AB0-BBC9-E68E4C2B6691}" name="TIPO DE COBRANÇA" dataDxfId="52" totalsRowDxfId="51"/>
    <tableColumn id="7" xr3:uid="{395A4962-1F0B-407C-BCC5-E1ED3FB4ED47}" name="Valor Orçado" totalsRowFunction="sum" dataDxfId="50" totalsRowDxfId="49" dataCellStyle="Moeda"/>
    <tableColumn id="8" xr3:uid="{6CDB2563-A00D-45BC-906C-44ACA0902856}" name="Volume Orçado" totalsRowFunction="sum" dataDxfId="48" totalsRowDxfId="47" dataCellStyle="Vírg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846072-A150-45F2-BDD5-882A24BD043C}" name="BD_Receitas" displayName="BD_Receitas" ref="A1:X1329" tableType="queryTable" totalsRowCount="1" headerRowDxfId="46" dataDxfId="45" totalsRowDxfId="44">
  <autoFilter ref="A1:X1328" xr:uid="{F4846072-A150-45F2-BDD5-882A24BD043C}">
    <filterColumn colId="1">
      <filters>
        <dateGroupItem year="2026" dateTimeGrouping="year"/>
      </filters>
    </filterColumn>
    <filterColumn colId="6">
      <filters>
        <filter val="São José do Rio Preto"/>
      </filters>
    </filterColumn>
    <filterColumn colId="8">
      <filters>
        <filter val="Avanço Espaço"/>
        <filter val="Avanço Horário"/>
        <filter val="Operação Normal"/>
      </filters>
    </filterColumn>
  </autoFilter>
  <tableColumns count="24">
    <tableColumn id="1" xr3:uid="{64A9F84F-5549-42D0-8210-7777D60F4B0B}" uniqueName="1" name="ID" queryTableFieldId="1" dataDxfId="18"/>
    <tableColumn id="2" xr3:uid="{9E75F1DD-05A5-4334-9FF9-03DE4E5F3A16}" uniqueName="2" name="DATA CONTABIL" queryTableFieldId="2" dataDxfId="17"/>
    <tableColumn id="18" xr3:uid="{B7516882-00AD-499A-B077-47BF0BC1063B}" uniqueName="18" name="Gerência" queryTableFieldId="94" dataDxfId="43"/>
    <tableColumn id="20" xr3:uid="{BDF71CD6-977C-4FA0-B929-66FEA1843FF7}" uniqueName="20" name="Núcleo" queryTableFieldId="98" dataDxfId="42"/>
    <tableColumn id="19" xr3:uid="{7AEC7756-F6D6-4699-8CE8-25D408EB7AE2}" uniqueName="19" name="Corredor" queryTableFieldId="95" dataDxfId="41"/>
    <tableColumn id="3" xr3:uid="{0D335E34-5BA2-41BB-9445-DD3C0A72B42F}" uniqueName="3" name="COD.FILIAL" queryTableFieldId="3" dataDxfId="16"/>
    <tableColumn id="4" xr3:uid="{CAF29C9C-CC0F-45CD-9CF5-5DFD04913D24}" uniqueName="4" name="FILIAL" queryTableFieldId="4" dataDxfId="15" totalsRowDxfId="19"/>
    <tableColumn id="5" xr3:uid="{767B2F50-4DC3-455F-8986-A70EA8931459}" uniqueName="5" name="CONGENERE" queryTableFieldId="5" dataDxfId="14"/>
    <tableColumn id="6" xr3:uid="{EADF6ED4-2EB6-41BA-9D72-57AC017A1EBC}" uniqueName="6" name="TIPO DE COBRANÇA" queryTableFieldId="6" dataDxfId="13"/>
    <tableColumn id="8" xr3:uid="{0D85A791-7159-46D8-AD5C-AF7743019996}" uniqueName="8" name="Valor Orçado" totalsRowFunction="sum" queryTableFieldId="84" dataDxfId="12" totalsRowDxfId="20" dataCellStyle="Moeda"/>
    <tableColumn id="9" xr3:uid="{28B1CD00-D30D-41F8-8EE5-22F704F5150C}" uniqueName="9" name="Volume Orçado" totalsRowFunction="sum" queryTableFieldId="85" dataDxfId="11" totalsRowDxfId="21" dataCellStyle="Vírgula"/>
    <tableColumn id="10" xr3:uid="{63E689FA-7920-4885-AC38-73F964043A27}" uniqueName="10" name="Valor Total R$" totalsRowFunction="sum" queryTableFieldId="90" dataDxfId="10" totalsRowDxfId="22" dataCellStyle="Moeda"/>
    <tableColumn id="11" xr3:uid="{D3891E29-1828-43F8-B374-33AA9688CE26}" uniqueName="11" name="Vol. Movimentado M³" totalsRowFunction="sum" queryTableFieldId="91" dataDxfId="9" totalsRowDxfId="23" dataCellStyle="Vírgula"/>
    <tableColumn id="15" xr3:uid="{6A4FDC3F-F9AE-4A58-8446-18F0D3979A49}" uniqueName="15" name="Nº NF" queryTableFieldId="92" dataDxfId="40"/>
    <tableColumn id="16" xr3:uid="{7620BBFB-547D-4BE9-9F24-E5D833C2DF93}" uniqueName="16" name="Justificativas" queryTableFieldId="93" dataDxfId="39"/>
    <tableColumn id="49" xr3:uid="{1A14A157-1D4A-49FC-8FA0-593E4EEEB5FA}" uniqueName="49" name="Volume Mínimo " queryTableFieldId="80" dataDxfId="8" dataCellStyle="Vírgula">
      <calculatedColumnFormula>IF(BD_Receitas[[#This Row],[TIPO DE COBRANÇA]]="Operação Normal",
_xlfn.XLOOKUP(BD_Receitas[[#This Row],[ID]],TabCondicoesComerciais[ID],TabCondicoesComerciais[Volume mínimo 
(m3)],0),"")</calculatedColumnFormula>
    </tableColumn>
    <tableColumn id="50" xr3:uid="{1B3004A6-A330-4A39-A6F8-A01D93AA6975}" uniqueName="50" name="Volume 1º Giro" queryTableFieldId="81" dataDxfId="7" dataCellStyle="Vírgula">
      <calculatedColumnFormula>_xlfn.XLOOKUP(BD_Receitas[[#This Row],[ID]],TabCondicoesComerciais[ID],TabCondicoesComerciais[Vol. 1ºGiro],0)</calculatedColumnFormula>
    </tableColumn>
    <tableColumn id="47" xr3:uid="{31C769D1-4DB4-4A67-B120-8EA95FDF661C}" uniqueName="47" name="Tarifa 1º Giro" queryTableFieldId="78" dataDxfId="6" dataCellStyle="Moeda">
      <calculatedColumnFormula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calculatedColumnFormula>
    </tableColumn>
    <tableColumn id="48" xr3:uid="{0104DF33-CA97-45CA-BC17-44C43A36B426}" uniqueName="48" name="Tarifa 2º Giro" queryTableFieldId="79" dataDxfId="5" dataCellStyle="Moeda">
      <calculatedColumnFormula xml:space="preserve"> IF(BD_Receitas[[#This Row],[TIPO DE COBRANÇA]]="Operação Normal",
_xlfn.XLOOKUP(BD_Receitas[[#This Row],[ID]],TabCondicoesComerciais[ID],TabCondicoesComerciais[Tarifa 2º Giro],0),0)</calculatedColumnFormula>
    </tableColumn>
    <tableColumn id="14" xr3:uid="{E65FDFB1-6BB3-476B-AB62-BC246C08D135}" uniqueName="14" name="Tarifa Cobrada" queryTableFieldId="14" dataDxfId="4" totalsRowDxfId="24" dataCellStyle="Moeda">
      <calculatedColumnFormula>IFERROR(IF(BD_Receitas[[#This Row],[TIPO DE COBRANÇA]]&lt;&gt;"Operação Normal","",BD_Receitas[[#This Row],[Valor Total R$]]/ MAX(BD_Receitas[[#This Row],[Vol. Movimentado M³]],
BD_Receitas[[#This Row],[Volume Mínimo ]])
),0)</calculatedColumnFormula>
    </tableColumn>
    <tableColumn id="7" xr3:uid="{195CAA1D-D543-4BA6-A290-F7706C54CA6B}" uniqueName="7" name="Tarifa Efetiva" queryTableFieldId="83" dataDxfId="3" totalsRowDxfId="25">
      <calculatedColumnFormula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calculatedColumnFormula>
    </tableColumn>
    <tableColumn id="12" xr3:uid="{6BF1C72A-C6BA-4CFB-90CD-CEAFF514D65D}" uniqueName="12" name="Valor Contrato" queryTableFieldId="12" dataDxfId="2" totalsRowDxfId="26" dataCellStyle="Moeda">
      <calculatedColumnFormula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calculatedColumnFormula>
    </tableColumn>
    <tableColumn id="13" xr3:uid="{C8C5AC72-0084-4856-91F2-D57474B8D6CB}" uniqueName="13" name="Valor Movimentado" queryTableFieldId="13" dataDxfId="1" totalsRowDxfId="27" dataCellStyle="Moeda">
      <calculatedColumnFormula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calculatedColumnFormula>
    </tableColumn>
    <tableColumn id="17" xr3:uid="{D9AC5976-94D7-4DED-A5D8-C02C8943501D}" uniqueName="17" name="Check Tarifa" queryTableFieldId="17" dataDxfId="0" totalsRowDxfId="28" dataCellStyle="Moeda">
      <calculatedColumnFormula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8D5EC-90EF-4F2F-8FC7-9DEC599F7D21}" name="TabCondicoesComerciais" displayName="TabCondicoesComerciais" ref="A1:N74" tableType="queryTable" totalsRowShown="0">
  <autoFilter ref="A1:N74" xr:uid="{3698D5EC-90EF-4F2F-8FC7-9DEC599F7D21}">
    <filterColumn colId="2">
      <filters>
        <filter val="São José do Rio Preto"/>
      </filters>
    </filterColumn>
  </autoFilter>
  <tableColumns count="14">
    <tableColumn id="1" xr3:uid="{9C1B56B9-2667-4305-A45D-B580628F3D65}" uniqueName="1" name="ID" queryTableFieldId="1" dataDxfId="69"/>
    <tableColumn id="2" xr3:uid="{17AF80A8-8979-4587-AC2A-7B920965F7AF}" uniqueName="2" name="Nº Filial" queryTableFieldId="2" dataDxfId="68"/>
    <tableColumn id="3" xr3:uid="{0DACB351-AA5F-4920-856C-AFE80C1DCD4A}" uniqueName="3" name="Base" queryTableFieldId="3" dataDxfId="67"/>
    <tableColumn id="4" xr3:uid="{D1CA852A-FEF9-4D89-9261-F3A325396AEC}" uniqueName="4" name="Congênere" queryTableFieldId="4" dataDxfId="66"/>
    <tableColumn id="5" xr3:uid="{B9209337-D024-4CBB-8154-F22BB6348350}" uniqueName="5" name="Vol. 1ºGiro" queryTableFieldId="11" dataDxfId="38" dataCellStyle="Vírgula"/>
    <tableColumn id="6" xr3:uid="{2C5D69C8-9CFF-4FD0-9EAB-D63E093DB731}" uniqueName="6" name="Volume mínimo _x000a_(m3)" queryTableFieldId="6" dataDxfId="37" dataCellStyle="Vírgula"/>
    <tableColumn id="11" xr3:uid="{1E0CF2F0-6BCF-4895-8309-AC407FB65E54}" uniqueName="11" name="Tarifa 1º Giro" queryTableFieldId="16" dataDxfId="36" dataCellStyle="Moeda"/>
    <tableColumn id="8" xr3:uid="{C06C728F-AF4F-4F5B-BF49-AE8DD3674995}" uniqueName="8" name="Tarifa 2º Giro" queryTableFieldId="8" dataDxfId="35" dataCellStyle="Moeda"/>
    <tableColumn id="9" xr3:uid="{1C7251EE-B0A3-48B1-8670-9FD3DB827694}" uniqueName="9" name="Avanço Espaço" queryTableFieldId="9" dataDxfId="34" dataCellStyle="Moeda"/>
    <tableColumn id="10" xr3:uid="{7C28020A-09D6-4885-AD6B-1573D1B7838F}" uniqueName="10" name="Avanço Horário" queryTableFieldId="10" dataDxfId="33" dataCellStyle="Moeda"/>
    <tableColumn id="14" xr3:uid="{ED2C2FC3-986D-4B17-A623-B9F076E06913}" uniqueName="14" name="Início da Condição Comercial" queryTableFieldId="25" dataDxfId="32" dataCellStyle="Moeda"/>
    <tableColumn id="13" xr3:uid="{DAE53880-CA40-4B36-B46B-6A1718283D54}" uniqueName="13" name="Vencimento da Condição Comercial" queryTableFieldId="23" dataDxfId="31" dataCellStyle="Moeda"/>
    <tableColumn id="7" xr3:uid="{608FF1EE-0F72-495C-BD10-EFAA482C25B4}" uniqueName="7" name="Vencimento CESP" queryTableFieldId="19" dataDxfId="30" dataCellStyle="Moeda"/>
    <tableColumn id="12" xr3:uid="{A3BED3ED-B4BC-43F4-A7F6-A98072A6A292}" uniqueName="12" name="Status" queryTableFieldId="21" dataDxfId="29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7137-610F-4010-9AD3-2236BB46DDBA}">
  <sheetPr codeName="Planilha1"/>
  <dimension ref="A1:H1262"/>
  <sheetViews>
    <sheetView showGridLines="0" zoomScaleNormal="100" workbookViewId="0">
      <pane ySplit="1" topLeftCell="A966" activePane="bottomLeft" state="frozen"/>
      <selection pane="bottomLeft" activeCell="A1263" sqref="A1263:XFD1263"/>
    </sheetView>
  </sheetViews>
  <sheetFormatPr defaultRowHeight="14.5" x14ac:dyDescent="0.35"/>
  <cols>
    <col min="1" max="1" width="9.08984375" style="6"/>
    <col min="2" max="2" width="14.08984375" customWidth="1"/>
    <col min="3" max="3" width="15.08984375" bestFit="1" customWidth="1"/>
    <col min="4" max="4" width="22.54296875" bestFit="1" customWidth="1"/>
    <col min="5" max="5" width="16.54296875" bestFit="1" customWidth="1"/>
    <col min="6" max="6" width="16.453125" customWidth="1"/>
    <col min="7" max="7" width="17" style="1" bestFit="1" customWidth="1"/>
    <col min="8" max="8" width="19.453125" style="2" bestFit="1" customWidth="1"/>
  </cols>
  <sheetData>
    <row r="1" spans="1:8" ht="30" customHeight="1" x14ac:dyDescent="0.35">
      <c r="A1" s="8" t="s">
        <v>0</v>
      </c>
      <c r="B1" s="9" t="s">
        <v>5</v>
      </c>
      <c r="C1" s="9" t="s">
        <v>1</v>
      </c>
      <c r="D1" s="9" t="s">
        <v>2</v>
      </c>
      <c r="E1" s="9" t="s">
        <v>3</v>
      </c>
      <c r="F1" s="9" t="s">
        <v>4</v>
      </c>
      <c r="G1" s="26" t="s">
        <v>89</v>
      </c>
      <c r="H1" s="27" t="s">
        <v>90</v>
      </c>
    </row>
    <row r="2" spans="1:8" hidden="1" x14ac:dyDescent="0.35">
      <c r="A2" s="10" t="s">
        <v>142</v>
      </c>
      <c r="B2" s="11">
        <v>45658</v>
      </c>
      <c r="C2" s="3" t="s">
        <v>48</v>
      </c>
      <c r="D2" s="3" t="s">
        <v>49</v>
      </c>
      <c r="E2" s="3" t="s">
        <v>52</v>
      </c>
      <c r="F2" s="3" t="s">
        <v>7</v>
      </c>
      <c r="G2" s="30">
        <v>0</v>
      </c>
      <c r="H2" s="39">
        <v>0</v>
      </c>
    </row>
    <row r="3" spans="1:8" hidden="1" x14ac:dyDescent="0.35">
      <c r="A3" s="10" t="s">
        <v>142</v>
      </c>
      <c r="B3" s="11">
        <v>45658</v>
      </c>
      <c r="C3" s="3" t="s">
        <v>48</v>
      </c>
      <c r="D3" s="3" t="s">
        <v>49</v>
      </c>
      <c r="E3" s="3" t="s">
        <v>52</v>
      </c>
      <c r="F3" s="3" t="s">
        <v>8</v>
      </c>
      <c r="G3" s="30">
        <v>0</v>
      </c>
      <c r="H3" s="39">
        <v>0</v>
      </c>
    </row>
    <row r="4" spans="1:8" hidden="1" x14ac:dyDescent="0.35">
      <c r="A4" s="10" t="s">
        <v>142</v>
      </c>
      <c r="B4" s="11">
        <v>45658</v>
      </c>
      <c r="C4" s="3" t="s">
        <v>48</v>
      </c>
      <c r="D4" s="3" t="s">
        <v>49</v>
      </c>
      <c r="E4" s="3" t="s">
        <v>52</v>
      </c>
      <c r="F4" s="3" t="s">
        <v>15</v>
      </c>
      <c r="G4" s="30">
        <v>89789.370062370057</v>
      </c>
      <c r="H4" s="39">
        <v>2040</v>
      </c>
    </row>
    <row r="5" spans="1:8" hidden="1" x14ac:dyDescent="0.35">
      <c r="A5" s="10" t="s">
        <v>142</v>
      </c>
      <c r="B5" s="11">
        <v>45658</v>
      </c>
      <c r="C5" s="3" t="s">
        <v>48</v>
      </c>
      <c r="D5" s="3" t="s">
        <v>49</v>
      </c>
      <c r="E5" s="3" t="s">
        <v>52</v>
      </c>
      <c r="F5" s="3" t="s">
        <v>65</v>
      </c>
      <c r="G5" s="30">
        <v>0</v>
      </c>
      <c r="H5" s="39">
        <v>0</v>
      </c>
    </row>
    <row r="6" spans="1:8" hidden="1" x14ac:dyDescent="0.35">
      <c r="A6" s="10" t="s">
        <v>139</v>
      </c>
      <c r="B6" s="11">
        <v>45658</v>
      </c>
      <c r="C6" s="3" t="s">
        <v>48</v>
      </c>
      <c r="D6" s="3" t="s">
        <v>49</v>
      </c>
      <c r="E6" s="3" t="s">
        <v>14</v>
      </c>
      <c r="F6" s="3" t="s">
        <v>7</v>
      </c>
      <c r="G6" s="30">
        <v>0</v>
      </c>
      <c r="H6" s="39">
        <v>0</v>
      </c>
    </row>
    <row r="7" spans="1:8" hidden="1" x14ac:dyDescent="0.35">
      <c r="A7" s="10" t="s">
        <v>139</v>
      </c>
      <c r="B7" s="11">
        <v>45658</v>
      </c>
      <c r="C7" s="3" t="s">
        <v>48</v>
      </c>
      <c r="D7" s="3" t="s">
        <v>49</v>
      </c>
      <c r="E7" s="3" t="s">
        <v>14</v>
      </c>
      <c r="F7" s="3" t="s">
        <v>8</v>
      </c>
      <c r="G7" s="30">
        <v>0</v>
      </c>
      <c r="H7" s="39">
        <v>0</v>
      </c>
    </row>
    <row r="8" spans="1:8" hidden="1" x14ac:dyDescent="0.35">
      <c r="A8" s="10" t="s">
        <v>139</v>
      </c>
      <c r="B8" s="11">
        <v>45658</v>
      </c>
      <c r="C8" s="3" t="s">
        <v>48</v>
      </c>
      <c r="D8" s="3" t="s">
        <v>49</v>
      </c>
      <c r="E8" s="3" t="s">
        <v>14</v>
      </c>
      <c r="F8" s="3" t="s">
        <v>15</v>
      </c>
      <c r="G8" s="30">
        <v>28839.059251559258</v>
      </c>
      <c r="H8" s="39">
        <v>1500</v>
      </c>
    </row>
    <row r="9" spans="1:8" hidden="1" x14ac:dyDescent="0.35">
      <c r="A9" s="10" t="s">
        <v>139</v>
      </c>
      <c r="B9" s="11">
        <v>45658</v>
      </c>
      <c r="C9" s="3" t="s">
        <v>48</v>
      </c>
      <c r="D9" s="3" t="s">
        <v>49</v>
      </c>
      <c r="E9" s="3" t="s">
        <v>14</v>
      </c>
      <c r="F9" s="3" t="s">
        <v>65</v>
      </c>
      <c r="G9" s="30">
        <v>0</v>
      </c>
      <c r="H9" s="39">
        <v>0</v>
      </c>
    </row>
    <row r="10" spans="1:8" hidden="1" x14ac:dyDescent="0.35">
      <c r="A10" s="10" t="s">
        <v>25</v>
      </c>
      <c r="B10" s="11">
        <v>45658</v>
      </c>
      <c r="C10" s="3" t="s">
        <v>48</v>
      </c>
      <c r="D10" s="3" t="s">
        <v>49</v>
      </c>
      <c r="E10" s="3" t="s">
        <v>116</v>
      </c>
      <c r="F10" s="3" t="s">
        <v>7</v>
      </c>
      <c r="G10" s="30">
        <v>0</v>
      </c>
      <c r="H10" s="39">
        <v>0</v>
      </c>
    </row>
    <row r="11" spans="1:8" hidden="1" x14ac:dyDescent="0.35">
      <c r="A11" s="10" t="s">
        <v>25</v>
      </c>
      <c r="B11" s="11">
        <v>45658</v>
      </c>
      <c r="C11" s="3" t="s">
        <v>48</v>
      </c>
      <c r="D11" s="3" t="s">
        <v>49</v>
      </c>
      <c r="E11" s="3" t="s">
        <v>116</v>
      </c>
      <c r="F11" s="3" t="s">
        <v>8</v>
      </c>
      <c r="G11" s="30">
        <v>0</v>
      </c>
      <c r="H11" s="39">
        <v>0</v>
      </c>
    </row>
    <row r="12" spans="1:8" hidden="1" x14ac:dyDescent="0.35">
      <c r="A12" s="10" t="s">
        <v>25</v>
      </c>
      <c r="B12" s="11">
        <v>45658</v>
      </c>
      <c r="C12" s="3" t="s">
        <v>48</v>
      </c>
      <c r="D12" s="3" t="s">
        <v>49</v>
      </c>
      <c r="E12" s="3" t="s">
        <v>116</v>
      </c>
      <c r="F12" s="3" t="s">
        <v>15</v>
      </c>
      <c r="G12" s="30">
        <v>9355.5093555093554</v>
      </c>
      <c r="H12" s="39">
        <v>300</v>
      </c>
    </row>
    <row r="13" spans="1:8" hidden="1" x14ac:dyDescent="0.35">
      <c r="A13" s="10" t="s">
        <v>25</v>
      </c>
      <c r="B13" s="11">
        <v>45658</v>
      </c>
      <c r="C13" s="3" t="s">
        <v>48</v>
      </c>
      <c r="D13" s="3" t="s">
        <v>49</v>
      </c>
      <c r="E13" s="3" t="s">
        <v>116</v>
      </c>
      <c r="F13" s="3" t="s">
        <v>65</v>
      </c>
      <c r="G13" s="30">
        <v>0</v>
      </c>
      <c r="H13" s="39">
        <v>0</v>
      </c>
    </row>
    <row r="14" spans="1:8" hidden="1" x14ac:dyDescent="0.35">
      <c r="A14" s="10" t="s">
        <v>102</v>
      </c>
      <c r="B14" s="11">
        <v>45658</v>
      </c>
      <c r="C14" s="3" t="s">
        <v>48</v>
      </c>
      <c r="D14" s="3" t="s">
        <v>49</v>
      </c>
      <c r="E14" s="3" t="s">
        <v>51</v>
      </c>
      <c r="F14" s="3" t="s">
        <v>7</v>
      </c>
      <c r="G14" s="30">
        <v>0</v>
      </c>
      <c r="H14" s="39">
        <v>0</v>
      </c>
    </row>
    <row r="15" spans="1:8" hidden="1" x14ac:dyDescent="0.35">
      <c r="A15" s="10" t="s">
        <v>102</v>
      </c>
      <c r="B15" s="11">
        <v>45658</v>
      </c>
      <c r="C15" s="3" t="s">
        <v>48</v>
      </c>
      <c r="D15" s="3" t="s">
        <v>49</v>
      </c>
      <c r="E15" s="3" t="s">
        <v>51</v>
      </c>
      <c r="F15" s="3" t="s">
        <v>8</v>
      </c>
      <c r="G15" s="30">
        <v>0</v>
      </c>
      <c r="H15" s="39">
        <v>0</v>
      </c>
    </row>
    <row r="16" spans="1:8" hidden="1" x14ac:dyDescent="0.35">
      <c r="A16" s="10" t="s">
        <v>102</v>
      </c>
      <c r="B16" s="11">
        <v>45658</v>
      </c>
      <c r="C16" s="3" t="s">
        <v>48</v>
      </c>
      <c r="D16" s="3" t="s">
        <v>49</v>
      </c>
      <c r="E16" s="3" t="s">
        <v>51</v>
      </c>
      <c r="F16" s="3" t="s">
        <v>15</v>
      </c>
      <c r="G16" s="30">
        <v>226720.94594594592</v>
      </c>
      <c r="H16" s="39">
        <v>6500</v>
      </c>
    </row>
    <row r="17" spans="1:8" hidden="1" x14ac:dyDescent="0.35">
      <c r="A17" s="10" t="s">
        <v>102</v>
      </c>
      <c r="B17" s="11">
        <v>45658</v>
      </c>
      <c r="C17" s="3" t="s">
        <v>48</v>
      </c>
      <c r="D17" s="3" t="s">
        <v>49</v>
      </c>
      <c r="E17" s="3" t="s">
        <v>51</v>
      </c>
      <c r="F17" s="3" t="s">
        <v>65</v>
      </c>
      <c r="G17" s="30">
        <v>0</v>
      </c>
      <c r="H17" s="39">
        <v>0</v>
      </c>
    </row>
    <row r="18" spans="1:8" hidden="1" x14ac:dyDescent="0.35">
      <c r="A18" s="10" t="s">
        <v>190</v>
      </c>
      <c r="B18" s="11">
        <v>45658</v>
      </c>
      <c r="C18" s="3" t="s">
        <v>22</v>
      </c>
      <c r="D18" s="3" t="s">
        <v>11</v>
      </c>
      <c r="E18" s="3" t="str">
        <f>_xlfn.XLOOKUP(TabReceitas[[#This Row],[ID]],TabCondicoesComerciais[ID],TabCondicoesComerciais[Congênere],"Verificar")</f>
        <v>Rede Sol</v>
      </c>
      <c r="F18" s="3" t="s">
        <v>7</v>
      </c>
      <c r="G18" s="30">
        <v>0</v>
      </c>
      <c r="H18" s="39">
        <v>0</v>
      </c>
    </row>
    <row r="19" spans="1:8" hidden="1" x14ac:dyDescent="0.35">
      <c r="A19" s="10" t="s">
        <v>190</v>
      </c>
      <c r="B19" s="11">
        <v>45658</v>
      </c>
      <c r="C19" s="3" t="s">
        <v>22</v>
      </c>
      <c r="D19" s="3" t="s">
        <v>11</v>
      </c>
      <c r="E19" s="3" t="str">
        <f>_xlfn.XLOOKUP(TabReceitas[[#This Row],[ID]],TabCondicoesComerciais[ID],TabCondicoesComerciais[Congênere],"Verificar")</f>
        <v>Rede Sol</v>
      </c>
      <c r="F19" s="3" t="s">
        <v>8</v>
      </c>
      <c r="G19" s="30">
        <v>0</v>
      </c>
      <c r="H19" s="39">
        <v>0</v>
      </c>
    </row>
    <row r="20" spans="1:8" hidden="1" x14ac:dyDescent="0.35">
      <c r="A20" s="10" t="s">
        <v>190</v>
      </c>
      <c r="B20" s="11">
        <v>45658</v>
      </c>
      <c r="C20" s="3" t="s">
        <v>22</v>
      </c>
      <c r="D20" s="3" t="s">
        <v>11</v>
      </c>
      <c r="E20" s="3" t="str">
        <f>_xlfn.XLOOKUP(TabReceitas[[#This Row],[ID]],TabCondicoesComerciais[ID],TabCondicoesComerciais[Congênere],"Verificar")</f>
        <v>Rede Sol</v>
      </c>
      <c r="F20" s="3" t="s">
        <v>15</v>
      </c>
      <c r="G20" s="30">
        <v>56842.1052631579</v>
      </c>
      <c r="H20" s="39">
        <v>2000</v>
      </c>
    </row>
    <row r="21" spans="1:8" hidden="1" x14ac:dyDescent="0.35">
      <c r="A21" s="10" t="s">
        <v>190</v>
      </c>
      <c r="B21" s="11">
        <v>45658</v>
      </c>
      <c r="C21" s="3" t="s">
        <v>22</v>
      </c>
      <c r="D21" s="3" t="s">
        <v>11</v>
      </c>
      <c r="E21" s="3" t="str">
        <f>_xlfn.XLOOKUP(TabReceitas[[#This Row],[ID]],TabCondicoesComerciais[ID],TabCondicoesComerciais[Congênere],"Verificar")</f>
        <v>Rede Sol</v>
      </c>
      <c r="F21" s="3" t="s">
        <v>65</v>
      </c>
      <c r="G21" s="30">
        <v>0</v>
      </c>
      <c r="H21" s="39">
        <v>0</v>
      </c>
    </row>
    <row r="22" spans="1:8" hidden="1" x14ac:dyDescent="0.35">
      <c r="A22" s="10" t="s">
        <v>172</v>
      </c>
      <c r="B22" s="11">
        <v>45658</v>
      </c>
      <c r="C22" s="3" t="s">
        <v>22</v>
      </c>
      <c r="D22" s="3" t="s">
        <v>11</v>
      </c>
      <c r="E22" s="3" t="str">
        <f>_xlfn.XLOOKUP(TabReceitas[[#This Row],[ID]],TabCondicoesComerciais[ID],TabCondicoesComerciais[Congênere],"Verificar")</f>
        <v>Ruff</v>
      </c>
      <c r="F22" s="3" t="s">
        <v>7</v>
      </c>
      <c r="G22" s="30">
        <v>0</v>
      </c>
      <c r="H22" s="39">
        <v>0</v>
      </c>
    </row>
    <row r="23" spans="1:8" hidden="1" x14ac:dyDescent="0.35">
      <c r="A23" s="10" t="s">
        <v>172</v>
      </c>
      <c r="B23" s="11">
        <v>45658</v>
      </c>
      <c r="C23" s="3" t="s">
        <v>22</v>
      </c>
      <c r="D23" s="3" t="s">
        <v>11</v>
      </c>
      <c r="E23" s="3" t="str">
        <f>_xlfn.XLOOKUP(TabReceitas[[#This Row],[ID]],TabCondicoesComerciais[ID],TabCondicoesComerciais[Congênere],"Verificar")</f>
        <v>Ruff</v>
      </c>
      <c r="F23" s="3" t="s">
        <v>8</v>
      </c>
      <c r="G23" s="30">
        <v>0</v>
      </c>
      <c r="H23" s="39">
        <v>0</v>
      </c>
    </row>
    <row r="24" spans="1:8" hidden="1" x14ac:dyDescent="0.35">
      <c r="A24" s="10" t="s">
        <v>172</v>
      </c>
      <c r="B24" s="11">
        <v>45658</v>
      </c>
      <c r="C24" s="3" t="s">
        <v>22</v>
      </c>
      <c r="D24" s="3" t="s">
        <v>11</v>
      </c>
      <c r="E24" s="3" t="str">
        <f>_xlfn.XLOOKUP(TabReceitas[[#This Row],[ID]],TabCondicoesComerciais[ID],TabCondicoesComerciais[Congênere],"Verificar")</f>
        <v>Ruff</v>
      </c>
      <c r="F24" s="3" t="s">
        <v>15</v>
      </c>
      <c r="G24" s="30">
        <v>0</v>
      </c>
      <c r="H24" s="39">
        <v>0</v>
      </c>
    </row>
    <row r="25" spans="1:8" hidden="1" x14ac:dyDescent="0.35">
      <c r="A25" s="10" t="s">
        <v>172</v>
      </c>
      <c r="B25" s="11">
        <v>45658</v>
      </c>
      <c r="C25" s="3" t="s">
        <v>22</v>
      </c>
      <c r="D25" s="3" t="s">
        <v>11</v>
      </c>
      <c r="E25" s="3" t="str">
        <f>_xlfn.XLOOKUP(TabReceitas[[#This Row],[ID]],TabCondicoesComerciais[ID],TabCondicoesComerciais[Congênere],"Verificar")</f>
        <v>Ruff</v>
      </c>
      <c r="F25" s="3" t="s">
        <v>65</v>
      </c>
      <c r="G25" s="30">
        <v>0</v>
      </c>
      <c r="H25" s="39">
        <v>0</v>
      </c>
    </row>
    <row r="26" spans="1:8" hidden="1" x14ac:dyDescent="0.35">
      <c r="A26" s="10" t="s">
        <v>149</v>
      </c>
      <c r="B26" s="11">
        <v>45658</v>
      </c>
      <c r="C26" s="3" t="s">
        <v>23</v>
      </c>
      <c r="D26" s="3" t="s">
        <v>112</v>
      </c>
      <c r="E26" s="3" t="s">
        <v>113</v>
      </c>
      <c r="F26" s="3" t="s">
        <v>7</v>
      </c>
      <c r="G26" s="30">
        <v>0</v>
      </c>
      <c r="H26" s="39">
        <v>0</v>
      </c>
    </row>
    <row r="27" spans="1:8" hidden="1" x14ac:dyDescent="0.35">
      <c r="A27" s="10" t="s">
        <v>149</v>
      </c>
      <c r="B27" s="11">
        <v>45658</v>
      </c>
      <c r="C27" s="3" t="s">
        <v>23</v>
      </c>
      <c r="D27" s="3" t="s">
        <v>112</v>
      </c>
      <c r="E27" s="3" t="s">
        <v>113</v>
      </c>
      <c r="F27" s="3" t="s">
        <v>8</v>
      </c>
      <c r="G27" s="30">
        <v>0</v>
      </c>
      <c r="H27" s="39">
        <v>0</v>
      </c>
    </row>
    <row r="28" spans="1:8" hidden="1" x14ac:dyDescent="0.35">
      <c r="A28" s="10" t="s">
        <v>149</v>
      </c>
      <c r="B28" s="11">
        <v>45658</v>
      </c>
      <c r="C28" s="3" t="s">
        <v>23</v>
      </c>
      <c r="D28" s="3" t="s">
        <v>112</v>
      </c>
      <c r="E28" s="3" t="s">
        <v>113</v>
      </c>
      <c r="F28" s="3" t="s">
        <v>15</v>
      </c>
      <c r="G28" s="30">
        <v>86210.526315789481</v>
      </c>
      <c r="H28" s="39">
        <v>4200</v>
      </c>
    </row>
    <row r="29" spans="1:8" hidden="1" x14ac:dyDescent="0.35">
      <c r="A29" s="10" t="s">
        <v>149</v>
      </c>
      <c r="B29" s="11">
        <v>45658</v>
      </c>
      <c r="C29" s="3" t="s">
        <v>23</v>
      </c>
      <c r="D29" s="3" t="s">
        <v>112</v>
      </c>
      <c r="E29" s="3" t="s">
        <v>113</v>
      </c>
      <c r="F29" s="3" t="s">
        <v>65</v>
      </c>
      <c r="G29" s="30">
        <v>0</v>
      </c>
      <c r="H29" s="39">
        <v>0</v>
      </c>
    </row>
    <row r="30" spans="1:8" hidden="1" x14ac:dyDescent="0.35">
      <c r="A30" s="10" t="s">
        <v>150</v>
      </c>
      <c r="B30" s="11">
        <v>45658</v>
      </c>
      <c r="C30" s="3" t="s">
        <v>46</v>
      </c>
      <c r="D30" s="3" t="s">
        <v>87</v>
      </c>
      <c r="E30" s="3" t="s">
        <v>9</v>
      </c>
      <c r="F30" s="3" t="s">
        <v>7</v>
      </c>
      <c r="G30" s="30">
        <v>0</v>
      </c>
      <c r="H30" s="39">
        <v>0</v>
      </c>
    </row>
    <row r="31" spans="1:8" hidden="1" x14ac:dyDescent="0.35">
      <c r="A31" s="10" t="s">
        <v>150</v>
      </c>
      <c r="B31" s="11">
        <v>45658</v>
      </c>
      <c r="C31" s="3" t="s">
        <v>46</v>
      </c>
      <c r="D31" s="3" t="s">
        <v>87</v>
      </c>
      <c r="E31" s="3" t="s">
        <v>9</v>
      </c>
      <c r="F31" s="3" t="s">
        <v>8</v>
      </c>
      <c r="G31" s="30">
        <v>0</v>
      </c>
      <c r="H31" s="39">
        <v>0</v>
      </c>
    </row>
    <row r="32" spans="1:8" hidden="1" x14ac:dyDescent="0.35">
      <c r="A32" s="10" t="s">
        <v>150</v>
      </c>
      <c r="B32" s="11">
        <v>45658</v>
      </c>
      <c r="C32" s="3" t="s">
        <v>46</v>
      </c>
      <c r="D32" s="3" t="s">
        <v>87</v>
      </c>
      <c r="E32" s="3" t="s">
        <v>9</v>
      </c>
      <c r="F32" s="3" t="s">
        <v>15</v>
      </c>
      <c r="G32" s="30">
        <v>137499.15789473685</v>
      </c>
      <c r="H32" s="39">
        <v>4200</v>
      </c>
    </row>
    <row r="33" spans="1:8" hidden="1" x14ac:dyDescent="0.35">
      <c r="A33" s="10" t="s">
        <v>150</v>
      </c>
      <c r="B33" s="11">
        <v>45658</v>
      </c>
      <c r="C33" s="3" t="s">
        <v>46</v>
      </c>
      <c r="D33" s="3" t="s">
        <v>87</v>
      </c>
      <c r="E33" s="3" t="s">
        <v>9</v>
      </c>
      <c r="F33" s="3" t="s">
        <v>65</v>
      </c>
      <c r="G33" s="30">
        <v>0</v>
      </c>
      <c r="H33" s="39">
        <v>0</v>
      </c>
    </row>
    <row r="34" spans="1:8" hidden="1" x14ac:dyDescent="0.35">
      <c r="A34" s="10" t="s">
        <v>166</v>
      </c>
      <c r="B34" s="11">
        <v>45658</v>
      </c>
      <c r="C34" s="3" t="s">
        <v>25</v>
      </c>
      <c r="D34" s="3" t="s">
        <v>12</v>
      </c>
      <c r="E34" s="3" t="s">
        <v>9</v>
      </c>
      <c r="F34" s="3" t="s">
        <v>7</v>
      </c>
      <c r="G34" s="30">
        <v>0</v>
      </c>
      <c r="H34" s="39">
        <v>0</v>
      </c>
    </row>
    <row r="35" spans="1:8" hidden="1" x14ac:dyDescent="0.35">
      <c r="A35" s="10" t="s">
        <v>166</v>
      </c>
      <c r="B35" s="11">
        <v>45658</v>
      </c>
      <c r="C35" s="3" t="s">
        <v>25</v>
      </c>
      <c r="D35" s="3" t="s">
        <v>12</v>
      </c>
      <c r="E35" s="3" t="s">
        <v>9</v>
      </c>
      <c r="F35" s="3" t="s">
        <v>8</v>
      </c>
      <c r="G35" s="30">
        <v>0</v>
      </c>
      <c r="H35" s="39">
        <v>0</v>
      </c>
    </row>
    <row r="36" spans="1:8" hidden="1" x14ac:dyDescent="0.35">
      <c r="A36" s="10" t="s">
        <v>166</v>
      </c>
      <c r="B36" s="11">
        <v>45658</v>
      </c>
      <c r="C36" s="3" t="s">
        <v>25</v>
      </c>
      <c r="D36" s="3" t="s">
        <v>12</v>
      </c>
      <c r="E36" s="3" t="s">
        <v>9</v>
      </c>
      <c r="F36" s="3" t="s">
        <v>15</v>
      </c>
      <c r="G36" s="30">
        <v>164947.60916666666</v>
      </c>
      <c r="H36" s="39">
        <v>6100</v>
      </c>
    </row>
    <row r="37" spans="1:8" hidden="1" x14ac:dyDescent="0.35">
      <c r="A37" s="10" t="s">
        <v>166</v>
      </c>
      <c r="B37" s="11">
        <v>45658</v>
      </c>
      <c r="C37" s="3" t="s">
        <v>25</v>
      </c>
      <c r="D37" s="3" t="s">
        <v>12</v>
      </c>
      <c r="E37" s="3" t="s">
        <v>9</v>
      </c>
      <c r="F37" s="3" t="s">
        <v>65</v>
      </c>
      <c r="G37" s="30">
        <v>0</v>
      </c>
      <c r="H37" s="39">
        <v>0</v>
      </c>
    </row>
    <row r="38" spans="1:8" hidden="1" x14ac:dyDescent="0.35">
      <c r="A38" s="10" t="s">
        <v>134</v>
      </c>
      <c r="B38" s="11">
        <v>45658</v>
      </c>
      <c r="C38" s="3" t="s">
        <v>57</v>
      </c>
      <c r="D38" s="3" t="s">
        <v>58</v>
      </c>
      <c r="E38" s="3" t="s">
        <v>10</v>
      </c>
      <c r="F38" s="3" t="s">
        <v>7</v>
      </c>
      <c r="G38" s="30">
        <v>0</v>
      </c>
      <c r="H38" s="39">
        <v>0</v>
      </c>
    </row>
    <row r="39" spans="1:8" hidden="1" x14ac:dyDescent="0.35">
      <c r="A39" s="10" t="s">
        <v>134</v>
      </c>
      <c r="B39" s="11">
        <v>45658</v>
      </c>
      <c r="C39" s="3" t="s">
        <v>57</v>
      </c>
      <c r="D39" s="3" t="s">
        <v>58</v>
      </c>
      <c r="E39" s="3" t="s">
        <v>10</v>
      </c>
      <c r="F39" s="3" t="s">
        <v>8</v>
      </c>
      <c r="G39" s="30">
        <v>0</v>
      </c>
      <c r="H39" s="39">
        <v>0</v>
      </c>
    </row>
    <row r="40" spans="1:8" hidden="1" x14ac:dyDescent="0.35">
      <c r="A40" s="10" t="s">
        <v>134</v>
      </c>
      <c r="B40" s="11">
        <v>45658</v>
      </c>
      <c r="C40" s="3" t="s">
        <v>57</v>
      </c>
      <c r="D40" s="3" t="s">
        <v>58</v>
      </c>
      <c r="E40" s="3" t="s">
        <v>10</v>
      </c>
      <c r="F40" s="3" t="s">
        <v>15</v>
      </c>
      <c r="G40" s="30">
        <v>16703.076923076926</v>
      </c>
      <c r="H40" s="39">
        <v>550</v>
      </c>
    </row>
    <row r="41" spans="1:8" hidden="1" x14ac:dyDescent="0.35">
      <c r="A41" s="10" t="s">
        <v>134</v>
      </c>
      <c r="B41" s="11">
        <v>45658</v>
      </c>
      <c r="C41" s="3" t="s">
        <v>57</v>
      </c>
      <c r="D41" s="3" t="s">
        <v>58</v>
      </c>
      <c r="E41" s="3" t="s">
        <v>10</v>
      </c>
      <c r="F41" s="3" t="s">
        <v>65</v>
      </c>
      <c r="G41" s="30">
        <v>0</v>
      </c>
      <c r="H41" s="39">
        <v>0</v>
      </c>
    </row>
    <row r="42" spans="1:8" hidden="1" x14ac:dyDescent="0.35">
      <c r="A42" s="3">
        <v>20105</v>
      </c>
      <c r="B42" s="11">
        <v>45658</v>
      </c>
      <c r="C42" s="3" t="s">
        <v>26</v>
      </c>
      <c r="D42" s="3" t="s">
        <v>19</v>
      </c>
      <c r="E42" s="3" t="s">
        <v>13</v>
      </c>
      <c r="F42" s="3" t="s">
        <v>7</v>
      </c>
      <c r="G42" s="30">
        <v>0</v>
      </c>
      <c r="H42" s="39">
        <v>0</v>
      </c>
    </row>
    <row r="43" spans="1:8" hidden="1" x14ac:dyDescent="0.35">
      <c r="A43" s="3">
        <v>20105</v>
      </c>
      <c r="B43" s="11">
        <v>45658</v>
      </c>
      <c r="C43" s="3" t="s">
        <v>26</v>
      </c>
      <c r="D43" s="3" t="s">
        <v>19</v>
      </c>
      <c r="E43" s="3" t="s">
        <v>13</v>
      </c>
      <c r="F43" s="3" t="s">
        <v>8</v>
      </c>
      <c r="G43" s="30">
        <v>0</v>
      </c>
      <c r="H43" s="39">
        <v>0</v>
      </c>
    </row>
    <row r="44" spans="1:8" hidden="1" x14ac:dyDescent="0.35">
      <c r="A44" s="3">
        <v>20105</v>
      </c>
      <c r="B44" s="11">
        <v>45658</v>
      </c>
      <c r="C44" s="3" t="s">
        <v>26</v>
      </c>
      <c r="D44" s="3" t="s">
        <v>19</v>
      </c>
      <c r="E44" s="3" t="s">
        <v>13</v>
      </c>
      <c r="F44" s="3" t="s">
        <v>15</v>
      </c>
      <c r="G44" s="30">
        <v>16282.577319587626</v>
      </c>
      <c r="H44" s="39">
        <v>545</v>
      </c>
    </row>
    <row r="45" spans="1:8" hidden="1" x14ac:dyDescent="0.35">
      <c r="A45" s="3">
        <v>20105</v>
      </c>
      <c r="B45" s="11">
        <v>45658</v>
      </c>
      <c r="C45" s="3" t="s">
        <v>26</v>
      </c>
      <c r="D45" s="3" t="s">
        <v>19</v>
      </c>
      <c r="E45" s="3" t="s">
        <v>13</v>
      </c>
      <c r="F45" s="3" t="s">
        <v>65</v>
      </c>
      <c r="G45" s="30">
        <v>0</v>
      </c>
      <c r="H45" s="39">
        <v>0</v>
      </c>
    </row>
    <row r="46" spans="1:8" hidden="1" x14ac:dyDescent="0.35">
      <c r="A46" s="10" t="s">
        <v>142</v>
      </c>
      <c r="B46" s="11">
        <v>45689</v>
      </c>
      <c r="C46" s="3" t="s">
        <v>48</v>
      </c>
      <c r="D46" s="3" t="s">
        <v>49</v>
      </c>
      <c r="E46" s="3" t="s">
        <v>52</v>
      </c>
      <c r="F46" s="3" t="s">
        <v>7</v>
      </c>
      <c r="G46" s="30">
        <v>0</v>
      </c>
      <c r="H46" s="39">
        <v>0</v>
      </c>
    </row>
    <row r="47" spans="1:8" hidden="1" x14ac:dyDescent="0.35">
      <c r="A47" s="10" t="s">
        <v>142</v>
      </c>
      <c r="B47" s="11">
        <v>45689</v>
      </c>
      <c r="C47" s="3" t="s">
        <v>48</v>
      </c>
      <c r="D47" s="3" t="s">
        <v>49</v>
      </c>
      <c r="E47" s="3" t="s">
        <v>52</v>
      </c>
      <c r="F47" s="3" t="s">
        <v>8</v>
      </c>
      <c r="G47" s="30">
        <v>0</v>
      </c>
      <c r="H47" s="39">
        <v>0</v>
      </c>
    </row>
    <row r="48" spans="1:8" hidden="1" x14ac:dyDescent="0.35">
      <c r="A48" s="10" t="s">
        <v>142</v>
      </c>
      <c r="B48" s="11">
        <v>45689</v>
      </c>
      <c r="C48" s="3" t="s">
        <v>48</v>
      </c>
      <c r="D48" s="3" t="s">
        <v>49</v>
      </c>
      <c r="E48" s="3" t="s">
        <v>52</v>
      </c>
      <c r="F48" s="3" t="s">
        <v>15</v>
      </c>
      <c r="G48" s="30">
        <v>89789.370062370057</v>
      </c>
      <c r="H48" s="39">
        <v>2040</v>
      </c>
    </row>
    <row r="49" spans="1:8" hidden="1" x14ac:dyDescent="0.35">
      <c r="A49" s="10" t="s">
        <v>142</v>
      </c>
      <c r="B49" s="11">
        <v>45689</v>
      </c>
      <c r="C49" s="3" t="s">
        <v>48</v>
      </c>
      <c r="D49" s="3" t="s">
        <v>49</v>
      </c>
      <c r="E49" s="3" t="s">
        <v>52</v>
      </c>
      <c r="F49" s="3" t="s">
        <v>65</v>
      </c>
      <c r="G49" s="30">
        <v>0</v>
      </c>
      <c r="H49" s="39">
        <v>0</v>
      </c>
    </row>
    <row r="50" spans="1:8" hidden="1" x14ac:dyDescent="0.35">
      <c r="A50" s="10" t="s">
        <v>139</v>
      </c>
      <c r="B50" s="11">
        <v>45689</v>
      </c>
      <c r="C50" s="3" t="s">
        <v>48</v>
      </c>
      <c r="D50" s="3" t="s">
        <v>49</v>
      </c>
      <c r="E50" s="3" t="s">
        <v>14</v>
      </c>
      <c r="F50" s="3" t="s">
        <v>7</v>
      </c>
      <c r="G50" s="30">
        <v>0</v>
      </c>
      <c r="H50" s="39">
        <v>0</v>
      </c>
    </row>
    <row r="51" spans="1:8" hidden="1" x14ac:dyDescent="0.35">
      <c r="A51" s="10" t="s">
        <v>139</v>
      </c>
      <c r="B51" s="11">
        <v>45689</v>
      </c>
      <c r="C51" s="3" t="s">
        <v>48</v>
      </c>
      <c r="D51" s="3" t="s">
        <v>49</v>
      </c>
      <c r="E51" s="3" t="s">
        <v>14</v>
      </c>
      <c r="F51" s="3" t="s">
        <v>8</v>
      </c>
      <c r="G51" s="30">
        <v>0</v>
      </c>
      <c r="H51" s="39">
        <v>0</v>
      </c>
    </row>
    <row r="52" spans="1:8" hidden="1" x14ac:dyDescent="0.35">
      <c r="A52" s="10" t="s">
        <v>139</v>
      </c>
      <c r="B52" s="11">
        <v>45689</v>
      </c>
      <c r="C52" s="3" t="s">
        <v>48</v>
      </c>
      <c r="D52" s="3" t="s">
        <v>49</v>
      </c>
      <c r="E52" s="3" t="s">
        <v>14</v>
      </c>
      <c r="F52" s="3" t="s">
        <v>15</v>
      </c>
      <c r="G52" s="30">
        <v>28839.059251559258</v>
      </c>
      <c r="H52" s="39">
        <v>1500</v>
      </c>
    </row>
    <row r="53" spans="1:8" hidden="1" x14ac:dyDescent="0.35">
      <c r="A53" s="10" t="s">
        <v>139</v>
      </c>
      <c r="B53" s="11">
        <v>45689</v>
      </c>
      <c r="C53" s="3" t="s">
        <v>48</v>
      </c>
      <c r="D53" s="3" t="s">
        <v>49</v>
      </c>
      <c r="E53" s="3" t="s">
        <v>14</v>
      </c>
      <c r="F53" s="3" t="s">
        <v>65</v>
      </c>
      <c r="G53" s="30">
        <v>0</v>
      </c>
      <c r="H53" s="39">
        <v>0</v>
      </c>
    </row>
    <row r="54" spans="1:8" hidden="1" x14ac:dyDescent="0.35">
      <c r="A54" s="10" t="s">
        <v>25</v>
      </c>
      <c r="B54" s="11">
        <v>45689</v>
      </c>
      <c r="C54" s="3" t="s">
        <v>48</v>
      </c>
      <c r="D54" s="3" t="s">
        <v>49</v>
      </c>
      <c r="E54" s="3" t="s">
        <v>116</v>
      </c>
      <c r="F54" s="3" t="s">
        <v>7</v>
      </c>
      <c r="G54" s="30">
        <v>0</v>
      </c>
      <c r="H54" s="39">
        <v>0</v>
      </c>
    </row>
    <row r="55" spans="1:8" hidden="1" x14ac:dyDescent="0.35">
      <c r="A55" s="10" t="s">
        <v>25</v>
      </c>
      <c r="B55" s="11">
        <v>45689</v>
      </c>
      <c r="C55" s="3" t="s">
        <v>48</v>
      </c>
      <c r="D55" s="3" t="s">
        <v>49</v>
      </c>
      <c r="E55" s="3" t="s">
        <v>116</v>
      </c>
      <c r="F55" s="3" t="s">
        <v>8</v>
      </c>
      <c r="G55" s="30">
        <v>0</v>
      </c>
      <c r="H55" s="39">
        <v>0</v>
      </c>
    </row>
    <row r="56" spans="1:8" hidden="1" x14ac:dyDescent="0.35">
      <c r="A56" s="10" t="s">
        <v>25</v>
      </c>
      <c r="B56" s="11">
        <v>45689</v>
      </c>
      <c r="C56" s="3" t="s">
        <v>48</v>
      </c>
      <c r="D56" s="3" t="s">
        <v>49</v>
      </c>
      <c r="E56" s="3" t="s">
        <v>116</v>
      </c>
      <c r="F56" s="3" t="s">
        <v>15</v>
      </c>
      <c r="G56" s="30">
        <v>9729.72972972973</v>
      </c>
      <c r="H56" s="39">
        <v>300</v>
      </c>
    </row>
    <row r="57" spans="1:8" hidden="1" x14ac:dyDescent="0.35">
      <c r="A57" s="10" t="s">
        <v>25</v>
      </c>
      <c r="B57" s="11">
        <v>45689</v>
      </c>
      <c r="C57" s="3" t="s">
        <v>48</v>
      </c>
      <c r="D57" s="3" t="s">
        <v>49</v>
      </c>
      <c r="E57" s="3" t="s">
        <v>116</v>
      </c>
      <c r="F57" s="3" t="s">
        <v>65</v>
      </c>
      <c r="G57" s="30">
        <v>0</v>
      </c>
      <c r="H57" s="39">
        <v>0</v>
      </c>
    </row>
    <row r="58" spans="1:8" hidden="1" x14ac:dyDescent="0.35">
      <c r="A58" s="10" t="s">
        <v>102</v>
      </c>
      <c r="B58" s="11">
        <v>45689</v>
      </c>
      <c r="C58" s="3" t="s">
        <v>48</v>
      </c>
      <c r="D58" s="3" t="s">
        <v>49</v>
      </c>
      <c r="E58" s="3" t="s">
        <v>51</v>
      </c>
      <c r="F58" s="3" t="s">
        <v>7</v>
      </c>
      <c r="G58" s="30">
        <v>0</v>
      </c>
      <c r="H58" s="39">
        <v>0</v>
      </c>
    </row>
    <row r="59" spans="1:8" hidden="1" x14ac:dyDescent="0.35">
      <c r="A59" s="10" t="s">
        <v>102</v>
      </c>
      <c r="B59" s="11">
        <v>45689</v>
      </c>
      <c r="C59" s="3" t="s">
        <v>48</v>
      </c>
      <c r="D59" s="3" t="s">
        <v>49</v>
      </c>
      <c r="E59" s="3" t="s">
        <v>51</v>
      </c>
      <c r="F59" s="3" t="s">
        <v>8</v>
      </c>
      <c r="G59" s="30">
        <v>0</v>
      </c>
      <c r="H59" s="39">
        <v>0</v>
      </c>
    </row>
    <row r="60" spans="1:8" hidden="1" x14ac:dyDescent="0.35">
      <c r="A60" s="10" t="s">
        <v>102</v>
      </c>
      <c r="B60" s="11">
        <v>45689</v>
      </c>
      <c r="C60" s="3" t="s">
        <v>48</v>
      </c>
      <c r="D60" s="3" t="s">
        <v>49</v>
      </c>
      <c r="E60" s="3" t="s">
        <v>51</v>
      </c>
      <c r="F60" s="3" t="s">
        <v>15</v>
      </c>
      <c r="G60" s="30">
        <v>226720.94594594592</v>
      </c>
      <c r="H60" s="39">
        <v>6500</v>
      </c>
    </row>
    <row r="61" spans="1:8" hidden="1" x14ac:dyDescent="0.35">
      <c r="A61" s="10" t="s">
        <v>102</v>
      </c>
      <c r="B61" s="11">
        <v>45689</v>
      </c>
      <c r="C61" s="3" t="s">
        <v>48</v>
      </c>
      <c r="D61" s="3" t="s">
        <v>49</v>
      </c>
      <c r="E61" s="3" t="s">
        <v>51</v>
      </c>
      <c r="F61" s="3" t="s">
        <v>65</v>
      </c>
      <c r="G61" s="30">
        <v>0</v>
      </c>
      <c r="H61" s="39">
        <v>0</v>
      </c>
    </row>
    <row r="62" spans="1:8" hidden="1" x14ac:dyDescent="0.35">
      <c r="A62" s="10" t="s">
        <v>190</v>
      </c>
      <c r="B62" s="11">
        <v>45689</v>
      </c>
      <c r="C62" s="3" t="s">
        <v>22</v>
      </c>
      <c r="D62" s="3" t="s">
        <v>11</v>
      </c>
      <c r="E62" s="3" t="str">
        <f>_xlfn.XLOOKUP(TabReceitas[[#This Row],[ID]],TabCondicoesComerciais[ID],TabCondicoesComerciais[Congênere],"Verificar")</f>
        <v>Rede Sol</v>
      </c>
      <c r="F62" s="3" t="s">
        <v>7</v>
      </c>
      <c r="G62" s="30">
        <v>0</v>
      </c>
      <c r="H62" s="39">
        <v>0</v>
      </c>
    </row>
    <row r="63" spans="1:8" hidden="1" x14ac:dyDescent="0.35">
      <c r="A63" s="10" t="s">
        <v>190</v>
      </c>
      <c r="B63" s="11">
        <v>45689</v>
      </c>
      <c r="C63" s="3" t="s">
        <v>22</v>
      </c>
      <c r="D63" s="3" t="s">
        <v>11</v>
      </c>
      <c r="E63" s="3" t="str">
        <f>_xlfn.XLOOKUP(TabReceitas[[#This Row],[ID]],TabCondicoesComerciais[ID],TabCondicoesComerciais[Congênere],"Verificar")</f>
        <v>Rede Sol</v>
      </c>
      <c r="F63" s="3" t="s">
        <v>8</v>
      </c>
      <c r="G63" s="30">
        <v>0</v>
      </c>
      <c r="H63" s="39">
        <v>0</v>
      </c>
    </row>
    <row r="64" spans="1:8" hidden="1" x14ac:dyDescent="0.35">
      <c r="A64" s="10" t="s">
        <v>190</v>
      </c>
      <c r="B64" s="11">
        <v>45689</v>
      </c>
      <c r="C64" s="3" t="s">
        <v>22</v>
      </c>
      <c r="D64" s="3" t="s">
        <v>11</v>
      </c>
      <c r="E64" s="3" t="str">
        <f>_xlfn.XLOOKUP(TabReceitas[[#This Row],[ID]],TabCondicoesComerciais[ID],TabCondicoesComerciais[Congênere],"Verificar")</f>
        <v>Rede Sol</v>
      </c>
      <c r="F64" s="3" t="s">
        <v>15</v>
      </c>
      <c r="G64" s="30">
        <v>59115.789473684214</v>
      </c>
      <c r="H64" s="39">
        <v>2000</v>
      </c>
    </row>
    <row r="65" spans="1:8" hidden="1" x14ac:dyDescent="0.35">
      <c r="A65" s="10" t="s">
        <v>190</v>
      </c>
      <c r="B65" s="11">
        <v>45689</v>
      </c>
      <c r="C65" s="3" t="s">
        <v>22</v>
      </c>
      <c r="D65" s="3" t="s">
        <v>11</v>
      </c>
      <c r="E65" s="3" t="str">
        <f>_xlfn.XLOOKUP(TabReceitas[[#This Row],[ID]],TabCondicoesComerciais[ID],TabCondicoesComerciais[Congênere],"Verificar")</f>
        <v>Rede Sol</v>
      </c>
      <c r="F65" s="3" t="s">
        <v>65</v>
      </c>
      <c r="G65" s="30">
        <v>0</v>
      </c>
      <c r="H65" s="39">
        <v>0</v>
      </c>
    </row>
    <row r="66" spans="1:8" hidden="1" x14ac:dyDescent="0.35">
      <c r="A66" s="10" t="s">
        <v>172</v>
      </c>
      <c r="B66" s="11">
        <v>45689</v>
      </c>
      <c r="C66" s="3" t="s">
        <v>22</v>
      </c>
      <c r="D66" s="3" t="s">
        <v>11</v>
      </c>
      <c r="E66" s="3" t="str">
        <f>_xlfn.XLOOKUP(TabReceitas[[#This Row],[ID]],TabCondicoesComerciais[ID],TabCondicoesComerciais[Congênere],"Verificar")</f>
        <v>Ruff</v>
      </c>
      <c r="F66" s="3" t="s">
        <v>7</v>
      </c>
      <c r="G66" s="30">
        <v>0</v>
      </c>
      <c r="H66" s="39">
        <v>0</v>
      </c>
    </row>
    <row r="67" spans="1:8" hidden="1" x14ac:dyDescent="0.35">
      <c r="A67" s="10" t="s">
        <v>172</v>
      </c>
      <c r="B67" s="11">
        <v>45689</v>
      </c>
      <c r="C67" s="3" t="s">
        <v>22</v>
      </c>
      <c r="D67" s="3" t="s">
        <v>11</v>
      </c>
      <c r="E67" s="3" t="str">
        <f>_xlfn.XLOOKUP(TabReceitas[[#This Row],[ID]],TabCondicoesComerciais[ID],TabCondicoesComerciais[Congênere],"Verificar")</f>
        <v>Ruff</v>
      </c>
      <c r="F67" s="3" t="s">
        <v>8</v>
      </c>
      <c r="G67" s="30">
        <v>0</v>
      </c>
      <c r="H67" s="39">
        <v>0</v>
      </c>
    </row>
    <row r="68" spans="1:8" hidden="1" x14ac:dyDescent="0.35">
      <c r="A68" s="10" t="s">
        <v>172</v>
      </c>
      <c r="B68" s="11">
        <v>45689</v>
      </c>
      <c r="C68" s="3" t="s">
        <v>22</v>
      </c>
      <c r="D68" s="3" t="s">
        <v>11</v>
      </c>
      <c r="E68" s="3" t="str">
        <f>_xlfn.XLOOKUP(TabReceitas[[#This Row],[ID]],TabCondicoesComerciais[ID],TabCondicoesComerciais[Congênere],"Verificar")</f>
        <v>Ruff</v>
      </c>
      <c r="F68" s="3" t="s">
        <v>15</v>
      </c>
      <c r="G68" s="30">
        <v>0</v>
      </c>
      <c r="H68" s="39">
        <v>0</v>
      </c>
    </row>
    <row r="69" spans="1:8" hidden="1" x14ac:dyDescent="0.35">
      <c r="A69" s="10" t="s">
        <v>172</v>
      </c>
      <c r="B69" s="11">
        <v>45689</v>
      </c>
      <c r="C69" s="3" t="s">
        <v>22</v>
      </c>
      <c r="D69" s="3" t="s">
        <v>11</v>
      </c>
      <c r="E69" s="3" t="str">
        <f>_xlfn.XLOOKUP(TabReceitas[[#This Row],[ID]],TabCondicoesComerciais[ID],TabCondicoesComerciais[Congênere],"Verificar")</f>
        <v>Ruff</v>
      </c>
      <c r="F69" s="3" t="s">
        <v>65</v>
      </c>
      <c r="G69" s="30">
        <v>0</v>
      </c>
      <c r="H69" s="39">
        <v>0</v>
      </c>
    </row>
    <row r="70" spans="1:8" hidden="1" x14ac:dyDescent="0.35">
      <c r="A70" s="10" t="s">
        <v>149</v>
      </c>
      <c r="B70" s="11">
        <v>45689</v>
      </c>
      <c r="C70" s="3" t="s">
        <v>23</v>
      </c>
      <c r="D70" s="3" t="s">
        <v>112</v>
      </c>
      <c r="E70" s="3" t="s">
        <v>113</v>
      </c>
      <c r="F70" s="3" t="s">
        <v>7</v>
      </c>
      <c r="G70" s="30">
        <v>0</v>
      </c>
      <c r="H70" s="39">
        <v>0</v>
      </c>
    </row>
    <row r="71" spans="1:8" hidden="1" x14ac:dyDescent="0.35">
      <c r="A71" s="10" t="s">
        <v>149</v>
      </c>
      <c r="B71" s="11">
        <v>45689</v>
      </c>
      <c r="C71" s="3" t="s">
        <v>23</v>
      </c>
      <c r="D71" s="3" t="s">
        <v>112</v>
      </c>
      <c r="E71" s="3" t="s">
        <v>113</v>
      </c>
      <c r="F71" s="3" t="s">
        <v>8</v>
      </c>
      <c r="G71" s="30">
        <v>0</v>
      </c>
      <c r="H71" s="39">
        <v>0</v>
      </c>
    </row>
    <row r="72" spans="1:8" hidden="1" x14ac:dyDescent="0.35">
      <c r="A72" s="10" t="s">
        <v>149</v>
      </c>
      <c r="B72" s="11">
        <v>45689</v>
      </c>
      <c r="C72" s="3" t="s">
        <v>23</v>
      </c>
      <c r="D72" s="3" t="s">
        <v>112</v>
      </c>
      <c r="E72" s="3" t="s">
        <v>113</v>
      </c>
      <c r="F72" s="3" t="s">
        <v>15</v>
      </c>
      <c r="G72" s="30">
        <v>89658.947368421053</v>
      </c>
      <c r="H72" s="39">
        <v>4200</v>
      </c>
    </row>
    <row r="73" spans="1:8" hidden="1" x14ac:dyDescent="0.35">
      <c r="A73" s="10" t="s">
        <v>149</v>
      </c>
      <c r="B73" s="11">
        <v>45689</v>
      </c>
      <c r="C73" s="3" t="s">
        <v>23</v>
      </c>
      <c r="D73" s="3" t="s">
        <v>112</v>
      </c>
      <c r="E73" s="3" t="s">
        <v>113</v>
      </c>
      <c r="F73" s="3" t="s">
        <v>65</v>
      </c>
      <c r="G73" s="30">
        <v>0</v>
      </c>
      <c r="H73" s="39">
        <v>0</v>
      </c>
    </row>
    <row r="74" spans="1:8" hidden="1" x14ac:dyDescent="0.35">
      <c r="A74" s="10" t="s">
        <v>150</v>
      </c>
      <c r="B74" s="11">
        <v>45689</v>
      </c>
      <c r="C74" s="3" t="s">
        <v>46</v>
      </c>
      <c r="D74" s="3" t="s">
        <v>87</v>
      </c>
      <c r="E74" s="3" t="s">
        <v>9</v>
      </c>
      <c r="F74" s="3" t="s">
        <v>7</v>
      </c>
      <c r="G74" s="30">
        <v>0</v>
      </c>
      <c r="H74" s="39">
        <v>0</v>
      </c>
    </row>
    <row r="75" spans="1:8" hidden="1" x14ac:dyDescent="0.35">
      <c r="A75" s="10" t="s">
        <v>150</v>
      </c>
      <c r="B75" s="11">
        <v>45689</v>
      </c>
      <c r="C75" s="3" t="s">
        <v>46</v>
      </c>
      <c r="D75" s="3" t="s">
        <v>87</v>
      </c>
      <c r="E75" s="3" t="s">
        <v>9</v>
      </c>
      <c r="F75" s="3" t="s">
        <v>8</v>
      </c>
      <c r="G75" s="30">
        <v>0</v>
      </c>
      <c r="H75" s="39">
        <v>0</v>
      </c>
    </row>
    <row r="76" spans="1:8" hidden="1" x14ac:dyDescent="0.35">
      <c r="A76" s="10" t="s">
        <v>150</v>
      </c>
      <c r="B76" s="11">
        <v>45689</v>
      </c>
      <c r="C76" s="3" t="s">
        <v>46</v>
      </c>
      <c r="D76" s="3" t="s">
        <v>87</v>
      </c>
      <c r="E76" s="3" t="s">
        <v>9</v>
      </c>
      <c r="F76" s="3" t="s">
        <v>15</v>
      </c>
      <c r="G76" s="30">
        <v>137499.15789473685</v>
      </c>
      <c r="H76" s="39">
        <v>4200</v>
      </c>
    </row>
    <row r="77" spans="1:8" hidden="1" x14ac:dyDescent="0.35">
      <c r="A77" s="10" t="s">
        <v>150</v>
      </c>
      <c r="B77" s="11">
        <v>45689</v>
      </c>
      <c r="C77" s="3" t="s">
        <v>46</v>
      </c>
      <c r="D77" s="3" t="s">
        <v>87</v>
      </c>
      <c r="E77" s="3" t="s">
        <v>9</v>
      </c>
      <c r="F77" s="3" t="s">
        <v>65</v>
      </c>
      <c r="G77" s="30">
        <v>0</v>
      </c>
      <c r="H77" s="39">
        <v>0</v>
      </c>
    </row>
    <row r="78" spans="1:8" hidden="1" x14ac:dyDescent="0.35">
      <c r="A78" s="10" t="s">
        <v>166</v>
      </c>
      <c r="B78" s="11">
        <v>45689</v>
      </c>
      <c r="C78" s="3" t="s">
        <v>25</v>
      </c>
      <c r="D78" s="3" t="s">
        <v>12</v>
      </c>
      <c r="E78" s="3" t="s">
        <v>9</v>
      </c>
      <c r="F78" s="3" t="s">
        <v>7</v>
      </c>
      <c r="G78" s="30">
        <v>0</v>
      </c>
      <c r="H78" s="39">
        <v>0</v>
      </c>
    </row>
    <row r="79" spans="1:8" hidden="1" x14ac:dyDescent="0.35">
      <c r="A79" s="10" t="s">
        <v>166</v>
      </c>
      <c r="B79" s="11">
        <v>45689</v>
      </c>
      <c r="C79" s="3" t="s">
        <v>25</v>
      </c>
      <c r="D79" s="3" t="s">
        <v>12</v>
      </c>
      <c r="E79" s="3" t="s">
        <v>9</v>
      </c>
      <c r="F79" s="3" t="s">
        <v>8</v>
      </c>
      <c r="G79" s="30">
        <v>0</v>
      </c>
      <c r="H79" s="39">
        <v>0</v>
      </c>
    </row>
    <row r="80" spans="1:8" hidden="1" x14ac:dyDescent="0.35">
      <c r="A80" s="10" t="s">
        <v>166</v>
      </c>
      <c r="B80" s="11">
        <v>45689</v>
      </c>
      <c r="C80" s="3" t="s">
        <v>25</v>
      </c>
      <c r="D80" s="3" t="s">
        <v>12</v>
      </c>
      <c r="E80" s="3" t="s">
        <v>9</v>
      </c>
      <c r="F80" s="3" t="s">
        <v>15</v>
      </c>
      <c r="G80" s="30">
        <v>164947.60916666666</v>
      </c>
      <c r="H80" s="39">
        <v>6100</v>
      </c>
    </row>
    <row r="81" spans="1:8" hidden="1" x14ac:dyDescent="0.35">
      <c r="A81" s="10" t="s">
        <v>166</v>
      </c>
      <c r="B81" s="11">
        <v>45689</v>
      </c>
      <c r="C81" s="3" t="s">
        <v>25</v>
      </c>
      <c r="D81" s="3" t="s">
        <v>12</v>
      </c>
      <c r="E81" s="3" t="s">
        <v>9</v>
      </c>
      <c r="F81" s="3" t="s">
        <v>65</v>
      </c>
      <c r="G81" s="30">
        <v>0</v>
      </c>
      <c r="H81" s="39">
        <v>0</v>
      </c>
    </row>
    <row r="82" spans="1:8" hidden="1" x14ac:dyDescent="0.35">
      <c r="A82" s="10" t="s">
        <v>134</v>
      </c>
      <c r="B82" s="11">
        <v>45689</v>
      </c>
      <c r="C82" s="3" t="s">
        <v>57</v>
      </c>
      <c r="D82" s="3" t="s">
        <v>58</v>
      </c>
      <c r="E82" s="3" t="s">
        <v>10</v>
      </c>
      <c r="F82" s="3" t="s">
        <v>7</v>
      </c>
      <c r="G82" s="30">
        <v>0</v>
      </c>
      <c r="H82" s="39">
        <v>0</v>
      </c>
    </row>
    <row r="83" spans="1:8" hidden="1" x14ac:dyDescent="0.35">
      <c r="A83" s="10" t="s">
        <v>134</v>
      </c>
      <c r="B83" s="11">
        <v>45689</v>
      </c>
      <c r="C83" s="3" t="s">
        <v>57</v>
      </c>
      <c r="D83" s="3" t="s">
        <v>58</v>
      </c>
      <c r="E83" s="3" t="s">
        <v>10</v>
      </c>
      <c r="F83" s="3" t="s">
        <v>8</v>
      </c>
      <c r="G83" s="30">
        <v>0</v>
      </c>
      <c r="H83" s="39">
        <v>0</v>
      </c>
    </row>
    <row r="84" spans="1:8" hidden="1" x14ac:dyDescent="0.35">
      <c r="A84" s="10" t="s">
        <v>134</v>
      </c>
      <c r="B84" s="11">
        <v>45689</v>
      </c>
      <c r="C84" s="3" t="s">
        <v>57</v>
      </c>
      <c r="D84" s="3" t="s">
        <v>58</v>
      </c>
      <c r="E84" s="3" t="s">
        <v>10</v>
      </c>
      <c r="F84" s="3" t="s">
        <v>15</v>
      </c>
      <c r="G84" s="30">
        <v>17311.068923076924</v>
      </c>
      <c r="H84" s="39">
        <v>550</v>
      </c>
    </row>
    <row r="85" spans="1:8" hidden="1" x14ac:dyDescent="0.35">
      <c r="A85" s="10" t="s">
        <v>134</v>
      </c>
      <c r="B85" s="11">
        <v>45689</v>
      </c>
      <c r="C85" s="3" t="s">
        <v>57</v>
      </c>
      <c r="D85" s="3" t="s">
        <v>58</v>
      </c>
      <c r="E85" s="3" t="s">
        <v>10</v>
      </c>
      <c r="F85" s="3" t="s">
        <v>65</v>
      </c>
      <c r="G85" s="30">
        <v>0</v>
      </c>
      <c r="H85" s="39">
        <v>0</v>
      </c>
    </row>
    <row r="86" spans="1:8" hidden="1" x14ac:dyDescent="0.35">
      <c r="A86" s="3">
        <v>20105</v>
      </c>
      <c r="B86" s="11">
        <v>45689</v>
      </c>
      <c r="C86" s="3" t="s">
        <v>26</v>
      </c>
      <c r="D86" s="3" t="s">
        <v>19</v>
      </c>
      <c r="E86" s="3" t="s">
        <v>13</v>
      </c>
      <c r="F86" s="3" t="s">
        <v>7</v>
      </c>
      <c r="G86" s="30">
        <v>0</v>
      </c>
      <c r="H86" s="39">
        <v>0</v>
      </c>
    </row>
    <row r="87" spans="1:8" hidden="1" x14ac:dyDescent="0.35">
      <c r="A87" s="3">
        <v>20105</v>
      </c>
      <c r="B87" s="11">
        <v>45689</v>
      </c>
      <c r="C87" s="3" t="s">
        <v>26</v>
      </c>
      <c r="D87" s="3" t="s">
        <v>19</v>
      </c>
      <c r="E87" s="3" t="s">
        <v>13</v>
      </c>
      <c r="F87" s="3" t="s">
        <v>8</v>
      </c>
      <c r="G87" s="30">
        <v>0</v>
      </c>
      <c r="H87" s="39">
        <v>0</v>
      </c>
    </row>
    <row r="88" spans="1:8" hidden="1" x14ac:dyDescent="0.35">
      <c r="A88" s="3">
        <v>20105</v>
      </c>
      <c r="B88" s="11">
        <v>45689</v>
      </c>
      <c r="C88" s="3" t="s">
        <v>26</v>
      </c>
      <c r="D88" s="3" t="s">
        <v>19</v>
      </c>
      <c r="E88" s="3" t="s">
        <v>13</v>
      </c>
      <c r="F88" s="3" t="s">
        <v>15</v>
      </c>
      <c r="G88" s="30">
        <v>16933.880412371134</v>
      </c>
      <c r="H88" s="39">
        <v>545</v>
      </c>
    </row>
    <row r="89" spans="1:8" hidden="1" x14ac:dyDescent="0.35">
      <c r="A89" s="3">
        <v>20105</v>
      </c>
      <c r="B89" s="11">
        <v>45689</v>
      </c>
      <c r="C89" s="3" t="s">
        <v>26</v>
      </c>
      <c r="D89" s="3" t="s">
        <v>19</v>
      </c>
      <c r="E89" s="3" t="s">
        <v>13</v>
      </c>
      <c r="F89" s="3" t="s">
        <v>65</v>
      </c>
      <c r="G89" s="30">
        <v>0</v>
      </c>
      <c r="H89" s="39">
        <v>0</v>
      </c>
    </row>
    <row r="90" spans="1:8" hidden="1" x14ac:dyDescent="0.35">
      <c r="A90" s="10" t="s">
        <v>142</v>
      </c>
      <c r="B90" s="11">
        <v>45717</v>
      </c>
      <c r="C90" s="3" t="s">
        <v>48</v>
      </c>
      <c r="D90" s="3" t="s">
        <v>49</v>
      </c>
      <c r="E90" s="3" t="s">
        <v>52</v>
      </c>
      <c r="F90" s="3" t="s">
        <v>7</v>
      </c>
      <c r="G90" s="30">
        <v>0</v>
      </c>
      <c r="H90" s="39">
        <v>0</v>
      </c>
    </row>
    <row r="91" spans="1:8" hidden="1" x14ac:dyDescent="0.35">
      <c r="A91" s="10" t="s">
        <v>142</v>
      </c>
      <c r="B91" s="11">
        <v>45717</v>
      </c>
      <c r="C91" s="3" t="s">
        <v>48</v>
      </c>
      <c r="D91" s="3" t="s">
        <v>49</v>
      </c>
      <c r="E91" s="3" t="s">
        <v>52</v>
      </c>
      <c r="F91" s="3" t="s">
        <v>8</v>
      </c>
      <c r="G91" s="30">
        <v>0</v>
      </c>
      <c r="H91" s="39">
        <v>0</v>
      </c>
    </row>
    <row r="92" spans="1:8" hidden="1" x14ac:dyDescent="0.35">
      <c r="A92" s="10" t="s">
        <v>142</v>
      </c>
      <c r="B92" s="11">
        <v>45717</v>
      </c>
      <c r="C92" s="3" t="s">
        <v>48</v>
      </c>
      <c r="D92" s="3" t="s">
        <v>49</v>
      </c>
      <c r="E92" s="3" t="s">
        <v>52</v>
      </c>
      <c r="F92" s="3" t="s">
        <v>15</v>
      </c>
      <c r="G92" s="30">
        <v>89789.370062370057</v>
      </c>
      <c r="H92" s="39">
        <v>2040</v>
      </c>
    </row>
    <row r="93" spans="1:8" hidden="1" x14ac:dyDescent="0.35">
      <c r="A93" s="10" t="s">
        <v>142</v>
      </c>
      <c r="B93" s="11">
        <v>45717</v>
      </c>
      <c r="C93" s="3" t="s">
        <v>48</v>
      </c>
      <c r="D93" s="3" t="s">
        <v>49</v>
      </c>
      <c r="E93" s="3" t="s">
        <v>52</v>
      </c>
      <c r="F93" s="3" t="s">
        <v>65</v>
      </c>
      <c r="G93" s="30">
        <v>0</v>
      </c>
      <c r="H93" s="39">
        <v>0</v>
      </c>
    </row>
    <row r="94" spans="1:8" hidden="1" x14ac:dyDescent="0.35">
      <c r="A94" s="10" t="s">
        <v>139</v>
      </c>
      <c r="B94" s="11">
        <v>45717</v>
      </c>
      <c r="C94" s="3" t="s">
        <v>48</v>
      </c>
      <c r="D94" s="3" t="s">
        <v>49</v>
      </c>
      <c r="E94" s="3" t="s">
        <v>14</v>
      </c>
      <c r="F94" s="3" t="s">
        <v>7</v>
      </c>
      <c r="G94" s="30">
        <v>0</v>
      </c>
      <c r="H94" s="39">
        <v>0</v>
      </c>
    </row>
    <row r="95" spans="1:8" hidden="1" x14ac:dyDescent="0.35">
      <c r="A95" s="10" t="s">
        <v>139</v>
      </c>
      <c r="B95" s="11">
        <v>45717</v>
      </c>
      <c r="C95" s="3" t="s">
        <v>48</v>
      </c>
      <c r="D95" s="3" t="s">
        <v>49</v>
      </c>
      <c r="E95" s="3" t="s">
        <v>14</v>
      </c>
      <c r="F95" s="3" t="s">
        <v>8</v>
      </c>
      <c r="G95" s="30">
        <v>0</v>
      </c>
      <c r="H95" s="39">
        <v>0</v>
      </c>
    </row>
    <row r="96" spans="1:8" hidden="1" x14ac:dyDescent="0.35">
      <c r="A96" s="10" t="s">
        <v>139</v>
      </c>
      <c r="B96" s="11">
        <v>45717</v>
      </c>
      <c r="C96" s="3" t="s">
        <v>48</v>
      </c>
      <c r="D96" s="3" t="s">
        <v>49</v>
      </c>
      <c r="E96" s="3" t="s">
        <v>14</v>
      </c>
      <c r="F96" s="3" t="s">
        <v>15</v>
      </c>
      <c r="G96" s="30">
        <v>28839.059251559258</v>
      </c>
      <c r="H96" s="39">
        <v>1500</v>
      </c>
    </row>
    <row r="97" spans="1:8" hidden="1" x14ac:dyDescent="0.35">
      <c r="A97" s="10" t="s">
        <v>139</v>
      </c>
      <c r="B97" s="11">
        <v>45717</v>
      </c>
      <c r="C97" s="3" t="s">
        <v>48</v>
      </c>
      <c r="D97" s="3" t="s">
        <v>49</v>
      </c>
      <c r="E97" s="3" t="s">
        <v>14</v>
      </c>
      <c r="F97" s="3" t="s">
        <v>65</v>
      </c>
      <c r="G97" s="30">
        <v>0</v>
      </c>
      <c r="H97" s="39">
        <v>0</v>
      </c>
    </row>
    <row r="98" spans="1:8" hidden="1" x14ac:dyDescent="0.35">
      <c r="A98" s="10" t="s">
        <v>25</v>
      </c>
      <c r="B98" s="11">
        <v>45717</v>
      </c>
      <c r="C98" s="3" t="s">
        <v>48</v>
      </c>
      <c r="D98" s="3" t="s">
        <v>49</v>
      </c>
      <c r="E98" s="3" t="s">
        <v>116</v>
      </c>
      <c r="F98" s="3" t="s">
        <v>7</v>
      </c>
      <c r="G98" s="30">
        <v>0</v>
      </c>
      <c r="H98" s="39">
        <v>0</v>
      </c>
    </row>
    <row r="99" spans="1:8" hidden="1" x14ac:dyDescent="0.35">
      <c r="A99" s="10" t="s">
        <v>25</v>
      </c>
      <c r="B99" s="11">
        <v>45717</v>
      </c>
      <c r="C99" s="3" t="s">
        <v>48</v>
      </c>
      <c r="D99" s="3" t="s">
        <v>49</v>
      </c>
      <c r="E99" s="3" t="s">
        <v>116</v>
      </c>
      <c r="F99" s="3" t="s">
        <v>8</v>
      </c>
      <c r="G99" s="30">
        <v>0</v>
      </c>
      <c r="H99" s="39">
        <v>0</v>
      </c>
    </row>
    <row r="100" spans="1:8" hidden="1" x14ac:dyDescent="0.35">
      <c r="A100" s="10" t="s">
        <v>25</v>
      </c>
      <c r="B100" s="11">
        <v>45717</v>
      </c>
      <c r="C100" s="3" t="s">
        <v>48</v>
      </c>
      <c r="D100" s="3" t="s">
        <v>49</v>
      </c>
      <c r="E100" s="3" t="s">
        <v>116</v>
      </c>
      <c r="F100" s="3" t="s">
        <v>15</v>
      </c>
      <c r="G100" s="30">
        <v>9729.72972972973</v>
      </c>
      <c r="H100" s="39">
        <v>300</v>
      </c>
    </row>
    <row r="101" spans="1:8" hidden="1" x14ac:dyDescent="0.35">
      <c r="A101" s="10" t="s">
        <v>25</v>
      </c>
      <c r="B101" s="11">
        <v>45717</v>
      </c>
      <c r="C101" s="3" t="s">
        <v>48</v>
      </c>
      <c r="D101" s="3" t="s">
        <v>49</v>
      </c>
      <c r="E101" s="3" t="s">
        <v>116</v>
      </c>
      <c r="F101" s="3" t="s">
        <v>65</v>
      </c>
      <c r="G101" s="30">
        <v>0</v>
      </c>
      <c r="H101" s="39">
        <v>0</v>
      </c>
    </row>
    <row r="102" spans="1:8" hidden="1" x14ac:dyDescent="0.35">
      <c r="A102" s="10" t="s">
        <v>102</v>
      </c>
      <c r="B102" s="11">
        <v>45717</v>
      </c>
      <c r="C102" s="3" t="s">
        <v>48</v>
      </c>
      <c r="D102" s="3" t="s">
        <v>49</v>
      </c>
      <c r="E102" s="3" t="s">
        <v>51</v>
      </c>
      <c r="F102" s="3" t="s">
        <v>7</v>
      </c>
      <c r="G102" s="30">
        <v>0</v>
      </c>
      <c r="H102" s="39">
        <v>0</v>
      </c>
    </row>
    <row r="103" spans="1:8" hidden="1" x14ac:dyDescent="0.35">
      <c r="A103" s="10" t="s">
        <v>102</v>
      </c>
      <c r="B103" s="11">
        <v>45717</v>
      </c>
      <c r="C103" s="3" t="s">
        <v>48</v>
      </c>
      <c r="D103" s="3" t="s">
        <v>49</v>
      </c>
      <c r="E103" s="3" t="s">
        <v>51</v>
      </c>
      <c r="F103" s="3" t="s">
        <v>8</v>
      </c>
      <c r="G103" s="30">
        <v>0</v>
      </c>
      <c r="H103" s="39">
        <v>0</v>
      </c>
    </row>
    <row r="104" spans="1:8" hidden="1" x14ac:dyDescent="0.35">
      <c r="A104" s="10" t="s">
        <v>102</v>
      </c>
      <c r="B104" s="11">
        <v>45717</v>
      </c>
      <c r="C104" s="3" t="s">
        <v>48</v>
      </c>
      <c r="D104" s="3" t="s">
        <v>49</v>
      </c>
      <c r="E104" s="3" t="s">
        <v>51</v>
      </c>
      <c r="F104" s="3" t="s">
        <v>15</v>
      </c>
      <c r="G104" s="30">
        <v>226720.94594594592</v>
      </c>
      <c r="H104" s="39">
        <v>6500</v>
      </c>
    </row>
    <row r="105" spans="1:8" hidden="1" x14ac:dyDescent="0.35">
      <c r="A105" s="10" t="s">
        <v>102</v>
      </c>
      <c r="B105" s="11">
        <v>45717</v>
      </c>
      <c r="C105" s="3" t="s">
        <v>48</v>
      </c>
      <c r="D105" s="3" t="s">
        <v>49</v>
      </c>
      <c r="E105" s="3" t="s">
        <v>51</v>
      </c>
      <c r="F105" s="3" t="s">
        <v>65</v>
      </c>
      <c r="G105" s="30">
        <v>0</v>
      </c>
      <c r="H105" s="39">
        <v>0</v>
      </c>
    </row>
    <row r="106" spans="1:8" hidden="1" x14ac:dyDescent="0.35">
      <c r="A106" s="10" t="s">
        <v>190</v>
      </c>
      <c r="B106" s="11">
        <v>45717</v>
      </c>
      <c r="C106" s="3" t="s">
        <v>22</v>
      </c>
      <c r="D106" s="3" t="s">
        <v>11</v>
      </c>
      <c r="E106" s="3" t="str">
        <f>_xlfn.XLOOKUP(TabReceitas[[#This Row],[ID]],TabCondicoesComerciais[ID],TabCondicoesComerciais[Congênere],"Verificar")</f>
        <v>Rede Sol</v>
      </c>
      <c r="F106" s="3" t="s">
        <v>7</v>
      </c>
      <c r="G106" s="30">
        <v>0</v>
      </c>
      <c r="H106" s="39">
        <v>0</v>
      </c>
    </row>
    <row r="107" spans="1:8" hidden="1" x14ac:dyDescent="0.35">
      <c r="A107" s="10" t="s">
        <v>190</v>
      </c>
      <c r="B107" s="11">
        <v>45717</v>
      </c>
      <c r="C107" s="3" t="s">
        <v>22</v>
      </c>
      <c r="D107" s="3" t="s">
        <v>11</v>
      </c>
      <c r="E107" s="3" t="str">
        <f>_xlfn.XLOOKUP(TabReceitas[[#This Row],[ID]],TabCondicoesComerciais[ID],TabCondicoesComerciais[Congênere],"Verificar")</f>
        <v>Rede Sol</v>
      </c>
      <c r="F107" s="3" t="s">
        <v>8</v>
      </c>
      <c r="G107" s="30">
        <v>0</v>
      </c>
      <c r="H107" s="39">
        <v>0</v>
      </c>
    </row>
    <row r="108" spans="1:8" hidden="1" x14ac:dyDescent="0.35">
      <c r="A108" s="10" t="s">
        <v>190</v>
      </c>
      <c r="B108" s="11">
        <v>45717</v>
      </c>
      <c r="C108" s="3" t="s">
        <v>22</v>
      </c>
      <c r="D108" s="3" t="s">
        <v>11</v>
      </c>
      <c r="E108" s="3" t="str">
        <f>_xlfn.XLOOKUP(TabReceitas[[#This Row],[ID]],TabCondicoesComerciais[ID],TabCondicoesComerciais[Congênere],"Verificar")</f>
        <v>Rede Sol</v>
      </c>
      <c r="F108" s="3" t="s">
        <v>15</v>
      </c>
      <c r="G108" s="30">
        <v>59115.789473684214</v>
      </c>
      <c r="H108" s="39">
        <v>2000</v>
      </c>
    </row>
    <row r="109" spans="1:8" hidden="1" x14ac:dyDescent="0.35">
      <c r="A109" s="10" t="s">
        <v>190</v>
      </c>
      <c r="B109" s="11">
        <v>45717</v>
      </c>
      <c r="C109" s="3" t="s">
        <v>22</v>
      </c>
      <c r="D109" s="3" t="s">
        <v>11</v>
      </c>
      <c r="E109" s="3" t="str">
        <f>_xlfn.XLOOKUP(TabReceitas[[#This Row],[ID]],TabCondicoesComerciais[ID],TabCondicoesComerciais[Congênere],"Verificar")</f>
        <v>Rede Sol</v>
      </c>
      <c r="F109" s="3" t="s">
        <v>65</v>
      </c>
      <c r="G109" s="30">
        <v>0</v>
      </c>
      <c r="H109" s="39">
        <v>0</v>
      </c>
    </row>
    <row r="110" spans="1:8" hidden="1" x14ac:dyDescent="0.35">
      <c r="A110" s="10" t="s">
        <v>172</v>
      </c>
      <c r="B110" s="11">
        <v>45717</v>
      </c>
      <c r="C110" s="3" t="s">
        <v>22</v>
      </c>
      <c r="D110" s="3" t="s">
        <v>11</v>
      </c>
      <c r="E110" s="3" t="str">
        <f>_xlfn.XLOOKUP(TabReceitas[[#This Row],[ID]],TabCondicoesComerciais[ID],TabCondicoesComerciais[Congênere],"Verificar")</f>
        <v>Ruff</v>
      </c>
      <c r="F110" s="3" t="s">
        <v>7</v>
      </c>
      <c r="G110" s="30">
        <v>0</v>
      </c>
      <c r="H110" s="39">
        <v>0</v>
      </c>
    </row>
    <row r="111" spans="1:8" hidden="1" x14ac:dyDescent="0.35">
      <c r="A111" s="10" t="s">
        <v>172</v>
      </c>
      <c r="B111" s="11">
        <v>45717</v>
      </c>
      <c r="C111" s="3" t="s">
        <v>22</v>
      </c>
      <c r="D111" s="3" t="s">
        <v>11</v>
      </c>
      <c r="E111" s="3" t="str">
        <f>_xlfn.XLOOKUP(TabReceitas[[#This Row],[ID]],TabCondicoesComerciais[ID],TabCondicoesComerciais[Congênere],"Verificar")</f>
        <v>Ruff</v>
      </c>
      <c r="F111" s="3" t="s">
        <v>8</v>
      </c>
      <c r="G111" s="30">
        <v>0</v>
      </c>
      <c r="H111" s="39">
        <v>0</v>
      </c>
    </row>
    <row r="112" spans="1:8" hidden="1" x14ac:dyDescent="0.35">
      <c r="A112" s="10" t="s">
        <v>172</v>
      </c>
      <c r="B112" s="11">
        <v>45717</v>
      </c>
      <c r="C112" s="3" t="s">
        <v>22</v>
      </c>
      <c r="D112" s="3" t="s">
        <v>11</v>
      </c>
      <c r="E112" s="3" t="str">
        <f>_xlfn.XLOOKUP(TabReceitas[[#This Row],[ID]],TabCondicoesComerciais[ID],TabCondicoesComerciais[Congênere],"Verificar")</f>
        <v>Ruff</v>
      </c>
      <c r="F112" s="3" t="s">
        <v>15</v>
      </c>
      <c r="G112" s="30">
        <v>0</v>
      </c>
      <c r="H112" s="39">
        <v>0</v>
      </c>
    </row>
    <row r="113" spans="1:8" hidden="1" x14ac:dyDescent="0.35">
      <c r="A113" s="10" t="s">
        <v>172</v>
      </c>
      <c r="B113" s="11">
        <v>45717</v>
      </c>
      <c r="C113" s="3" t="s">
        <v>22</v>
      </c>
      <c r="D113" s="3" t="s">
        <v>11</v>
      </c>
      <c r="E113" s="3" t="str">
        <f>_xlfn.XLOOKUP(TabReceitas[[#This Row],[ID]],TabCondicoesComerciais[ID],TabCondicoesComerciais[Congênere],"Verificar")</f>
        <v>Ruff</v>
      </c>
      <c r="F113" s="3" t="s">
        <v>65</v>
      </c>
      <c r="G113" s="30">
        <v>0</v>
      </c>
      <c r="H113" s="39">
        <v>0</v>
      </c>
    </row>
    <row r="114" spans="1:8" hidden="1" x14ac:dyDescent="0.35">
      <c r="A114" s="10" t="s">
        <v>149</v>
      </c>
      <c r="B114" s="11">
        <v>45717</v>
      </c>
      <c r="C114" s="3" t="s">
        <v>23</v>
      </c>
      <c r="D114" s="3" t="s">
        <v>112</v>
      </c>
      <c r="E114" s="3" t="s">
        <v>113</v>
      </c>
      <c r="F114" s="3" t="s">
        <v>7</v>
      </c>
      <c r="G114" s="30">
        <v>0</v>
      </c>
      <c r="H114" s="39">
        <v>0</v>
      </c>
    </row>
    <row r="115" spans="1:8" hidden="1" x14ac:dyDescent="0.35">
      <c r="A115" s="10" t="s">
        <v>149</v>
      </c>
      <c r="B115" s="11">
        <v>45717</v>
      </c>
      <c r="C115" s="3" t="s">
        <v>23</v>
      </c>
      <c r="D115" s="3" t="s">
        <v>112</v>
      </c>
      <c r="E115" s="3" t="s">
        <v>113</v>
      </c>
      <c r="F115" s="3" t="s">
        <v>8</v>
      </c>
      <c r="G115" s="30">
        <v>0</v>
      </c>
      <c r="H115" s="39">
        <v>0</v>
      </c>
    </row>
    <row r="116" spans="1:8" hidden="1" x14ac:dyDescent="0.35">
      <c r="A116" s="10" t="s">
        <v>149</v>
      </c>
      <c r="B116" s="11">
        <v>45717</v>
      </c>
      <c r="C116" s="3" t="s">
        <v>23</v>
      </c>
      <c r="D116" s="3" t="s">
        <v>112</v>
      </c>
      <c r="E116" s="3" t="s">
        <v>113</v>
      </c>
      <c r="F116" s="3" t="s">
        <v>15</v>
      </c>
      <c r="G116" s="30">
        <v>89658.947368421053</v>
      </c>
      <c r="H116" s="39">
        <v>4200</v>
      </c>
    </row>
    <row r="117" spans="1:8" hidden="1" x14ac:dyDescent="0.35">
      <c r="A117" s="10" t="s">
        <v>149</v>
      </c>
      <c r="B117" s="11">
        <v>45717</v>
      </c>
      <c r="C117" s="3" t="s">
        <v>23</v>
      </c>
      <c r="D117" s="3" t="s">
        <v>112</v>
      </c>
      <c r="E117" s="3" t="s">
        <v>113</v>
      </c>
      <c r="F117" s="3" t="s">
        <v>65</v>
      </c>
      <c r="G117" s="30">
        <v>0</v>
      </c>
      <c r="H117" s="39">
        <v>0</v>
      </c>
    </row>
    <row r="118" spans="1:8" hidden="1" x14ac:dyDescent="0.35">
      <c r="A118" s="10" t="s">
        <v>177</v>
      </c>
      <c r="B118" s="11">
        <v>45717</v>
      </c>
      <c r="C118" s="3" t="s">
        <v>46</v>
      </c>
      <c r="D118" s="3" t="s">
        <v>87</v>
      </c>
      <c r="E118" s="3" t="s">
        <v>9</v>
      </c>
      <c r="F118" s="3" t="s">
        <v>7</v>
      </c>
      <c r="G118" s="30">
        <v>0</v>
      </c>
      <c r="H118" s="39">
        <v>0</v>
      </c>
    </row>
    <row r="119" spans="1:8" hidden="1" x14ac:dyDescent="0.35">
      <c r="A119" s="10" t="s">
        <v>177</v>
      </c>
      <c r="B119" s="11">
        <v>45717</v>
      </c>
      <c r="C119" s="3" t="s">
        <v>46</v>
      </c>
      <c r="D119" s="3" t="s">
        <v>87</v>
      </c>
      <c r="E119" s="3" t="s">
        <v>9</v>
      </c>
      <c r="F119" s="3" t="s">
        <v>8</v>
      </c>
      <c r="G119" s="30">
        <v>0</v>
      </c>
      <c r="H119" s="39">
        <v>0</v>
      </c>
    </row>
    <row r="120" spans="1:8" hidden="1" x14ac:dyDescent="0.35">
      <c r="A120" s="10" t="s">
        <v>177</v>
      </c>
      <c r="B120" s="11">
        <v>45717</v>
      </c>
      <c r="C120" s="3" t="s">
        <v>46</v>
      </c>
      <c r="D120" s="3" t="s">
        <v>87</v>
      </c>
      <c r="E120" s="3" t="s">
        <v>9</v>
      </c>
      <c r="F120" s="3" t="s">
        <v>15</v>
      </c>
      <c r="G120" s="30">
        <v>137499.15789473685</v>
      </c>
      <c r="H120" s="39">
        <v>4200</v>
      </c>
    </row>
    <row r="121" spans="1:8" hidden="1" x14ac:dyDescent="0.35">
      <c r="A121" s="10" t="s">
        <v>177</v>
      </c>
      <c r="B121" s="11">
        <v>45717</v>
      </c>
      <c r="C121" s="3" t="s">
        <v>46</v>
      </c>
      <c r="D121" s="3" t="s">
        <v>87</v>
      </c>
      <c r="E121" s="3" t="s">
        <v>9</v>
      </c>
      <c r="F121" s="3" t="s">
        <v>65</v>
      </c>
      <c r="G121" s="30">
        <v>0</v>
      </c>
      <c r="H121" s="39">
        <v>0</v>
      </c>
    </row>
    <row r="122" spans="1:8" hidden="1" x14ac:dyDescent="0.35">
      <c r="A122" s="10" t="s">
        <v>166</v>
      </c>
      <c r="B122" s="11">
        <v>45689</v>
      </c>
      <c r="C122" s="3" t="s">
        <v>25</v>
      </c>
      <c r="D122" s="3" t="s">
        <v>12</v>
      </c>
      <c r="E122" s="3" t="s">
        <v>9</v>
      </c>
      <c r="F122" s="3" t="s">
        <v>7</v>
      </c>
      <c r="G122" s="30">
        <v>0</v>
      </c>
      <c r="H122" s="30">
        <v>0</v>
      </c>
    </row>
    <row r="123" spans="1:8" hidden="1" x14ac:dyDescent="0.35">
      <c r="A123" s="10" t="s">
        <v>169</v>
      </c>
      <c r="B123" s="11">
        <v>45689</v>
      </c>
      <c r="C123" s="3" t="s">
        <v>25</v>
      </c>
      <c r="D123" s="3" t="s">
        <v>12</v>
      </c>
      <c r="E123" s="3" t="str">
        <f>_xlfn.XLOOKUP(TabReceitas[[#This Row],[ID]],TabCondicoesComerciais[ID],TabCondicoesComerciais[Congênere],"Verificar")</f>
        <v>Sim Distribuidora</v>
      </c>
      <c r="F123" s="3" t="s">
        <v>8</v>
      </c>
      <c r="G123" s="30">
        <v>0</v>
      </c>
      <c r="H123" s="30">
        <v>0</v>
      </c>
    </row>
    <row r="124" spans="1:8" hidden="1" x14ac:dyDescent="0.35">
      <c r="A124" s="10" t="s">
        <v>169</v>
      </c>
      <c r="B124" s="11">
        <v>45689</v>
      </c>
      <c r="C124" s="3" t="s">
        <v>25</v>
      </c>
      <c r="D124" s="3" t="s">
        <v>12</v>
      </c>
      <c r="E124" s="3" t="str">
        <f>_xlfn.XLOOKUP(TabReceitas[[#This Row],[ID]],TabCondicoesComerciais[ID],TabCondicoesComerciais[Congênere],"Verificar")</f>
        <v>Sim Distribuidora</v>
      </c>
      <c r="F124" s="3" t="s">
        <v>15</v>
      </c>
      <c r="G124" s="30">
        <v>0</v>
      </c>
      <c r="H124" s="30">
        <v>0</v>
      </c>
    </row>
    <row r="125" spans="1:8" hidden="1" x14ac:dyDescent="0.35">
      <c r="A125" s="10" t="s">
        <v>169</v>
      </c>
      <c r="B125" s="11">
        <v>45689</v>
      </c>
      <c r="C125" s="3" t="s">
        <v>25</v>
      </c>
      <c r="D125" s="3" t="s">
        <v>12</v>
      </c>
      <c r="E125" s="3" t="str">
        <f>_xlfn.XLOOKUP(TabReceitas[[#This Row],[ID]],TabCondicoesComerciais[ID],TabCondicoesComerciais[Congênere],"Verificar")</f>
        <v>Sim Distribuidora</v>
      </c>
      <c r="F125" s="3" t="s">
        <v>65</v>
      </c>
      <c r="G125" s="30">
        <v>0</v>
      </c>
      <c r="H125" s="30">
        <v>0</v>
      </c>
    </row>
    <row r="126" spans="1:8" hidden="1" x14ac:dyDescent="0.35">
      <c r="A126" s="10" t="s">
        <v>134</v>
      </c>
      <c r="B126" s="11">
        <v>45717</v>
      </c>
      <c r="C126" s="3" t="s">
        <v>57</v>
      </c>
      <c r="D126" s="3" t="s">
        <v>58</v>
      </c>
      <c r="E126" s="3" t="s">
        <v>10</v>
      </c>
      <c r="F126" s="3" t="s">
        <v>7</v>
      </c>
      <c r="G126" s="30">
        <v>0</v>
      </c>
      <c r="H126" s="39">
        <v>0</v>
      </c>
    </row>
    <row r="127" spans="1:8" hidden="1" x14ac:dyDescent="0.35">
      <c r="A127" s="10" t="s">
        <v>134</v>
      </c>
      <c r="B127" s="11">
        <v>45717</v>
      </c>
      <c r="C127" s="3" t="s">
        <v>57</v>
      </c>
      <c r="D127" s="3" t="s">
        <v>58</v>
      </c>
      <c r="E127" s="3" t="s">
        <v>10</v>
      </c>
      <c r="F127" s="3" t="s">
        <v>8</v>
      </c>
      <c r="G127" s="30">
        <v>0</v>
      </c>
      <c r="H127" s="39">
        <v>0</v>
      </c>
    </row>
    <row r="128" spans="1:8" hidden="1" x14ac:dyDescent="0.35">
      <c r="A128" s="10" t="s">
        <v>134</v>
      </c>
      <c r="B128" s="11">
        <v>45717</v>
      </c>
      <c r="C128" s="3" t="s">
        <v>57</v>
      </c>
      <c r="D128" s="3" t="s">
        <v>58</v>
      </c>
      <c r="E128" s="3" t="s">
        <v>10</v>
      </c>
      <c r="F128" s="3" t="s">
        <v>15</v>
      </c>
      <c r="G128" s="30">
        <v>17311.068923076924</v>
      </c>
      <c r="H128" s="39">
        <v>550</v>
      </c>
    </row>
    <row r="129" spans="1:8" hidden="1" x14ac:dyDescent="0.35">
      <c r="A129" s="10" t="s">
        <v>134</v>
      </c>
      <c r="B129" s="11">
        <v>45717</v>
      </c>
      <c r="C129" s="3" t="s">
        <v>57</v>
      </c>
      <c r="D129" s="3" t="s">
        <v>58</v>
      </c>
      <c r="E129" s="3" t="s">
        <v>10</v>
      </c>
      <c r="F129" s="3" t="s">
        <v>65</v>
      </c>
      <c r="G129" s="30">
        <v>0</v>
      </c>
      <c r="H129" s="39">
        <v>0</v>
      </c>
    </row>
    <row r="130" spans="1:8" hidden="1" x14ac:dyDescent="0.35">
      <c r="A130" s="3">
        <v>20105</v>
      </c>
      <c r="B130" s="11">
        <v>45717</v>
      </c>
      <c r="C130" s="3" t="s">
        <v>26</v>
      </c>
      <c r="D130" s="3" t="s">
        <v>19</v>
      </c>
      <c r="E130" s="3" t="s">
        <v>13</v>
      </c>
      <c r="F130" s="3" t="s">
        <v>7</v>
      </c>
      <c r="G130" s="30">
        <v>0</v>
      </c>
      <c r="H130" s="39">
        <v>0</v>
      </c>
    </row>
    <row r="131" spans="1:8" hidden="1" x14ac:dyDescent="0.35">
      <c r="A131" s="3">
        <v>20105</v>
      </c>
      <c r="B131" s="11">
        <v>45717</v>
      </c>
      <c r="C131" s="3" t="s">
        <v>26</v>
      </c>
      <c r="D131" s="3" t="s">
        <v>19</v>
      </c>
      <c r="E131" s="3" t="s">
        <v>13</v>
      </c>
      <c r="F131" s="3" t="s">
        <v>8</v>
      </c>
      <c r="G131" s="30">
        <v>0</v>
      </c>
      <c r="H131" s="39">
        <v>0</v>
      </c>
    </row>
    <row r="132" spans="1:8" hidden="1" x14ac:dyDescent="0.35">
      <c r="A132" s="3">
        <v>20105</v>
      </c>
      <c r="B132" s="11">
        <v>45717</v>
      </c>
      <c r="C132" s="3" t="s">
        <v>26</v>
      </c>
      <c r="D132" s="3" t="s">
        <v>19</v>
      </c>
      <c r="E132" s="3" t="s">
        <v>13</v>
      </c>
      <c r="F132" s="3" t="s">
        <v>15</v>
      </c>
      <c r="G132" s="30">
        <v>16933.880412371134</v>
      </c>
      <c r="H132" s="39">
        <v>545</v>
      </c>
    </row>
    <row r="133" spans="1:8" hidden="1" x14ac:dyDescent="0.35">
      <c r="A133" s="3">
        <v>20105</v>
      </c>
      <c r="B133" s="11">
        <v>45717</v>
      </c>
      <c r="C133" s="3" t="s">
        <v>26</v>
      </c>
      <c r="D133" s="3" t="s">
        <v>19</v>
      </c>
      <c r="E133" s="3" t="s">
        <v>13</v>
      </c>
      <c r="F133" s="3" t="s">
        <v>65</v>
      </c>
      <c r="G133" s="30">
        <v>0</v>
      </c>
      <c r="H133" s="39">
        <v>0</v>
      </c>
    </row>
    <row r="134" spans="1:8" hidden="1" x14ac:dyDescent="0.35">
      <c r="A134" s="10" t="s">
        <v>142</v>
      </c>
      <c r="B134" s="11">
        <v>45748</v>
      </c>
      <c r="C134" s="3" t="s">
        <v>48</v>
      </c>
      <c r="D134" s="3" t="s">
        <v>49</v>
      </c>
      <c r="E134" s="3" t="s">
        <v>52</v>
      </c>
      <c r="F134" s="3" t="s">
        <v>7</v>
      </c>
      <c r="G134" s="30">
        <v>0</v>
      </c>
      <c r="H134" s="39">
        <v>0</v>
      </c>
    </row>
    <row r="135" spans="1:8" hidden="1" x14ac:dyDescent="0.35">
      <c r="A135" s="10" t="s">
        <v>142</v>
      </c>
      <c r="B135" s="11">
        <v>45748</v>
      </c>
      <c r="C135" s="3" t="s">
        <v>48</v>
      </c>
      <c r="D135" s="3" t="s">
        <v>49</v>
      </c>
      <c r="E135" s="3" t="s">
        <v>52</v>
      </c>
      <c r="F135" s="3" t="s">
        <v>8</v>
      </c>
      <c r="G135" s="30">
        <v>0</v>
      </c>
      <c r="H135" s="39">
        <v>0</v>
      </c>
    </row>
    <row r="136" spans="1:8" hidden="1" x14ac:dyDescent="0.35">
      <c r="A136" s="10" t="s">
        <v>142</v>
      </c>
      <c r="B136" s="11">
        <v>45748</v>
      </c>
      <c r="C136" s="3" t="s">
        <v>48</v>
      </c>
      <c r="D136" s="3" t="s">
        <v>49</v>
      </c>
      <c r="E136" s="3" t="s">
        <v>52</v>
      </c>
      <c r="F136" s="3" t="s">
        <v>15</v>
      </c>
      <c r="G136" s="30">
        <v>89789.370062370057</v>
      </c>
      <c r="H136" s="39">
        <v>2040</v>
      </c>
    </row>
    <row r="137" spans="1:8" hidden="1" x14ac:dyDescent="0.35">
      <c r="A137" s="10" t="s">
        <v>142</v>
      </c>
      <c r="B137" s="11">
        <v>45748</v>
      </c>
      <c r="C137" s="3" t="s">
        <v>48</v>
      </c>
      <c r="D137" s="3" t="s">
        <v>49</v>
      </c>
      <c r="E137" s="3" t="s">
        <v>52</v>
      </c>
      <c r="F137" s="3" t="s">
        <v>65</v>
      </c>
      <c r="G137" s="30">
        <v>0</v>
      </c>
      <c r="H137" s="39">
        <v>0</v>
      </c>
    </row>
    <row r="138" spans="1:8" hidden="1" x14ac:dyDescent="0.35">
      <c r="A138" s="10" t="s">
        <v>139</v>
      </c>
      <c r="B138" s="11">
        <v>45748</v>
      </c>
      <c r="C138" s="3" t="s">
        <v>48</v>
      </c>
      <c r="D138" s="3" t="s">
        <v>49</v>
      </c>
      <c r="E138" s="3" t="s">
        <v>14</v>
      </c>
      <c r="F138" s="3" t="s">
        <v>7</v>
      </c>
      <c r="G138" s="30">
        <v>0</v>
      </c>
      <c r="H138" s="39">
        <v>0</v>
      </c>
    </row>
    <row r="139" spans="1:8" hidden="1" x14ac:dyDescent="0.35">
      <c r="A139" s="10" t="s">
        <v>139</v>
      </c>
      <c r="B139" s="11">
        <v>45748</v>
      </c>
      <c r="C139" s="3" t="s">
        <v>48</v>
      </c>
      <c r="D139" s="3" t="s">
        <v>49</v>
      </c>
      <c r="E139" s="3" t="s">
        <v>14</v>
      </c>
      <c r="F139" s="3" t="s">
        <v>8</v>
      </c>
      <c r="G139" s="30">
        <v>0</v>
      </c>
      <c r="H139" s="39">
        <v>0</v>
      </c>
    </row>
    <row r="140" spans="1:8" hidden="1" x14ac:dyDescent="0.35">
      <c r="A140" s="10" t="s">
        <v>139</v>
      </c>
      <c r="B140" s="11">
        <v>45748</v>
      </c>
      <c r="C140" s="3" t="s">
        <v>48</v>
      </c>
      <c r="D140" s="3" t="s">
        <v>49</v>
      </c>
      <c r="E140" s="3" t="s">
        <v>14</v>
      </c>
      <c r="F140" s="3" t="s">
        <v>15</v>
      </c>
      <c r="G140" s="30">
        <v>28839.059251559258</v>
      </c>
      <c r="H140" s="39">
        <v>1500</v>
      </c>
    </row>
    <row r="141" spans="1:8" hidden="1" x14ac:dyDescent="0.35">
      <c r="A141" s="10" t="s">
        <v>139</v>
      </c>
      <c r="B141" s="11">
        <v>45748</v>
      </c>
      <c r="C141" s="3" t="s">
        <v>48</v>
      </c>
      <c r="D141" s="3" t="s">
        <v>49</v>
      </c>
      <c r="E141" s="3" t="s">
        <v>14</v>
      </c>
      <c r="F141" s="3" t="s">
        <v>65</v>
      </c>
      <c r="G141" s="30">
        <v>0</v>
      </c>
      <c r="H141" s="39">
        <v>0</v>
      </c>
    </row>
    <row r="142" spans="1:8" hidden="1" x14ac:dyDescent="0.35">
      <c r="A142" s="10" t="s">
        <v>25</v>
      </c>
      <c r="B142" s="11">
        <v>45748</v>
      </c>
      <c r="C142" s="3" t="s">
        <v>48</v>
      </c>
      <c r="D142" s="3" t="s">
        <v>49</v>
      </c>
      <c r="E142" s="3" t="s">
        <v>116</v>
      </c>
      <c r="F142" s="3" t="s">
        <v>7</v>
      </c>
      <c r="G142" s="30">
        <v>0</v>
      </c>
      <c r="H142" s="39">
        <v>0</v>
      </c>
    </row>
    <row r="143" spans="1:8" hidden="1" x14ac:dyDescent="0.35">
      <c r="A143" s="10" t="s">
        <v>25</v>
      </c>
      <c r="B143" s="11">
        <v>45748</v>
      </c>
      <c r="C143" s="3" t="s">
        <v>48</v>
      </c>
      <c r="D143" s="3" t="s">
        <v>49</v>
      </c>
      <c r="E143" s="3" t="s">
        <v>116</v>
      </c>
      <c r="F143" s="3" t="s">
        <v>8</v>
      </c>
      <c r="G143" s="30">
        <v>0</v>
      </c>
      <c r="H143" s="39">
        <v>0</v>
      </c>
    </row>
    <row r="144" spans="1:8" hidden="1" x14ac:dyDescent="0.35">
      <c r="A144" s="10" t="s">
        <v>25</v>
      </c>
      <c r="B144" s="11">
        <v>45748</v>
      </c>
      <c r="C144" s="3" t="s">
        <v>48</v>
      </c>
      <c r="D144" s="3" t="s">
        <v>49</v>
      </c>
      <c r="E144" s="3" t="s">
        <v>116</v>
      </c>
      <c r="F144" s="3" t="s">
        <v>15</v>
      </c>
      <c r="G144" s="30">
        <v>9729.72972972973</v>
      </c>
      <c r="H144" s="39">
        <v>300</v>
      </c>
    </row>
    <row r="145" spans="1:8" hidden="1" x14ac:dyDescent="0.35">
      <c r="A145" s="10" t="s">
        <v>25</v>
      </c>
      <c r="B145" s="11">
        <v>45748</v>
      </c>
      <c r="C145" s="3" t="s">
        <v>48</v>
      </c>
      <c r="D145" s="3" t="s">
        <v>49</v>
      </c>
      <c r="E145" s="3" t="s">
        <v>116</v>
      </c>
      <c r="F145" s="3" t="s">
        <v>65</v>
      </c>
      <c r="G145" s="30">
        <v>0</v>
      </c>
      <c r="H145" s="39">
        <v>0</v>
      </c>
    </row>
    <row r="146" spans="1:8" hidden="1" x14ac:dyDescent="0.35">
      <c r="A146" s="10" t="s">
        <v>102</v>
      </c>
      <c r="B146" s="11">
        <v>45748</v>
      </c>
      <c r="C146" s="3" t="s">
        <v>48</v>
      </c>
      <c r="D146" s="3" t="s">
        <v>49</v>
      </c>
      <c r="E146" s="3" t="s">
        <v>51</v>
      </c>
      <c r="F146" s="3" t="s">
        <v>7</v>
      </c>
      <c r="G146" s="30">
        <v>0</v>
      </c>
      <c r="H146" s="39">
        <v>0</v>
      </c>
    </row>
    <row r="147" spans="1:8" hidden="1" x14ac:dyDescent="0.35">
      <c r="A147" s="10" t="s">
        <v>102</v>
      </c>
      <c r="B147" s="11">
        <v>45748</v>
      </c>
      <c r="C147" s="3" t="s">
        <v>48</v>
      </c>
      <c r="D147" s="3" t="s">
        <v>49</v>
      </c>
      <c r="E147" s="3" t="s">
        <v>51</v>
      </c>
      <c r="F147" s="3" t="s">
        <v>8</v>
      </c>
      <c r="G147" s="30">
        <v>0</v>
      </c>
      <c r="H147" s="39">
        <v>0</v>
      </c>
    </row>
    <row r="148" spans="1:8" hidden="1" x14ac:dyDescent="0.35">
      <c r="A148" s="10" t="s">
        <v>102</v>
      </c>
      <c r="B148" s="11">
        <v>45748</v>
      </c>
      <c r="C148" s="3" t="s">
        <v>48</v>
      </c>
      <c r="D148" s="3" t="s">
        <v>49</v>
      </c>
      <c r="E148" s="3" t="s">
        <v>51</v>
      </c>
      <c r="F148" s="3" t="s">
        <v>15</v>
      </c>
      <c r="G148" s="30">
        <v>226720.94594594592</v>
      </c>
      <c r="H148" s="39">
        <v>6500</v>
      </c>
    </row>
    <row r="149" spans="1:8" hidden="1" x14ac:dyDescent="0.35">
      <c r="A149" s="10" t="s">
        <v>102</v>
      </c>
      <c r="B149" s="11">
        <v>45748</v>
      </c>
      <c r="C149" s="3" t="s">
        <v>48</v>
      </c>
      <c r="D149" s="3" t="s">
        <v>49</v>
      </c>
      <c r="E149" s="3" t="s">
        <v>51</v>
      </c>
      <c r="F149" s="3" t="s">
        <v>65</v>
      </c>
      <c r="G149" s="30">
        <v>0</v>
      </c>
      <c r="H149" s="39">
        <v>0</v>
      </c>
    </row>
    <row r="150" spans="1:8" hidden="1" x14ac:dyDescent="0.35">
      <c r="A150" s="10" t="s">
        <v>190</v>
      </c>
      <c r="B150" s="11">
        <v>45748</v>
      </c>
      <c r="C150" s="3" t="s">
        <v>22</v>
      </c>
      <c r="D150" s="3" t="s">
        <v>11</v>
      </c>
      <c r="E150" s="3" t="str">
        <f>_xlfn.XLOOKUP(TabReceitas[[#This Row],[ID]],TabCondicoesComerciais[ID],TabCondicoesComerciais[Congênere],"Verificar")</f>
        <v>Rede Sol</v>
      </c>
      <c r="F150" s="3" t="s">
        <v>7</v>
      </c>
      <c r="G150" s="30">
        <v>0</v>
      </c>
      <c r="H150" s="39">
        <v>0</v>
      </c>
    </row>
    <row r="151" spans="1:8" hidden="1" x14ac:dyDescent="0.35">
      <c r="A151" s="10" t="s">
        <v>190</v>
      </c>
      <c r="B151" s="11">
        <v>45748</v>
      </c>
      <c r="C151" s="3" t="s">
        <v>22</v>
      </c>
      <c r="D151" s="3" t="s">
        <v>11</v>
      </c>
      <c r="E151" s="3" t="str">
        <f>_xlfn.XLOOKUP(TabReceitas[[#This Row],[ID]],TabCondicoesComerciais[ID],TabCondicoesComerciais[Congênere],"Verificar")</f>
        <v>Rede Sol</v>
      </c>
      <c r="F151" s="3" t="s">
        <v>8</v>
      </c>
      <c r="G151" s="30">
        <v>0</v>
      </c>
      <c r="H151" s="39">
        <v>0</v>
      </c>
    </row>
    <row r="152" spans="1:8" hidden="1" x14ac:dyDescent="0.35">
      <c r="A152" s="10" t="s">
        <v>190</v>
      </c>
      <c r="B152" s="11">
        <v>45748</v>
      </c>
      <c r="C152" s="3" t="s">
        <v>22</v>
      </c>
      <c r="D152" s="3" t="s">
        <v>11</v>
      </c>
      <c r="E152" s="3" t="str">
        <f>_xlfn.XLOOKUP(TabReceitas[[#This Row],[ID]],TabCondicoesComerciais[ID],TabCondicoesComerciais[Congênere],"Verificar")</f>
        <v>Rede Sol</v>
      </c>
      <c r="F152" s="3" t="s">
        <v>15</v>
      </c>
      <c r="G152" s="30">
        <v>59115.789473684214</v>
      </c>
      <c r="H152" s="39">
        <v>2000</v>
      </c>
    </row>
    <row r="153" spans="1:8" hidden="1" x14ac:dyDescent="0.35">
      <c r="A153" s="10" t="s">
        <v>190</v>
      </c>
      <c r="B153" s="11">
        <v>45748</v>
      </c>
      <c r="C153" s="3" t="s">
        <v>22</v>
      </c>
      <c r="D153" s="3" t="s">
        <v>11</v>
      </c>
      <c r="E153" s="3" t="str">
        <f>_xlfn.XLOOKUP(TabReceitas[[#This Row],[ID]],TabCondicoesComerciais[ID],TabCondicoesComerciais[Congênere],"Verificar")</f>
        <v>Rede Sol</v>
      </c>
      <c r="F153" s="3" t="s">
        <v>65</v>
      </c>
      <c r="G153" s="30">
        <v>0</v>
      </c>
      <c r="H153" s="39">
        <v>0</v>
      </c>
    </row>
    <row r="154" spans="1:8" hidden="1" x14ac:dyDescent="0.35">
      <c r="A154" s="10" t="s">
        <v>172</v>
      </c>
      <c r="B154" s="11">
        <v>45748</v>
      </c>
      <c r="C154" s="3" t="s">
        <v>22</v>
      </c>
      <c r="D154" s="3" t="s">
        <v>11</v>
      </c>
      <c r="E154" s="3" t="str">
        <f>_xlfn.XLOOKUP(TabReceitas[[#This Row],[ID]],TabCondicoesComerciais[ID],TabCondicoesComerciais[Congênere],"Verificar")</f>
        <v>Ruff</v>
      </c>
      <c r="F154" s="3" t="s">
        <v>7</v>
      </c>
      <c r="G154" s="30">
        <v>0</v>
      </c>
      <c r="H154" s="39">
        <v>0</v>
      </c>
    </row>
    <row r="155" spans="1:8" hidden="1" x14ac:dyDescent="0.35">
      <c r="A155" s="10" t="s">
        <v>172</v>
      </c>
      <c r="B155" s="11">
        <v>45748</v>
      </c>
      <c r="C155" s="3" t="s">
        <v>22</v>
      </c>
      <c r="D155" s="3" t="s">
        <v>11</v>
      </c>
      <c r="E155" s="3" t="str">
        <f>_xlfn.XLOOKUP(TabReceitas[[#This Row],[ID]],TabCondicoesComerciais[ID],TabCondicoesComerciais[Congênere],"Verificar")</f>
        <v>Ruff</v>
      </c>
      <c r="F155" s="3" t="s">
        <v>8</v>
      </c>
      <c r="G155" s="30">
        <v>0</v>
      </c>
      <c r="H155" s="39">
        <v>0</v>
      </c>
    </row>
    <row r="156" spans="1:8" hidden="1" x14ac:dyDescent="0.35">
      <c r="A156" s="10" t="s">
        <v>172</v>
      </c>
      <c r="B156" s="11">
        <v>45748</v>
      </c>
      <c r="C156" s="3" t="s">
        <v>22</v>
      </c>
      <c r="D156" s="3" t="s">
        <v>11</v>
      </c>
      <c r="E156" s="3" t="str">
        <f>_xlfn.XLOOKUP(TabReceitas[[#This Row],[ID]],TabCondicoesComerciais[ID],TabCondicoesComerciais[Congênere],"Verificar")</f>
        <v>Ruff</v>
      </c>
      <c r="F156" s="3" t="s">
        <v>15</v>
      </c>
      <c r="G156" s="30">
        <v>0</v>
      </c>
      <c r="H156" s="39">
        <v>0</v>
      </c>
    </row>
    <row r="157" spans="1:8" hidden="1" x14ac:dyDescent="0.35">
      <c r="A157" s="10" t="s">
        <v>172</v>
      </c>
      <c r="B157" s="11">
        <v>45748</v>
      </c>
      <c r="C157" s="3" t="s">
        <v>22</v>
      </c>
      <c r="D157" s="3" t="s">
        <v>11</v>
      </c>
      <c r="E157" s="3" t="str">
        <f>_xlfn.XLOOKUP(TabReceitas[[#This Row],[ID]],TabCondicoesComerciais[ID],TabCondicoesComerciais[Congênere],"Verificar")</f>
        <v>Ruff</v>
      </c>
      <c r="F157" s="3" t="s">
        <v>65</v>
      </c>
      <c r="G157" s="30">
        <v>0</v>
      </c>
      <c r="H157" s="39">
        <v>0</v>
      </c>
    </row>
    <row r="158" spans="1:8" hidden="1" x14ac:dyDescent="0.35">
      <c r="A158" s="10" t="s">
        <v>149</v>
      </c>
      <c r="B158" s="11">
        <v>45748</v>
      </c>
      <c r="C158" s="3" t="s">
        <v>23</v>
      </c>
      <c r="D158" s="3" t="s">
        <v>112</v>
      </c>
      <c r="E158" s="3" t="s">
        <v>113</v>
      </c>
      <c r="F158" s="3" t="s">
        <v>7</v>
      </c>
      <c r="G158" s="30">
        <v>0</v>
      </c>
      <c r="H158" s="39">
        <v>0</v>
      </c>
    </row>
    <row r="159" spans="1:8" hidden="1" x14ac:dyDescent="0.35">
      <c r="A159" s="10" t="s">
        <v>149</v>
      </c>
      <c r="B159" s="11">
        <v>45748</v>
      </c>
      <c r="C159" s="3" t="s">
        <v>23</v>
      </c>
      <c r="D159" s="3" t="s">
        <v>112</v>
      </c>
      <c r="E159" s="3" t="s">
        <v>113</v>
      </c>
      <c r="F159" s="3" t="s">
        <v>8</v>
      </c>
      <c r="G159" s="30">
        <v>0</v>
      </c>
      <c r="H159" s="39">
        <v>0</v>
      </c>
    </row>
    <row r="160" spans="1:8" hidden="1" x14ac:dyDescent="0.35">
      <c r="A160" s="10" t="s">
        <v>149</v>
      </c>
      <c r="B160" s="11">
        <v>45748</v>
      </c>
      <c r="C160" s="3" t="s">
        <v>23</v>
      </c>
      <c r="D160" s="3" t="s">
        <v>112</v>
      </c>
      <c r="E160" s="3" t="s">
        <v>113</v>
      </c>
      <c r="F160" s="3" t="s">
        <v>15</v>
      </c>
      <c r="G160" s="30">
        <v>89658.947368421053</v>
      </c>
      <c r="H160" s="39">
        <v>4200</v>
      </c>
    </row>
    <row r="161" spans="1:8" hidden="1" x14ac:dyDescent="0.35">
      <c r="A161" s="10" t="s">
        <v>149</v>
      </c>
      <c r="B161" s="11">
        <v>45748</v>
      </c>
      <c r="C161" s="3" t="s">
        <v>23</v>
      </c>
      <c r="D161" s="3" t="s">
        <v>112</v>
      </c>
      <c r="E161" s="3" t="s">
        <v>113</v>
      </c>
      <c r="F161" s="3" t="s">
        <v>65</v>
      </c>
      <c r="G161" s="30">
        <v>0</v>
      </c>
      <c r="H161" s="39">
        <v>0</v>
      </c>
    </row>
    <row r="162" spans="1:8" hidden="1" x14ac:dyDescent="0.35">
      <c r="A162" s="10" t="s">
        <v>177</v>
      </c>
      <c r="B162" s="11">
        <v>45748</v>
      </c>
      <c r="C162" s="3" t="s">
        <v>46</v>
      </c>
      <c r="D162" s="3" t="s">
        <v>87</v>
      </c>
      <c r="E162" s="3" t="s">
        <v>9</v>
      </c>
      <c r="F162" s="3" t="s">
        <v>7</v>
      </c>
      <c r="G162" s="30">
        <v>0</v>
      </c>
      <c r="H162" s="39">
        <v>0</v>
      </c>
    </row>
    <row r="163" spans="1:8" hidden="1" x14ac:dyDescent="0.35">
      <c r="A163" s="10" t="s">
        <v>177</v>
      </c>
      <c r="B163" s="11">
        <v>45748</v>
      </c>
      <c r="C163" s="3" t="s">
        <v>46</v>
      </c>
      <c r="D163" s="3" t="s">
        <v>87</v>
      </c>
      <c r="E163" s="3" t="s">
        <v>9</v>
      </c>
      <c r="F163" s="3" t="s">
        <v>8</v>
      </c>
      <c r="G163" s="30">
        <v>0</v>
      </c>
      <c r="H163" s="39">
        <v>0</v>
      </c>
    </row>
    <row r="164" spans="1:8" hidden="1" x14ac:dyDescent="0.35">
      <c r="A164" s="10" t="s">
        <v>177</v>
      </c>
      <c r="B164" s="11">
        <v>45748</v>
      </c>
      <c r="C164" s="3" t="s">
        <v>46</v>
      </c>
      <c r="D164" s="3" t="s">
        <v>87</v>
      </c>
      <c r="E164" s="3" t="s">
        <v>9</v>
      </c>
      <c r="F164" s="3" t="s">
        <v>15</v>
      </c>
      <c r="G164" s="30">
        <v>137499.15789473685</v>
      </c>
      <c r="H164" s="39">
        <v>4200</v>
      </c>
    </row>
    <row r="165" spans="1:8" hidden="1" x14ac:dyDescent="0.35">
      <c r="A165" s="10" t="s">
        <v>177</v>
      </c>
      <c r="B165" s="11">
        <v>45748</v>
      </c>
      <c r="C165" s="3" t="s">
        <v>46</v>
      </c>
      <c r="D165" s="3" t="s">
        <v>87</v>
      </c>
      <c r="E165" s="3" t="s">
        <v>9</v>
      </c>
      <c r="F165" s="3" t="s">
        <v>65</v>
      </c>
      <c r="G165" s="30">
        <v>0</v>
      </c>
      <c r="H165" s="39">
        <v>0</v>
      </c>
    </row>
    <row r="166" spans="1:8" hidden="1" x14ac:dyDescent="0.35">
      <c r="A166" s="10" t="s">
        <v>169</v>
      </c>
      <c r="B166" s="11">
        <v>45689</v>
      </c>
      <c r="C166" s="3" t="s">
        <v>25</v>
      </c>
      <c r="D166" s="3" t="s">
        <v>12</v>
      </c>
      <c r="E166" s="3" t="str">
        <f>_xlfn.XLOOKUP(TabReceitas[[#This Row],[ID]],TabCondicoesComerciais[ID],TabCondicoesComerciais[Congênere],"Verificar")</f>
        <v>Sim Distribuidora</v>
      </c>
      <c r="F166" s="3" t="s">
        <v>7</v>
      </c>
      <c r="G166" s="30">
        <v>0</v>
      </c>
      <c r="H166" s="30">
        <v>0</v>
      </c>
    </row>
    <row r="167" spans="1:8" hidden="1" x14ac:dyDescent="0.35">
      <c r="A167" s="10" t="s">
        <v>166</v>
      </c>
      <c r="B167" s="11">
        <v>45717</v>
      </c>
      <c r="C167" s="3" t="s">
        <v>25</v>
      </c>
      <c r="D167" s="3" t="s">
        <v>12</v>
      </c>
      <c r="E167" s="3" t="s">
        <v>9</v>
      </c>
      <c r="F167" s="3" t="s">
        <v>7</v>
      </c>
      <c r="G167" s="30">
        <v>0</v>
      </c>
      <c r="H167" s="39">
        <v>0</v>
      </c>
    </row>
    <row r="168" spans="1:8" hidden="1" x14ac:dyDescent="0.35">
      <c r="A168" s="10" t="s">
        <v>166</v>
      </c>
      <c r="B168" s="11">
        <v>45717</v>
      </c>
      <c r="C168" s="3" t="s">
        <v>25</v>
      </c>
      <c r="D168" s="3" t="s">
        <v>12</v>
      </c>
      <c r="E168" s="3" t="s">
        <v>9</v>
      </c>
      <c r="F168" s="3" t="s">
        <v>8</v>
      </c>
      <c r="G168" s="30">
        <v>0</v>
      </c>
      <c r="H168" s="39">
        <v>0</v>
      </c>
    </row>
    <row r="169" spans="1:8" hidden="1" x14ac:dyDescent="0.35">
      <c r="A169" s="10" t="s">
        <v>166</v>
      </c>
      <c r="B169" s="11">
        <v>45717</v>
      </c>
      <c r="C169" s="3" t="s">
        <v>25</v>
      </c>
      <c r="D169" s="3" t="s">
        <v>12</v>
      </c>
      <c r="E169" s="3" t="s">
        <v>9</v>
      </c>
      <c r="F169" s="3" t="s">
        <v>15</v>
      </c>
      <c r="G169" s="30">
        <v>164947.60916666666</v>
      </c>
      <c r="H169" s="39">
        <v>6100</v>
      </c>
    </row>
    <row r="170" spans="1:8" hidden="1" x14ac:dyDescent="0.35">
      <c r="A170" s="10" t="s">
        <v>134</v>
      </c>
      <c r="B170" s="11">
        <v>45748</v>
      </c>
      <c r="C170" s="3" t="s">
        <v>57</v>
      </c>
      <c r="D170" s="3" t="s">
        <v>58</v>
      </c>
      <c r="E170" s="3" t="s">
        <v>10</v>
      </c>
      <c r="F170" s="3" t="s">
        <v>7</v>
      </c>
      <c r="G170" s="30">
        <v>0</v>
      </c>
      <c r="H170" s="39">
        <v>0</v>
      </c>
    </row>
    <row r="171" spans="1:8" hidden="1" x14ac:dyDescent="0.35">
      <c r="A171" s="10" t="s">
        <v>134</v>
      </c>
      <c r="B171" s="11">
        <v>45748</v>
      </c>
      <c r="C171" s="3" t="s">
        <v>57</v>
      </c>
      <c r="D171" s="3" t="s">
        <v>58</v>
      </c>
      <c r="E171" s="3" t="s">
        <v>10</v>
      </c>
      <c r="F171" s="3" t="s">
        <v>8</v>
      </c>
      <c r="G171" s="30">
        <v>0</v>
      </c>
      <c r="H171" s="39">
        <v>0</v>
      </c>
    </row>
    <row r="172" spans="1:8" hidden="1" x14ac:dyDescent="0.35">
      <c r="A172" s="10" t="s">
        <v>134</v>
      </c>
      <c r="B172" s="11">
        <v>45748</v>
      </c>
      <c r="C172" s="3" t="s">
        <v>57</v>
      </c>
      <c r="D172" s="3" t="s">
        <v>58</v>
      </c>
      <c r="E172" s="3" t="s">
        <v>10</v>
      </c>
      <c r="F172" s="3" t="s">
        <v>15</v>
      </c>
      <c r="G172" s="30">
        <v>17311.068923076924</v>
      </c>
      <c r="H172" s="39">
        <v>550</v>
      </c>
    </row>
    <row r="173" spans="1:8" hidden="1" x14ac:dyDescent="0.35">
      <c r="A173" s="10" t="s">
        <v>134</v>
      </c>
      <c r="B173" s="11">
        <v>45748</v>
      </c>
      <c r="C173" s="3" t="s">
        <v>57</v>
      </c>
      <c r="D173" s="3" t="s">
        <v>58</v>
      </c>
      <c r="E173" s="3" t="s">
        <v>10</v>
      </c>
      <c r="F173" s="3" t="s">
        <v>65</v>
      </c>
      <c r="G173" s="30">
        <v>0</v>
      </c>
      <c r="H173" s="39">
        <v>0</v>
      </c>
    </row>
    <row r="174" spans="1:8" hidden="1" x14ac:dyDescent="0.35">
      <c r="A174" s="3">
        <v>20105</v>
      </c>
      <c r="B174" s="11">
        <v>45748</v>
      </c>
      <c r="C174" s="3" t="s">
        <v>26</v>
      </c>
      <c r="D174" s="3" t="s">
        <v>19</v>
      </c>
      <c r="E174" s="3" t="s">
        <v>13</v>
      </c>
      <c r="F174" s="3" t="s">
        <v>7</v>
      </c>
      <c r="G174" s="30">
        <v>0</v>
      </c>
      <c r="H174" s="39">
        <v>0</v>
      </c>
    </row>
    <row r="175" spans="1:8" hidden="1" x14ac:dyDescent="0.35">
      <c r="A175" s="3">
        <v>20105</v>
      </c>
      <c r="B175" s="11">
        <v>45748</v>
      </c>
      <c r="C175" s="3" t="s">
        <v>26</v>
      </c>
      <c r="D175" s="3" t="s">
        <v>19</v>
      </c>
      <c r="E175" s="3" t="s">
        <v>13</v>
      </c>
      <c r="F175" s="3" t="s">
        <v>8</v>
      </c>
      <c r="G175" s="30">
        <v>0</v>
      </c>
      <c r="H175" s="39">
        <v>0</v>
      </c>
    </row>
    <row r="176" spans="1:8" hidden="1" x14ac:dyDescent="0.35">
      <c r="A176" s="3">
        <v>20105</v>
      </c>
      <c r="B176" s="11">
        <v>45748</v>
      </c>
      <c r="C176" s="3" t="s">
        <v>26</v>
      </c>
      <c r="D176" s="3" t="s">
        <v>19</v>
      </c>
      <c r="E176" s="3" t="s">
        <v>13</v>
      </c>
      <c r="F176" s="3" t="s">
        <v>15</v>
      </c>
      <c r="G176" s="30">
        <v>16933.880412371134</v>
      </c>
      <c r="H176" s="39">
        <v>545</v>
      </c>
    </row>
    <row r="177" spans="1:8" hidden="1" x14ac:dyDescent="0.35">
      <c r="A177" s="3">
        <v>20105</v>
      </c>
      <c r="B177" s="11">
        <v>45748</v>
      </c>
      <c r="C177" s="3" t="s">
        <v>26</v>
      </c>
      <c r="D177" s="3" t="s">
        <v>19</v>
      </c>
      <c r="E177" s="3" t="s">
        <v>13</v>
      </c>
      <c r="F177" s="3" t="s">
        <v>65</v>
      </c>
      <c r="G177" s="30">
        <v>0</v>
      </c>
      <c r="H177" s="39">
        <v>0</v>
      </c>
    </row>
    <row r="178" spans="1:8" hidden="1" x14ac:dyDescent="0.35">
      <c r="A178" s="10" t="s">
        <v>142</v>
      </c>
      <c r="B178" s="11">
        <v>45778</v>
      </c>
      <c r="C178" s="3" t="s">
        <v>48</v>
      </c>
      <c r="D178" s="3" t="s">
        <v>49</v>
      </c>
      <c r="E178" s="3" t="s">
        <v>52</v>
      </c>
      <c r="F178" s="3" t="s">
        <v>7</v>
      </c>
      <c r="G178" s="30">
        <v>0</v>
      </c>
      <c r="H178" s="39">
        <v>0</v>
      </c>
    </row>
    <row r="179" spans="1:8" hidden="1" x14ac:dyDescent="0.35">
      <c r="A179" s="10" t="s">
        <v>142</v>
      </c>
      <c r="B179" s="11">
        <v>45778</v>
      </c>
      <c r="C179" s="3" t="s">
        <v>48</v>
      </c>
      <c r="D179" s="3" t="s">
        <v>49</v>
      </c>
      <c r="E179" s="3" t="s">
        <v>52</v>
      </c>
      <c r="F179" s="3" t="s">
        <v>8</v>
      </c>
      <c r="G179" s="30">
        <v>0</v>
      </c>
      <c r="H179" s="39">
        <v>0</v>
      </c>
    </row>
    <row r="180" spans="1:8" hidden="1" x14ac:dyDescent="0.35">
      <c r="A180" s="10" t="s">
        <v>142</v>
      </c>
      <c r="B180" s="11">
        <v>45778</v>
      </c>
      <c r="C180" s="3" t="s">
        <v>48</v>
      </c>
      <c r="D180" s="3" t="s">
        <v>49</v>
      </c>
      <c r="E180" s="3" t="s">
        <v>52</v>
      </c>
      <c r="F180" s="3" t="s">
        <v>15</v>
      </c>
      <c r="G180" s="30">
        <v>89789.370062370057</v>
      </c>
      <c r="H180" s="39">
        <v>2040</v>
      </c>
    </row>
    <row r="181" spans="1:8" hidden="1" x14ac:dyDescent="0.35">
      <c r="A181" s="10" t="s">
        <v>142</v>
      </c>
      <c r="B181" s="11">
        <v>45778</v>
      </c>
      <c r="C181" s="3" t="s">
        <v>48</v>
      </c>
      <c r="D181" s="3" t="s">
        <v>49</v>
      </c>
      <c r="E181" s="3" t="s">
        <v>52</v>
      </c>
      <c r="F181" s="3" t="s">
        <v>65</v>
      </c>
      <c r="G181" s="30">
        <v>0</v>
      </c>
      <c r="H181" s="39">
        <v>0</v>
      </c>
    </row>
    <row r="182" spans="1:8" hidden="1" x14ac:dyDescent="0.35">
      <c r="A182" s="10" t="s">
        <v>139</v>
      </c>
      <c r="B182" s="11">
        <v>45778</v>
      </c>
      <c r="C182" s="3" t="s">
        <v>48</v>
      </c>
      <c r="D182" s="3" t="s">
        <v>49</v>
      </c>
      <c r="E182" s="3" t="s">
        <v>14</v>
      </c>
      <c r="F182" s="3" t="s">
        <v>7</v>
      </c>
      <c r="G182" s="30">
        <v>0</v>
      </c>
      <c r="H182" s="39">
        <v>0</v>
      </c>
    </row>
    <row r="183" spans="1:8" hidden="1" x14ac:dyDescent="0.35">
      <c r="A183" s="10" t="s">
        <v>139</v>
      </c>
      <c r="B183" s="11">
        <v>45778</v>
      </c>
      <c r="C183" s="3" t="s">
        <v>48</v>
      </c>
      <c r="D183" s="3" t="s">
        <v>49</v>
      </c>
      <c r="E183" s="3" t="s">
        <v>14</v>
      </c>
      <c r="F183" s="3" t="s">
        <v>8</v>
      </c>
      <c r="G183" s="30">
        <v>0</v>
      </c>
      <c r="H183" s="39">
        <v>0</v>
      </c>
    </row>
    <row r="184" spans="1:8" hidden="1" x14ac:dyDescent="0.35">
      <c r="A184" s="10" t="s">
        <v>139</v>
      </c>
      <c r="B184" s="11">
        <v>45778</v>
      </c>
      <c r="C184" s="3" t="s">
        <v>48</v>
      </c>
      <c r="D184" s="3" t="s">
        <v>49</v>
      </c>
      <c r="E184" s="3" t="s">
        <v>14</v>
      </c>
      <c r="F184" s="3" t="s">
        <v>15</v>
      </c>
      <c r="G184" s="30">
        <v>17995.57</v>
      </c>
      <c r="H184" s="39">
        <v>936</v>
      </c>
    </row>
    <row r="185" spans="1:8" hidden="1" x14ac:dyDescent="0.35">
      <c r="A185" s="10" t="s">
        <v>139</v>
      </c>
      <c r="B185" s="11">
        <v>45778</v>
      </c>
      <c r="C185" s="3" t="s">
        <v>48</v>
      </c>
      <c r="D185" s="3" t="s">
        <v>49</v>
      </c>
      <c r="E185" s="3" t="s">
        <v>14</v>
      </c>
      <c r="F185" s="3" t="s">
        <v>65</v>
      </c>
      <c r="G185" s="30">
        <v>0</v>
      </c>
      <c r="H185" s="39">
        <v>0</v>
      </c>
    </row>
    <row r="186" spans="1:8" hidden="1" x14ac:dyDescent="0.35">
      <c r="A186" s="10" t="s">
        <v>25</v>
      </c>
      <c r="B186" s="11">
        <v>45778</v>
      </c>
      <c r="C186" s="3" t="s">
        <v>48</v>
      </c>
      <c r="D186" s="3" t="s">
        <v>49</v>
      </c>
      <c r="E186" s="3" t="s">
        <v>116</v>
      </c>
      <c r="F186" s="3" t="s">
        <v>7</v>
      </c>
      <c r="G186" s="30">
        <v>0</v>
      </c>
      <c r="H186" s="39">
        <v>0</v>
      </c>
    </row>
    <row r="187" spans="1:8" hidden="1" x14ac:dyDescent="0.35">
      <c r="A187" s="10" t="s">
        <v>25</v>
      </c>
      <c r="B187" s="11">
        <v>45778</v>
      </c>
      <c r="C187" s="3" t="s">
        <v>48</v>
      </c>
      <c r="D187" s="3" t="s">
        <v>49</v>
      </c>
      <c r="E187" s="3" t="s">
        <v>116</v>
      </c>
      <c r="F187" s="3" t="s">
        <v>8</v>
      </c>
      <c r="G187" s="30">
        <v>0</v>
      </c>
      <c r="H187" s="39">
        <v>0</v>
      </c>
    </row>
    <row r="188" spans="1:8" hidden="1" x14ac:dyDescent="0.35">
      <c r="A188" s="10" t="s">
        <v>25</v>
      </c>
      <c r="B188" s="11">
        <v>45778</v>
      </c>
      <c r="C188" s="3" t="s">
        <v>48</v>
      </c>
      <c r="D188" s="3" t="s">
        <v>49</v>
      </c>
      <c r="E188" s="3" t="s">
        <v>116</v>
      </c>
      <c r="F188" s="3" t="s">
        <v>15</v>
      </c>
      <c r="G188" s="30">
        <v>0</v>
      </c>
      <c r="H188" s="39">
        <v>0</v>
      </c>
    </row>
    <row r="189" spans="1:8" hidden="1" x14ac:dyDescent="0.35">
      <c r="A189" s="10" t="s">
        <v>25</v>
      </c>
      <c r="B189" s="11">
        <v>45778</v>
      </c>
      <c r="C189" s="3" t="s">
        <v>48</v>
      </c>
      <c r="D189" s="3" t="s">
        <v>49</v>
      </c>
      <c r="E189" s="3" t="s">
        <v>116</v>
      </c>
      <c r="F189" s="3" t="s">
        <v>65</v>
      </c>
      <c r="G189" s="30">
        <v>0</v>
      </c>
      <c r="H189" s="39">
        <v>0</v>
      </c>
    </row>
    <row r="190" spans="1:8" hidden="1" x14ac:dyDescent="0.35">
      <c r="A190" s="10" t="s">
        <v>102</v>
      </c>
      <c r="B190" s="11">
        <v>45778</v>
      </c>
      <c r="C190" s="3" t="s">
        <v>48</v>
      </c>
      <c r="D190" s="3" t="s">
        <v>49</v>
      </c>
      <c r="E190" s="3" t="s">
        <v>51</v>
      </c>
      <c r="F190" s="3" t="s">
        <v>7</v>
      </c>
      <c r="G190" s="30">
        <v>0</v>
      </c>
      <c r="H190" s="39">
        <v>0</v>
      </c>
    </row>
    <row r="191" spans="1:8" hidden="1" x14ac:dyDescent="0.35">
      <c r="A191" s="10" t="s">
        <v>102</v>
      </c>
      <c r="B191" s="11">
        <v>45778</v>
      </c>
      <c r="C191" s="3" t="s">
        <v>48</v>
      </c>
      <c r="D191" s="3" t="s">
        <v>49</v>
      </c>
      <c r="E191" s="3" t="s">
        <v>51</v>
      </c>
      <c r="F191" s="3" t="s">
        <v>8</v>
      </c>
      <c r="G191" s="30">
        <v>0</v>
      </c>
      <c r="H191" s="39">
        <v>0</v>
      </c>
    </row>
    <row r="192" spans="1:8" hidden="1" x14ac:dyDescent="0.35">
      <c r="A192" s="10" t="s">
        <v>102</v>
      </c>
      <c r="B192" s="11">
        <v>45778</v>
      </c>
      <c r="C192" s="3" t="s">
        <v>48</v>
      </c>
      <c r="D192" s="3" t="s">
        <v>49</v>
      </c>
      <c r="E192" s="3" t="s">
        <v>51</v>
      </c>
      <c r="F192" s="3" t="s">
        <v>15</v>
      </c>
      <c r="G192" s="30">
        <v>0</v>
      </c>
      <c r="H192" s="39">
        <v>0</v>
      </c>
    </row>
    <row r="193" spans="1:8" hidden="1" x14ac:dyDescent="0.35">
      <c r="A193" s="10" t="s">
        <v>102</v>
      </c>
      <c r="B193" s="11">
        <v>45778</v>
      </c>
      <c r="C193" s="3" t="s">
        <v>48</v>
      </c>
      <c r="D193" s="3" t="s">
        <v>49</v>
      </c>
      <c r="E193" s="3" t="s">
        <v>51</v>
      </c>
      <c r="F193" s="3" t="s">
        <v>65</v>
      </c>
      <c r="G193" s="30">
        <v>0</v>
      </c>
      <c r="H193" s="39">
        <v>0</v>
      </c>
    </row>
    <row r="194" spans="1:8" hidden="1" x14ac:dyDescent="0.35">
      <c r="A194" s="10" t="s">
        <v>190</v>
      </c>
      <c r="B194" s="11">
        <v>45778</v>
      </c>
      <c r="C194" s="3" t="s">
        <v>22</v>
      </c>
      <c r="D194" s="3" t="s">
        <v>11</v>
      </c>
      <c r="E194" s="3" t="str">
        <f>_xlfn.XLOOKUP(TabReceitas[[#This Row],[ID]],TabCondicoesComerciais[ID],TabCondicoesComerciais[Congênere],"Verificar")</f>
        <v>Rede Sol</v>
      </c>
      <c r="F194" s="3" t="s">
        <v>7</v>
      </c>
      <c r="G194" s="30">
        <v>0</v>
      </c>
      <c r="H194" s="39">
        <v>0</v>
      </c>
    </row>
    <row r="195" spans="1:8" hidden="1" x14ac:dyDescent="0.35">
      <c r="A195" s="10" t="s">
        <v>190</v>
      </c>
      <c r="B195" s="11">
        <v>45778</v>
      </c>
      <c r="C195" s="3" t="s">
        <v>22</v>
      </c>
      <c r="D195" s="3" t="s">
        <v>11</v>
      </c>
      <c r="E195" s="3" t="str">
        <f>_xlfn.XLOOKUP(TabReceitas[[#This Row],[ID]],TabCondicoesComerciais[ID],TabCondicoesComerciais[Congênere],"Verificar")</f>
        <v>Rede Sol</v>
      </c>
      <c r="F195" s="3" t="s">
        <v>8</v>
      </c>
      <c r="G195" s="30">
        <v>0</v>
      </c>
      <c r="H195" s="39">
        <v>0</v>
      </c>
    </row>
    <row r="196" spans="1:8" hidden="1" x14ac:dyDescent="0.35">
      <c r="A196" s="10" t="s">
        <v>190</v>
      </c>
      <c r="B196" s="11">
        <v>45778</v>
      </c>
      <c r="C196" s="3" t="s">
        <v>22</v>
      </c>
      <c r="D196" s="3" t="s">
        <v>11</v>
      </c>
      <c r="E196" s="3" t="str">
        <f>_xlfn.XLOOKUP(TabReceitas[[#This Row],[ID]],TabCondicoesComerciais[ID],TabCondicoesComerciais[Congênere],"Verificar")</f>
        <v>Rede Sol</v>
      </c>
      <c r="F196" s="3" t="s">
        <v>15</v>
      </c>
      <c r="G196" s="30">
        <v>0</v>
      </c>
      <c r="H196" s="39">
        <v>0</v>
      </c>
    </row>
    <row r="197" spans="1:8" hidden="1" x14ac:dyDescent="0.35">
      <c r="A197" s="10" t="s">
        <v>190</v>
      </c>
      <c r="B197" s="11">
        <v>45778</v>
      </c>
      <c r="C197" s="3" t="s">
        <v>22</v>
      </c>
      <c r="D197" s="3" t="s">
        <v>11</v>
      </c>
      <c r="E197" s="3" t="str">
        <f>_xlfn.XLOOKUP(TabReceitas[[#This Row],[ID]],TabCondicoesComerciais[ID],TabCondicoesComerciais[Congênere],"Verificar")</f>
        <v>Rede Sol</v>
      </c>
      <c r="F197" s="3" t="s">
        <v>65</v>
      </c>
      <c r="G197" s="30">
        <v>0</v>
      </c>
      <c r="H197" s="39">
        <v>0</v>
      </c>
    </row>
    <row r="198" spans="1:8" hidden="1" x14ac:dyDescent="0.35">
      <c r="A198" s="10" t="s">
        <v>172</v>
      </c>
      <c r="B198" s="11">
        <v>45778</v>
      </c>
      <c r="C198" s="3" t="s">
        <v>22</v>
      </c>
      <c r="D198" s="3" t="s">
        <v>11</v>
      </c>
      <c r="E198" s="3" t="str">
        <f>_xlfn.XLOOKUP(TabReceitas[[#This Row],[ID]],TabCondicoesComerciais[ID],TabCondicoesComerciais[Congênere],"Verificar")</f>
        <v>Ruff</v>
      </c>
      <c r="F198" s="3" t="s">
        <v>7</v>
      </c>
      <c r="G198" s="30">
        <v>0</v>
      </c>
      <c r="H198" s="39">
        <v>0</v>
      </c>
    </row>
    <row r="199" spans="1:8" hidden="1" x14ac:dyDescent="0.35">
      <c r="A199" s="10" t="s">
        <v>172</v>
      </c>
      <c r="B199" s="11">
        <v>45778</v>
      </c>
      <c r="C199" s="3" t="s">
        <v>22</v>
      </c>
      <c r="D199" s="3" t="s">
        <v>11</v>
      </c>
      <c r="E199" s="3" t="str">
        <f>_xlfn.XLOOKUP(TabReceitas[[#This Row],[ID]],TabCondicoesComerciais[ID],TabCondicoesComerciais[Congênere],"Verificar")</f>
        <v>Ruff</v>
      </c>
      <c r="F199" s="3" t="s">
        <v>8</v>
      </c>
      <c r="G199" s="30">
        <v>0</v>
      </c>
      <c r="H199" s="39">
        <v>0</v>
      </c>
    </row>
    <row r="200" spans="1:8" hidden="1" x14ac:dyDescent="0.35">
      <c r="A200" s="10" t="s">
        <v>172</v>
      </c>
      <c r="B200" s="11">
        <v>45778</v>
      </c>
      <c r="C200" s="3" t="s">
        <v>22</v>
      </c>
      <c r="D200" s="3" t="s">
        <v>11</v>
      </c>
      <c r="E200" s="3" t="str">
        <f>_xlfn.XLOOKUP(TabReceitas[[#This Row],[ID]],TabCondicoesComerciais[ID],TabCondicoesComerciais[Congênere],"Verificar")</f>
        <v>Ruff</v>
      </c>
      <c r="F200" s="3" t="s">
        <v>15</v>
      </c>
      <c r="G200" s="30">
        <v>0</v>
      </c>
      <c r="H200" s="39">
        <v>0</v>
      </c>
    </row>
    <row r="201" spans="1:8" hidden="1" x14ac:dyDescent="0.35">
      <c r="A201" s="10" t="s">
        <v>172</v>
      </c>
      <c r="B201" s="11">
        <v>45778</v>
      </c>
      <c r="C201" s="3" t="s">
        <v>22</v>
      </c>
      <c r="D201" s="3" t="s">
        <v>11</v>
      </c>
      <c r="E201" s="3" t="str">
        <f>_xlfn.XLOOKUP(TabReceitas[[#This Row],[ID]],TabCondicoesComerciais[ID],TabCondicoesComerciais[Congênere],"Verificar")</f>
        <v>Ruff</v>
      </c>
      <c r="F201" s="3" t="s">
        <v>65</v>
      </c>
      <c r="G201" s="30">
        <v>0</v>
      </c>
      <c r="H201" s="39">
        <v>0</v>
      </c>
    </row>
    <row r="202" spans="1:8" hidden="1" x14ac:dyDescent="0.35">
      <c r="A202" s="10" t="s">
        <v>149</v>
      </c>
      <c r="B202" s="11">
        <v>45778</v>
      </c>
      <c r="C202" s="3" t="s">
        <v>23</v>
      </c>
      <c r="D202" s="3" t="s">
        <v>112</v>
      </c>
      <c r="E202" s="3" t="s">
        <v>113</v>
      </c>
      <c r="F202" s="3" t="s">
        <v>7</v>
      </c>
      <c r="G202" s="30">
        <v>0</v>
      </c>
      <c r="H202" s="39">
        <v>0</v>
      </c>
    </row>
    <row r="203" spans="1:8" hidden="1" x14ac:dyDescent="0.35">
      <c r="A203" s="10" t="s">
        <v>149</v>
      </c>
      <c r="B203" s="11">
        <v>45778</v>
      </c>
      <c r="C203" s="3" t="s">
        <v>23</v>
      </c>
      <c r="D203" s="3" t="s">
        <v>112</v>
      </c>
      <c r="E203" s="3" t="s">
        <v>113</v>
      </c>
      <c r="F203" s="3" t="s">
        <v>8</v>
      </c>
      <c r="G203" s="30">
        <v>0</v>
      </c>
      <c r="H203" s="39">
        <v>0</v>
      </c>
    </row>
    <row r="204" spans="1:8" hidden="1" x14ac:dyDescent="0.35">
      <c r="A204" s="10" t="s">
        <v>149</v>
      </c>
      <c r="B204" s="11">
        <v>45778</v>
      </c>
      <c r="C204" s="3" t="s">
        <v>23</v>
      </c>
      <c r="D204" s="3" t="s">
        <v>112</v>
      </c>
      <c r="E204" s="3" t="s">
        <v>113</v>
      </c>
      <c r="F204" s="3" t="s">
        <v>15</v>
      </c>
      <c r="G204" s="30">
        <v>0</v>
      </c>
      <c r="H204" s="39">
        <v>0</v>
      </c>
    </row>
    <row r="205" spans="1:8" hidden="1" x14ac:dyDescent="0.35">
      <c r="A205" s="10" t="s">
        <v>149</v>
      </c>
      <c r="B205" s="11">
        <v>45778</v>
      </c>
      <c r="C205" s="3" t="s">
        <v>23</v>
      </c>
      <c r="D205" s="3" t="s">
        <v>112</v>
      </c>
      <c r="E205" s="3" t="s">
        <v>113</v>
      </c>
      <c r="F205" s="3" t="s">
        <v>65</v>
      </c>
      <c r="G205" s="30">
        <v>0</v>
      </c>
      <c r="H205" s="39">
        <v>0</v>
      </c>
    </row>
    <row r="206" spans="1:8" hidden="1" x14ac:dyDescent="0.35">
      <c r="A206" s="10" t="s">
        <v>177</v>
      </c>
      <c r="B206" s="11">
        <v>45778</v>
      </c>
      <c r="C206" s="3" t="s">
        <v>46</v>
      </c>
      <c r="D206" s="3" t="s">
        <v>87</v>
      </c>
      <c r="E206" s="3" t="s">
        <v>9</v>
      </c>
      <c r="F206" s="3" t="s">
        <v>7</v>
      </c>
      <c r="G206" s="30">
        <v>0</v>
      </c>
      <c r="H206" s="39">
        <v>0</v>
      </c>
    </row>
    <row r="207" spans="1:8" hidden="1" x14ac:dyDescent="0.35">
      <c r="A207" s="10" t="s">
        <v>177</v>
      </c>
      <c r="B207" s="11">
        <v>45778</v>
      </c>
      <c r="C207" s="3" t="s">
        <v>46</v>
      </c>
      <c r="D207" s="3" t="s">
        <v>87</v>
      </c>
      <c r="E207" s="3" t="s">
        <v>9</v>
      </c>
      <c r="F207" s="3" t="s">
        <v>8</v>
      </c>
      <c r="G207" s="30">
        <v>0</v>
      </c>
      <c r="H207" s="39">
        <v>0</v>
      </c>
    </row>
    <row r="208" spans="1:8" hidden="1" x14ac:dyDescent="0.35">
      <c r="A208" s="10" t="s">
        <v>177</v>
      </c>
      <c r="B208" s="11">
        <v>45778</v>
      </c>
      <c r="C208" s="3" t="s">
        <v>46</v>
      </c>
      <c r="D208" s="3" t="s">
        <v>87</v>
      </c>
      <c r="E208" s="3" t="s">
        <v>9</v>
      </c>
      <c r="F208" s="3" t="s">
        <v>15</v>
      </c>
      <c r="G208" s="30">
        <v>65348.32</v>
      </c>
      <c r="H208" s="39">
        <v>1926</v>
      </c>
    </row>
    <row r="209" spans="1:8" hidden="1" x14ac:dyDescent="0.35">
      <c r="A209" s="10" t="s">
        <v>177</v>
      </c>
      <c r="B209" s="11">
        <v>45778</v>
      </c>
      <c r="C209" s="3" t="s">
        <v>46</v>
      </c>
      <c r="D209" s="3" t="s">
        <v>87</v>
      </c>
      <c r="E209" s="3" t="s">
        <v>9</v>
      </c>
      <c r="F209" s="3" t="s">
        <v>65</v>
      </c>
      <c r="G209" s="30">
        <v>0</v>
      </c>
      <c r="H209" s="39">
        <v>0</v>
      </c>
    </row>
    <row r="210" spans="1:8" hidden="1" x14ac:dyDescent="0.35">
      <c r="A210" s="10" t="s">
        <v>166</v>
      </c>
      <c r="B210" s="11">
        <v>45717</v>
      </c>
      <c r="C210" s="3" t="s">
        <v>25</v>
      </c>
      <c r="D210" s="3" t="s">
        <v>12</v>
      </c>
      <c r="E210" s="3" t="s">
        <v>9</v>
      </c>
      <c r="F210" s="3" t="s">
        <v>65</v>
      </c>
      <c r="G210" s="30">
        <v>0</v>
      </c>
      <c r="H210" s="39">
        <v>0</v>
      </c>
    </row>
    <row r="211" spans="1:8" hidden="1" x14ac:dyDescent="0.35">
      <c r="A211" s="10" t="s">
        <v>169</v>
      </c>
      <c r="B211" s="11">
        <v>45717</v>
      </c>
      <c r="C211" s="3" t="s">
        <v>25</v>
      </c>
      <c r="D211" s="3" t="s">
        <v>12</v>
      </c>
      <c r="E211" s="3" t="str">
        <f>_xlfn.XLOOKUP(TabReceitas[[#This Row],[ID]],TabCondicoesComerciais[ID],TabCondicoesComerciais[Congênere],"Verificar")</f>
        <v>Sim Distribuidora</v>
      </c>
      <c r="F211" s="3" t="s">
        <v>7</v>
      </c>
      <c r="G211" s="30">
        <v>0</v>
      </c>
      <c r="H211" s="30">
        <v>0</v>
      </c>
    </row>
    <row r="212" spans="1:8" hidden="1" x14ac:dyDescent="0.35">
      <c r="A212" s="10" t="s">
        <v>169</v>
      </c>
      <c r="B212" s="11">
        <v>45717</v>
      </c>
      <c r="C212" s="3" t="s">
        <v>25</v>
      </c>
      <c r="D212" s="3" t="s">
        <v>12</v>
      </c>
      <c r="E212" s="3" t="str">
        <f>_xlfn.XLOOKUP(TabReceitas[[#This Row],[ID]],TabCondicoesComerciais[ID],TabCondicoesComerciais[Congênere],"Verificar")</f>
        <v>Sim Distribuidora</v>
      </c>
      <c r="F212" s="3" t="s">
        <v>8</v>
      </c>
      <c r="G212" s="30">
        <v>0</v>
      </c>
      <c r="H212" s="30">
        <v>0</v>
      </c>
    </row>
    <row r="213" spans="1:8" hidden="1" x14ac:dyDescent="0.35">
      <c r="A213" s="10" t="s">
        <v>169</v>
      </c>
      <c r="B213" s="11">
        <v>45717</v>
      </c>
      <c r="C213" s="3" t="s">
        <v>25</v>
      </c>
      <c r="D213" s="3" t="s">
        <v>12</v>
      </c>
      <c r="E213" s="3" t="str">
        <f>_xlfn.XLOOKUP(TabReceitas[[#This Row],[ID]],TabCondicoesComerciais[ID],TabCondicoesComerciais[Congênere],"Verificar")</f>
        <v>Sim Distribuidora</v>
      </c>
      <c r="F213" s="3" t="s">
        <v>15</v>
      </c>
      <c r="G213" s="30">
        <v>0</v>
      </c>
      <c r="H213" s="30">
        <v>0</v>
      </c>
    </row>
    <row r="214" spans="1:8" hidden="1" x14ac:dyDescent="0.35">
      <c r="A214" s="10" t="s">
        <v>134</v>
      </c>
      <c r="B214" s="11">
        <v>45778</v>
      </c>
      <c r="C214" s="3" t="s">
        <v>57</v>
      </c>
      <c r="D214" s="3" t="s">
        <v>58</v>
      </c>
      <c r="E214" s="3" t="s">
        <v>10</v>
      </c>
      <c r="F214" s="3" t="s">
        <v>7</v>
      </c>
      <c r="G214" s="30">
        <v>0</v>
      </c>
      <c r="H214" s="39">
        <v>0</v>
      </c>
    </row>
    <row r="215" spans="1:8" hidden="1" x14ac:dyDescent="0.35">
      <c r="A215" s="10" t="s">
        <v>134</v>
      </c>
      <c r="B215" s="11">
        <v>45778</v>
      </c>
      <c r="C215" s="3" t="s">
        <v>57</v>
      </c>
      <c r="D215" s="3" t="s">
        <v>58</v>
      </c>
      <c r="E215" s="3" t="s">
        <v>10</v>
      </c>
      <c r="F215" s="3" t="s">
        <v>8</v>
      </c>
      <c r="G215" s="30">
        <v>0</v>
      </c>
      <c r="H215" s="39">
        <v>0</v>
      </c>
    </row>
    <row r="216" spans="1:8" hidden="1" x14ac:dyDescent="0.35">
      <c r="A216" s="10" t="s">
        <v>134</v>
      </c>
      <c r="B216" s="11">
        <v>45778</v>
      </c>
      <c r="C216" s="3" t="s">
        <v>57</v>
      </c>
      <c r="D216" s="3" t="s">
        <v>58</v>
      </c>
      <c r="E216" s="3" t="s">
        <v>10</v>
      </c>
      <c r="F216" s="3" t="s">
        <v>15</v>
      </c>
      <c r="G216" s="30">
        <v>35019.49</v>
      </c>
      <c r="H216" s="39">
        <v>1100</v>
      </c>
    </row>
    <row r="217" spans="1:8" hidden="1" x14ac:dyDescent="0.35">
      <c r="A217" s="10" t="s">
        <v>134</v>
      </c>
      <c r="B217" s="11">
        <v>45778</v>
      </c>
      <c r="C217" s="3" t="s">
        <v>57</v>
      </c>
      <c r="D217" s="3" t="s">
        <v>58</v>
      </c>
      <c r="E217" s="3" t="s">
        <v>10</v>
      </c>
      <c r="F217" s="3" t="s">
        <v>65</v>
      </c>
      <c r="G217" s="30">
        <v>0</v>
      </c>
      <c r="H217" s="39">
        <v>0</v>
      </c>
    </row>
    <row r="218" spans="1:8" hidden="1" x14ac:dyDescent="0.35">
      <c r="A218" s="3">
        <v>20105</v>
      </c>
      <c r="B218" s="11">
        <v>45778</v>
      </c>
      <c r="C218" s="3" t="s">
        <v>26</v>
      </c>
      <c r="D218" s="3" t="s">
        <v>19</v>
      </c>
      <c r="E218" s="3" t="s">
        <v>13</v>
      </c>
      <c r="F218" s="3" t="s">
        <v>7</v>
      </c>
      <c r="G218" s="30">
        <v>0</v>
      </c>
      <c r="H218" s="39">
        <v>0</v>
      </c>
    </row>
    <row r="219" spans="1:8" hidden="1" x14ac:dyDescent="0.35">
      <c r="A219" s="3">
        <v>20105</v>
      </c>
      <c r="B219" s="11">
        <v>45778</v>
      </c>
      <c r="C219" s="3" t="s">
        <v>26</v>
      </c>
      <c r="D219" s="3" t="s">
        <v>19</v>
      </c>
      <c r="E219" s="3" t="s">
        <v>13</v>
      </c>
      <c r="F219" s="3" t="s">
        <v>8</v>
      </c>
      <c r="G219" s="30">
        <v>0</v>
      </c>
      <c r="H219" s="39">
        <v>0</v>
      </c>
    </row>
    <row r="220" spans="1:8" hidden="1" x14ac:dyDescent="0.35">
      <c r="A220" s="3">
        <v>20105</v>
      </c>
      <c r="B220" s="11">
        <v>45778</v>
      </c>
      <c r="C220" s="3" t="s">
        <v>26</v>
      </c>
      <c r="D220" s="3" t="s">
        <v>19</v>
      </c>
      <c r="E220" s="3" t="s">
        <v>13</v>
      </c>
      <c r="F220" s="3" t="s">
        <v>15</v>
      </c>
      <c r="G220" s="30">
        <v>14721.65</v>
      </c>
      <c r="H220" s="39">
        <v>510</v>
      </c>
    </row>
    <row r="221" spans="1:8" hidden="1" x14ac:dyDescent="0.35">
      <c r="A221" s="3">
        <v>20105</v>
      </c>
      <c r="B221" s="11">
        <v>45778</v>
      </c>
      <c r="C221" s="3" t="s">
        <v>26</v>
      </c>
      <c r="D221" s="3" t="s">
        <v>19</v>
      </c>
      <c r="E221" s="3" t="s">
        <v>13</v>
      </c>
      <c r="F221" s="3" t="s">
        <v>65</v>
      </c>
      <c r="G221" s="30">
        <v>0</v>
      </c>
      <c r="H221" s="39">
        <v>0</v>
      </c>
    </row>
    <row r="222" spans="1:8" hidden="1" x14ac:dyDescent="0.35">
      <c r="A222" s="10" t="s">
        <v>142</v>
      </c>
      <c r="B222" s="11">
        <v>45809</v>
      </c>
      <c r="C222" s="3" t="s">
        <v>48</v>
      </c>
      <c r="D222" s="3" t="s">
        <v>49</v>
      </c>
      <c r="E222" s="3" t="s">
        <v>52</v>
      </c>
      <c r="F222" s="3" t="s">
        <v>7</v>
      </c>
      <c r="G222" s="30">
        <v>0</v>
      </c>
      <c r="H222" s="39">
        <v>0</v>
      </c>
    </row>
    <row r="223" spans="1:8" hidden="1" x14ac:dyDescent="0.35">
      <c r="A223" s="10" t="s">
        <v>142</v>
      </c>
      <c r="B223" s="11">
        <v>45809</v>
      </c>
      <c r="C223" s="3" t="s">
        <v>48</v>
      </c>
      <c r="D223" s="3" t="s">
        <v>49</v>
      </c>
      <c r="E223" s="3" t="s">
        <v>52</v>
      </c>
      <c r="F223" s="3" t="s">
        <v>8</v>
      </c>
      <c r="G223" s="30">
        <v>0</v>
      </c>
      <c r="H223" s="39">
        <v>0</v>
      </c>
    </row>
    <row r="224" spans="1:8" hidden="1" x14ac:dyDescent="0.35">
      <c r="A224" s="10" t="s">
        <v>142</v>
      </c>
      <c r="B224" s="11">
        <v>45809</v>
      </c>
      <c r="C224" s="3" t="s">
        <v>48</v>
      </c>
      <c r="D224" s="3" t="s">
        <v>49</v>
      </c>
      <c r="E224" s="3" t="s">
        <v>52</v>
      </c>
      <c r="F224" s="3" t="s">
        <v>15</v>
      </c>
      <c r="G224" s="52">
        <v>89789.370062370057</v>
      </c>
      <c r="H224" s="39">
        <v>2040</v>
      </c>
    </row>
    <row r="225" spans="1:8" hidden="1" x14ac:dyDescent="0.35">
      <c r="A225" s="10" t="s">
        <v>142</v>
      </c>
      <c r="B225" s="11">
        <v>45809</v>
      </c>
      <c r="C225" s="3" t="s">
        <v>48</v>
      </c>
      <c r="D225" s="3" t="s">
        <v>49</v>
      </c>
      <c r="E225" s="3" t="s">
        <v>52</v>
      </c>
      <c r="F225" s="3" t="s">
        <v>65</v>
      </c>
      <c r="G225" s="30">
        <v>0</v>
      </c>
      <c r="H225" s="39">
        <v>0</v>
      </c>
    </row>
    <row r="226" spans="1:8" hidden="1" x14ac:dyDescent="0.35">
      <c r="A226" s="10" t="s">
        <v>139</v>
      </c>
      <c r="B226" s="11">
        <v>45809</v>
      </c>
      <c r="C226" s="3" t="s">
        <v>48</v>
      </c>
      <c r="D226" s="3" t="s">
        <v>49</v>
      </c>
      <c r="E226" s="3" t="s">
        <v>14</v>
      </c>
      <c r="F226" s="3" t="s">
        <v>7</v>
      </c>
      <c r="G226" s="30">
        <v>0</v>
      </c>
      <c r="H226" s="39">
        <v>0</v>
      </c>
    </row>
    <row r="227" spans="1:8" hidden="1" x14ac:dyDescent="0.35">
      <c r="A227" s="10" t="s">
        <v>139</v>
      </c>
      <c r="B227" s="11">
        <v>45809</v>
      </c>
      <c r="C227" s="3" t="s">
        <v>48</v>
      </c>
      <c r="D227" s="3" t="s">
        <v>49</v>
      </c>
      <c r="E227" s="3" t="s">
        <v>14</v>
      </c>
      <c r="F227" s="3" t="s">
        <v>8</v>
      </c>
      <c r="G227" s="30">
        <v>0</v>
      </c>
      <c r="H227" s="39">
        <v>0</v>
      </c>
    </row>
    <row r="228" spans="1:8" hidden="1" x14ac:dyDescent="0.35">
      <c r="A228" s="10" t="s">
        <v>139</v>
      </c>
      <c r="B228" s="11">
        <v>45809</v>
      </c>
      <c r="C228" s="3" t="s">
        <v>48</v>
      </c>
      <c r="D228" s="3" t="s">
        <v>49</v>
      </c>
      <c r="E228" s="3" t="s">
        <v>14</v>
      </c>
      <c r="F228" s="3" t="s">
        <v>15</v>
      </c>
      <c r="G228" s="30">
        <v>17995.57</v>
      </c>
      <c r="H228" s="39">
        <v>936</v>
      </c>
    </row>
    <row r="229" spans="1:8" hidden="1" x14ac:dyDescent="0.35">
      <c r="A229" s="10" t="s">
        <v>139</v>
      </c>
      <c r="B229" s="11">
        <v>45809</v>
      </c>
      <c r="C229" s="3" t="s">
        <v>48</v>
      </c>
      <c r="D229" s="3" t="s">
        <v>49</v>
      </c>
      <c r="E229" s="3" t="s">
        <v>14</v>
      </c>
      <c r="F229" s="3" t="s">
        <v>65</v>
      </c>
      <c r="G229" s="30">
        <v>0</v>
      </c>
      <c r="H229" s="39">
        <v>0</v>
      </c>
    </row>
    <row r="230" spans="1:8" hidden="1" x14ac:dyDescent="0.35">
      <c r="A230" s="10" t="s">
        <v>25</v>
      </c>
      <c r="B230" s="11">
        <v>45809</v>
      </c>
      <c r="C230" s="3" t="s">
        <v>48</v>
      </c>
      <c r="D230" s="3" t="s">
        <v>49</v>
      </c>
      <c r="E230" s="3" t="s">
        <v>116</v>
      </c>
      <c r="F230" s="3" t="s">
        <v>7</v>
      </c>
      <c r="G230" s="30">
        <v>0</v>
      </c>
      <c r="H230" s="39">
        <v>0</v>
      </c>
    </row>
    <row r="231" spans="1:8" hidden="1" x14ac:dyDescent="0.35">
      <c r="A231" s="10" t="s">
        <v>25</v>
      </c>
      <c r="B231" s="11">
        <v>45809</v>
      </c>
      <c r="C231" s="3" t="s">
        <v>48</v>
      </c>
      <c r="D231" s="3" t="s">
        <v>49</v>
      </c>
      <c r="E231" s="3" t="s">
        <v>116</v>
      </c>
      <c r="F231" s="3" t="s">
        <v>8</v>
      </c>
      <c r="G231" s="30">
        <v>0</v>
      </c>
      <c r="H231" s="39">
        <v>0</v>
      </c>
    </row>
    <row r="232" spans="1:8" hidden="1" x14ac:dyDescent="0.35">
      <c r="A232" s="10" t="s">
        <v>25</v>
      </c>
      <c r="B232" s="11">
        <v>45809</v>
      </c>
      <c r="C232" s="3" t="s">
        <v>48</v>
      </c>
      <c r="D232" s="3" t="s">
        <v>49</v>
      </c>
      <c r="E232" s="3" t="s">
        <v>116</v>
      </c>
      <c r="F232" s="3" t="s">
        <v>15</v>
      </c>
      <c r="G232" s="30">
        <v>0</v>
      </c>
      <c r="H232" s="39">
        <v>0</v>
      </c>
    </row>
    <row r="233" spans="1:8" hidden="1" x14ac:dyDescent="0.35">
      <c r="A233" s="10" t="s">
        <v>25</v>
      </c>
      <c r="B233" s="11">
        <v>45809</v>
      </c>
      <c r="C233" s="3" t="s">
        <v>48</v>
      </c>
      <c r="D233" s="3" t="s">
        <v>49</v>
      </c>
      <c r="E233" s="3" t="s">
        <v>116</v>
      </c>
      <c r="F233" s="3" t="s">
        <v>65</v>
      </c>
      <c r="G233" s="30">
        <v>0</v>
      </c>
      <c r="H233" s="39">
        <v>0</v>
      </c>
    </row>
    <row r="234" spans="1:8" hidden="1" x14ac:dyDescent="0.35">
      <c r="A234" s="10" t="s">
        <v>102</v>
      </c>
      <c r="B234" s="11">
        <v>45809</v>
      </c>
      <c r="C234" s="3" t="s">
        <v>48</v>
      </c>
      <c r="D234" s="3" t="s">
        <v>49</v>
      </c>
      <c r="E234" s="3" t="s">
        <v>51</v>
      </c>
      <c r="F234" s="3" t="s">
        <v>7</v>
      </c>
      <c r="G234" s="30">
        <v>0</v>
      </c>
      <c r="H234" s="39">
        <v>0</v>
      </c>
    </row>
    <row r="235" spans="1:8" hidden="1" x14ac:dyDescent="0.35">
      <c r="A235" s="10" t="s">
        <v>102</v>
      </c>
      <c r="B235" s="11">
        <v>45809</v>
      </c>
      <c r="C235" s="3" t="s">
        <v>48</v>
      </c>
      <c r="D235" s="3" t="s">
        <v>49</v>
      </c>
      <c r="E235" s="3" t="s">
        <v>51</v>
      </c>
      <c r="F235" s="3" t="s">
        <v>8</v>
      </c>
      <c r="G235" s="30">
        <v>0</v>
      </c>
      <c r="H235" s="39">
        <v>0</v>
      </c>
    </row>
    <row r="236" spans="1:8" hidden="1" x14ac:dyDescent="0.35">
      <c r="A236" s="10" t="s">
        <v>102</v>
      </c>
      <c r="B236" s="11">
        <v>45809</v>
      </c>
      <c r="C236" s="3" t="s">
        <v>48</v>
      </c>
      <c r="D236" s="3" t="s">
        <v>49</v>
      </c>
      <c r="E236" s="3" t="s">
        <v>51</v>
      </c>
      <c r="F236" s="3" t="s">
        <v>15</v>
      </c>
      <c r="G236" s="30">
        <v>0</v>
      </c>
      <c r="H236" s="39">
        <v>0</v>
      </c>
    </row>
    <row r="237" spans="1:8" hidden="1" x14ac:dyDescent="0.35">
      <c r="A237" s="10" t="s">
        <v>102</v>
      </c>
      <c r="B237" s="11">
        <v>45809</v>
      </c>
      <c r="C237" s="3" t="s">
        <v>48</v>
      </c>
      <c r="D237" s="3" t="s">
        <v>49</v>
      </c>
      <c r="E237" s="3" t="s">
        <v>51</v>
      </c>
      <c r="F237" s="3" t="s">
        <v>65</v>
      </c>
      <c r="G237" s="30">
        <v>0</v>
      </c>
      <c r="H237" s="39">
        <v>0</v>
      </c>
    </row>
    <row r="238" spans="1:8" hidden="1" x14ac:dyDescent="0.35">
      <c r="A238" s="10" t="s">
        <v>190</v>
      </c>
      <c r="B238" s="11">
        <v>45809</v>
      </c>
      <c r="C238" s="3" t="s">
        <v>22</v>
      </c>
      <c r="D238" s="3" t="s">
        <v>11</v>
      </c>
      <c r="E238" s="3" t="str">
        <f>_xlfn.XLOOKUP(TabReceitas[[#This Row],[ID]],TabCondicoesComerciais[ID],TabCondicoesComerciais[Congênere],"Verificar")</f>
        <v>Rede Sol</v>
      </c>
      <c r="F238" s="3" t="s">
        <v>7</v>
      </c>
      <c r="G238" s="30">
        <v>0</v>
      </c>
      <c r="H238" s="39">
        <v>0</v>
      </c>
    </row>
    <row r="239" spans="1:8" hidden="1" x14ac:dyDescent="0.35">
      <c r="A239" s="10" t="s">
        <v>190</v>
      </c>
      <c r="B239" s="11">
        <v>45809</v>
      </c>
      <c r="C239" s="3" t="s">
        <v>22</v>
      </c>
      <c r="D239" s="3" t="s">
        <v>11</v>
      </c>
      <c r="E239" s="3" t="str">
        <f>_xlfn.XLOOKUP(TabReceitas[[#This Row],[ID]],TabCondicoesComerciais[ID],TabCondicoesComerciais[Congênere],"Verificar")</f>
        <v>Rede Sol</v>
      </c>
      <c r="F239" s="3" t="s">
        <v>8</v>
      </c>
      <c r="G239" s="30">
        <v>0</v>
      </c>
      <c r="H239" s="39">
        <v>0</v>
      </c>
    </row>
    <row r="240" spans="1:8" hidden="1" x14ac:dyDescent="0.35">
      <c r="A240" s="10" t="s">
        <v>190</v>
      </c>
      <c r="B240" s="11">
        <v>45809</v>
      </c>
      <c r="C240" s="3" t="s">
        <v>22</v>
      </c>
      <c r="D240" s="3" t="s">
        <v>11</v>
      </c>
      <c r="E240" s="3" t="str">
        <f>_xlfn.XLOOKUP(TabReceitas[[#This Row],[ID]],TabCondicoesComerciais[ID],TabCondicoesComerciais[Congênere],"Verificar")</f>
        <v>Rede Sol</v>
      </c>
      <c r="F240" s="3" t="s">
        <v>15</v>
      </c>
      <c r="G240" s="30">
        <v>0</v>
      </c>
      <c r="H240" s="39">
        <v>0</v>
      </c>
    </row>
    <row r="241" spans="1:8" hidden="1" x14ac:dyDescent="0.35">
      <c r="A241" s="10" t="s">
        <v>190</v>
      </c>
      <c r="B241" s="11">
        <v>45809</v>
      </c>
      <c r="C241" s="3" t="s">
        <v>22</v>
      </c>
      <c r="D241" s="3" t="s">
        <v>11</v>
      </c>
      <c r="E241" s="3" t="str">
        <f>_xlfn.XLOOKUP(TabReceitas[[#This Row],[ID]],TabCondicoesComerciais[ID],TabCondicoesComerciais[Congênere],"Verificar")</f>
        <v>Rede Sol</v>
      </c>
      <c r="F241" s="3" t="s">
        <v>65</v>
      </c>
      <c r="G241" s="30">
        <v>0</v>
      </c>
      <c r="H241" s="39">
        <v>0</v>
      </c>
    </row>
    <row r="242" spans="1:8" hidden="1" x14ac:dyDescent="0.35">
      <c r="A242" s="10" t="s">
        <v>172</v>
      </c>
      <c r="B242" s="11">
        <v>45809</v>
      </c>
      <c r="C242" s="3" t="s">
        <v>22</v>
      </c>
      <c r="D242" s="3" t="s">
        <v>11</v>
      </c>
      <c r="E242" s="3" t="str">
        <f>_xlfn.XLOOKUP(TabReceitas[[#This Row],[ID]],TabCondicoesComerciais[ID],TabCondicoesComerciais[Congênere],"Verificar")</f>
        <v>Ruff</v>
      </c>
      <c r="F242" s="3" t="s">
        <v>7</v>
      </c>
      <c r="G242" s="30">
        <v>0</v>
      </c>
      <c r="H242" s="39">
        <v>0</v>
      </c>
    </row>
    <row r="243" spans="1:8" hidden="1" x14ac:dyDescent="0.35">
      <c r="A243" s="10" t="s">
        <v>172</v>
      </c>
      <c r="B243" s="11">
        <v>45809</v>
      </c>
      <c r="C243" s="3" t="s">
        <v>22</v>
      </c>
      <c r="D243" s="3" t="s">
        <v>11</v>
      </c>
      <c r="E243" s="3" t="str">
        <f>_xlfn.XLOOKUP(TabReceitas[[#This Row],[ID]],TabCondicoesComerciais[ID],TabCondicoesComerciais[Congênere],"Verificar")</f>
        <v>Ruff</v>
      </c>
      <c r="F243" s="3" t="s">
        <v>8</v>
      </c>
      <c r="G243" s="30">
        <v>0</v>
      </c>
      <c r="H243" s="39">
        <v>0</v>
      </c>
    </row>
    <row r="244" spans="1:8" hidden="1" x14ac:dyDescent="0.35">
      <c r="A244" s="10" t="s">
        <v>172</v>
      </c>
      <c r="B244" s="11">
        <v>45809</v>
      </c>
      <c r="C244" s="3" t="s">
        <v>22</v>
      </c>
      <c r="D244" s="3" t="s">
        <v>11</v>
      </c>
      <c r="E244" s="3" t="str">
        <f>_xlfn.XLOOKUP(TabReceitas[[#This Row],[ID]],TabCondicoesComerciais[ID],TabCondicoesComerciais[Congênere],"Verificar")</f>
        <v>Ruff</v>
      </c>
      <c r="F244" s="3" t="s">
        <v>15</v>
      </c>
      <c r="G244" s="30">
        <v>0</v>
      </c>
      <c r="H244" s="39">
        <v>0</v>
      </c>
    </row>
    <row r="245" spans="1:8" hidden="1" x14ac:dyDescent="0.35">
      <c r="A245" s="10" t="s">
        <v>172</v>
      </c>
      <c r="B245" s="11">
        <v>45809</v>
      </c>
      <c r="C245" s="3" t="s">
        <v>22</v>
      </c>
      <c r="D245" s="3" t="s">
        <v>11</v>
      </c>
      <c r="E245" s="3" t="str">
        <f>_xlfn.XLOOKUP(TabReceitas[[#This Row],[ID]],TabCondicoesComerciais[ID],TabCondicoesComerciais[Congênere],"Verificar")</f>
        <v>Ruff</v>
      </c>
      <c r="F245" s="3" t="s">
        <v>65</v>
      </c>
      <c r="G245" s="30">
        <v>0</v>
      </c>
      <c r="H245" s="39">
        <v>0</v>
      </c>
    </row>
    <row r="246" spans="1:8" hidden="1" x14ac:dyDescent="0.35">
      <c r="A246" s="10" t="s">
        <v>149</v>
      </c>
      <c r="B246" s="11">
        <v>45809</v>
      </c>
      <c r="C246" s="3" t="s">
        <v>23</v>
      </c>
      <c r="D246" s="3" t="s">
        <v>112</v>
      </c>
      <c r="E246" s="3" t="s">
        <v>113</v>
      </c>
      <c r="F246" s="3" t="s">
        <v>7</v>
      </c>
      <c r="G246" s="30">
        <v>0</v>
      </c>
      <c r="H246" s="39">
        <v>0</v>
      </c>
    </row>
    <row r="247" spans="1:8" hidden="1" x14ac:dyDescent="0.35">
      <c r="A247" s="10" t="s">
        <v>149</v>
      </c>
      <c r="B247" s="11">
        <v>45809</v>
      </c>
      <c r="C247" s="3" t="s">
        <v>23</v>
      </c>
      <c r="D247" s="3" t="s">
        <v>112</v>
      </c>
      <c r="E247" s="3" t="s">
        <v>113</v>
      </c>
      <c r="F247" s="3" t="s">
        <v>8</v>
      </c>
      <c r="G247" s="30">
        <v>0</v>
      </c>
      <c r="H247" s="39">
        <v>0</v>
      </c>
    </row>
    <row r="248" spans="1:8" hidden="1" x14ac:dyDescent="0.35">
      <c r="A248" s="10" t="s">
        <v>149</v>
      </c>
      <c r="B248" s="11">
        <v>45809</v>
      </c>
      <c r="C248" s="3" t="s">
        <v>23</v>
      </c>
      <c r="D248" s="3" t="s">
        <v>112</v>
      </c>
      <c r="E248" s="3" t="s">
        <v>113</v>
      </c>
      <c r="F248" s="3" t="s">
        <v>15</v>
      </c>
      <c r="G248" s="30">
        <v>0</v>
      </c>
      <c r="H248" s="39">
        <v>0</v>
      </c>
    </row>
    <row r="249" spans="1:8" hidden="1" x14ac:dyDescent="0.35">
      <c r="A249" s="10" t="s">
        <v>149</v>
      </c>
      <c r="B249" s="11">
        <v>45809</v>
      </c>
      <c r="C249" s="3" t="s">
        <v>23</v>
      </c>
      <c r="D249" s="3" t="s">
        <v>112</v>
      </c>
      <c r="E249" s="3" t="s">
        <v>113</v>
      </c>
      <c r="F249" s="3" t="s">
        <v>65</v>
      </c>
      <c r="G249" s="30">
        <v>0</v>
      </c>
      <c r="H249" s="39">
        <v>0</v>
      </c>
    </row>
    <row r="250" spans="1:8" hidden="1" x14ac:dyDescent="0.35">
      <c r="A250" s="10" t="s">
        <v>177</v>
      </c>
      <c r="B250" s="11">
        <v>45809</v>
      </c>
      <c r="C250" s="3" t="s">
        <v>46</v>
      </c>
      <c r="D250" s="3" t="s">
        <v>87</v>
      </c>
      <c r="E250" s="3" t="s">
        <v>9</v>
      </c>
      <c r="F250" s="3" t="s">
        <v>7</v>
      </c>
      <c r="G250" s="30">
        <v>0</v>
      </c>
      <c r="H250" s="39">
        <v>0</v>
      </c>
    </row>
    <row r="251" spans="1:8" hidden="1" x14ac:dyDescent="0.35">
      <c r="A251" s="10" t="s">
        <v>177</v>
      </c>
      <c r="B251" s="11">
        <v>45809</v>
      </c>
      <c r="C251" s="3" t="s">
        <v>46</v>
      </c>
      <c r="D251" s="3" t="s">
        <v>87</v>
      </c>
      <c r="E251" s="3" t="s">
        <v>9</v>
      </c>
      <c r="F251" s="3" t="s">
        <v>8</v>
      </c>
      <c r="G251" s="30">
        <v>0</v>
      </c>
      <c r="H251" s="39">
        <v>0</v>
      </c>
    </row>
    <row r="252" spans="1:8" hidden="1" x14ac:dyDescent="0.35">
      <c r="A252" s="10" t="s">
        <v>177</v>
      </c>
      <c r="B252" s="11">
        <v>45809</v>
      </c>
      <c r="C252" s="3" t="s">
        <v>46</v>
      </c>
      <c r="D252" s="3" t="s">
        <v>87</v>
      </c>
      <c r="E252" s="3" t="s">
        <v>9</v>
      </c>
      <c r="F252" s="3" t="s">
        <v>15</v>
      </c>
      <c r="G252" s="30">
        <v>65348.32</v>
      </c>
      <c r="H252" s="39">
        <v>1926</v>
      </c>
    </row>
    <row r="253" spans="1:8" hidden="1" x14ac:dyDescent="0.35">
      <c r="A253" s="10" t="s">
        <v>177</v>
      </c>
      <c r="B253" s="11">
        <v>45809</v>
      </c>
      <c r="C253" s="3" t="s">
        <v>46</v>
      </c>
      <c r="D253" s="3" t="s">
        <v>87</v>
      </c>
      <c r="E253" s="3" t="s">
        <v>9</v>
      </c>
      <c r="F253" s="3" t="s">
        <v>65</v>
      </c>
      <c r="G253" s="30">
        <v>0</v>
      </c>
      <c r="H253" s="39">
        <v>0</v>
      </c>
    </row>
    <row r="254" spans="1:8" hidden="1" x14ac:dyDescent="0.35">
      <c r="A254" s="10" t="s">
        <v>169</v>
      </c>
      <c r="B254" s="11">
        <v>45717</v>
      </c>
      <c r="C254" s="3" t="s">
        <v>25</v>
      </c>
      <c r="D254" s="3" t="s">
        <v>12</v>
      </c>
      <c r="E254" s="3" t="str">
        <f>_xlfn.XLOOKUP(TabReceitas[[#This Row],[ID]],TabCondicoesComerciais[ID],TabCondicoesComerciais[Congênere],"Verificar")</f>
        <v>Sim Distribuidora</v>
      </c>
      <c r="F254" s="3" t="s">
        <v>65</v>
      </c>
      <c r="G254" s="30">
        <v>0</v>
      </c>
      <c r="H254" s="30">
        <v>0</v>
      </c>
    </row>
    <row r="255" spans="1:8" hidden="1" x14ac:dyDescent="0.35">
      <c r="A255" s="10" t="s">
        <v>166</v>
      </c>
      <c r="B255" s="11">
        <v>45748</v>
      </c>
      <c r="C255" s="3" t="s">
        <v>25</v>
      </c>
      <c r="D255" s="3" t="s">
        <v>12</v>
      </c>
      <c r="E255" s="3" t="s">
        <v>9</v>
      </c>
      <c r="F255" s="3" t="s">
        <v>7</v>
      </c>
      <c r="G255" s="30">
        <v>0</v>
      </c>
      <c r="H255" s="39">
        <v>0</v>
      </c>
    </row>
    <row r="256" spans="1:8" hidden="1" x14ac:dyDescent="0.35">
      <c r="A256" s="10" t="s">
        <v>166</v>
      </c>
      <c r="B256" s="11">
        <v>45748</v>
      </c>
      <c r="C256" s="3" t="s">
        <v>25</v>
      </c>
      <c r="D256" s="3" t="s">
        <v>12</v>
      </c>
      <c r="E256" s="3" t="s">
        <v>9</v>
      </c>
      <c r="F256" s="3" t="s">
        <v>8</v>
      </c>
      <c r="G256" s="30">
        <v>0</v>
      </c>
      <c r="H256" s="39">
        <v>0</v>
      </c>
    </row>
    <row r="257" spans="1:8" hidden="1" x14ac:dyDescent="0.35">
      <c r="A257" s="10" t="s">
        <v>166</v>
      </c>
      <c r="B257" s="11">
        <v>45748</v>
      </c>
      <c r="C257" s="3" t="s">
        <v>25</v>
      </c>
      <c r="D257" s="3" t="s">
        <v>12</v>
      </c>
      <c r="E257" s="3" t="s">
        <v>9</v>
      </c>
      <c r="F257" s="3" t="s">
        <v>15</v>
      </c>
      <c r="G257" s="30">
        <v>164947.60916666666</v>
      </c>
      <c r="H257" s="39">
        <v>6100</v>
      </c>
    </row>
    <row r="258" spans="1:8" hidden="1" x14ac:dyDescent="0.35">
      <c r="A258" s="10" t="s">
        <v>134</v>
      </c>
      <c r="B258" s="11">
        <v>45809</v>
      </c>
      <c r="C258" s="3" t="s">
        <v>57</v>
      </c>
      <c r="D258" s="3" t="s">
        <v>58</v>
      </c>
      <c r="E258" s="3" t="s">
        <v>10</v>
      </c>
      <c r="F258" s="3" t="s">
        <v>7</v>
      </c>
      <c r="G258" s="30">
        <v>0</v>
      </c>
      <c r="H258" s="39">
        <v>0</v>
      </c>
    </row>
    <row r="259" spans="1:8" hidden="1" x14ac:dyDescent="0.35">
      <c r="A259" s="10" t="s">
        <v>134</v>
      </c>
      <c r="B259" s="11">
        <v>45809</v>
      </c>
      <c r="C259" s="3" t="s">
        <v>57</v>
      </c>
      <c r="D259" s="3" t="s">
        <v>58</v>
      </c>
      <c r="E259" s="3" t="s">
        <v>10</v>
      </c>
      <c r="F259" s="3" t="s">
        <v>8</v>
      </c>
      <c r="G259" s="30">
        <v>0</v>
      </c>
      <c r="H259" s="39">
        <v>0</v>
      </c>
    </row>
    <row r="260" spans="1:8" hidden="1" x14ac:dyDescent="0.35">
      <c r="A260" s="10" t="s">
        <v>134</v>
      </c>
      <c r="B260" s="11">
        <v>45809</v>
      </c>
      <c r="C260" s="3" t="s">
        <v>57</v>
      </c>
      <c r="D260" s="3" t="s">
        <v>58</v>
      </c>
      <c r="E260" s="3" t="s">
        <v>10</v>
      </c>
      <c r="F260" s="3" t="s">
        <v>15</v>
      </c>
      <c r="G260" s="30">
        <v>35019.49</v>
      </c>
      <c r="H260" s="39">
        <v>1100</v>
      </c>
    </row>
    <row r="261" spans="1:8" hidden="1" x14ac:dyDescent="0.35">
      <c r="A261" s="10" t="s">
        <v>134</v>
      </c>
      <c r="B261" s="11">
        <v>45809</v>
      </c>
      <c r="C261" s="3" t="s">
        <v>57</v>
      </c>
      <c r="D261" s="3" t="s">
        <v>58</v>
      </c>
      <c r="E261" s="3" t="s">
        <v>10</v>
      </c>
      <c r="F261" s="3" t="s">
        <v>65</v>
      </c>
      <c r="G261" s="30">
        <v>0</v>
      </c>
      <c r="H261" s="39">
        <v>0</v>
      </c>
    </row>
    <row r="262" spans="1:8" hidden="1" x14ac:dyDescent="0.35">
      <c r="A262" s="3">
        <v>20105</v>
      </c>
      <c r="B262" s="11">
        <v>45809</v>
      </c>
      <c r="C262" s="3" t="s">
        <v>26</v>
      </c>
      <c r="D262" s="3" t="s">
        <v>19</v>
      </c>
      <c r="E262" s="3" t="s">
        <v>13</v>
      </c>
      <c r="F262" s="3" t="s">
        <v>7</v>
      </c>
      <c r="G262" s="30">
        <v>0</v>
      </c>
      <c r="H262" s="39">
        <v>0</v>
      </c>
    </row>
    <row r="263" spans="1:8" hidden="1" x14ac:dyDescent="0.35">
      <c r="A263" s="3">
        <v>20105</v>
      </c>
      <c r="B263" s="11">
        <v>45809</v>
      </c>
      <c r="C263" s="3" t="s">
        <v>26</v>
      </c>
      <c r="D263" s="3" t="s">
        <v>19</v>
      </c>
      <c r="E263" s="3" t="s">
        <v>13</v>
      </c>
      <c r="F263" s="3" t="s">
        <v>8</v>
      </c>
      <c r="G263" s="30">
        <v>0</v>
      </c>
      <c r="H263" s="39">
        <v>0</v>
      </c>
    </row>
    <row r="264" spans="1:8" hidden="1" x14ac:dyDescent="0.35">
      <c r="A264" s="3">
        <v>20105</v>
      </c>
      <c r="B264" s="11">
        <v>45809</v>
      </c>
      <c r="C264" s="3" t="s">
        <v>26</v>
      </c>
      <c r="D264" s="3" t="s">
        <v>19</v>
      </c>
      <c r="E264" s="3" t="s">
        <v>13</v>
      </c>
      <c r="F264" s="3" t="s">
        <v>15</v>
      </c>
      <c r="G264" s="30">
        <v>15310.52</v>
      </c>
      <c r="H264" s="53">
        <v>510</v>
      </c>
    </row>
    <row r="265" spans="1:8" hidden="1" x14ac:dyDescent="0.35">
      <c r="A265" s="3">
        <v>20105</v>
      </c>
      <c r="B265" s="11">
        <v>45809</v>
      </c>
      <c r="C265" s="3" t="s">
        <v>26</v>
      </c>
      <c r="D265" s="3" t="s">
        <v>19</v>
      </c>
      <c r="E265" s="3" t="s">
        <v>13</v>
      </c>
      <c r="F265" s="3" t="s">
        <v>65</v>
      </c>
      <c r="G265" s="30">
        <v>0</v>
      </c>
      <c r="H265" s="39">
        <v>0</v>
      </c>
    </row>
    <row r="266" spans="1:8" hidden="1" x14ac:dyDescent="0.35">
      <c r="A266" s="10" t="s">
        <v>142</v>
      </c>
      <c r="B266" s="11">
        <v>45839</v>
      </c>
      <c r="C266" s="3" t="s">
        <v>48</v>
      </c>
      <c r="D266" s="3" t="s">
        <v>49</v>
      </c>
      <c r="E266" s="3" t="s">
        <v>52</v>
      </c>
      <c r="F266" s="3" t="s">
        <v>7</v>
      </c>
      <c r="G266" s="30">
        <v>0</v>
      </c>
      <c r="H266" s="39">
        <v>0</v>
      </c>
    </row>
    <row r="267" spans="1:8" hidden="1" x14ac:dyDescent="0.35">
      <c r="A267" s="10" t="s">
        <v>142</v>
      </c>
      <c r="B267" s="11">
        <v>45839</v>
      </c>
      <c r="C267" s="3" t="s">
        <v>48</v>
      </c>
      <c r="D267" s="3" t="s">
        <v>49</v>
      </c>
      <c r="E267" s="3" t="s">
        <v>52</v>
      </c>
      <c r="F267" s="3" t="s">
        <v>8</v>
      </c>
      <c r="G267" s="30">
        <v>0</v>
      </c>
      <c r="H267" s="39">
        <v>0</v>
      </c>
    </row>
    <row r="268" spans="1:8" hidden="1" x14ac:dyDescent="0.35">
      <c r="A268" s="10" t="s">
        <v>142</v>
      </c>
      <c r="B268" s="11">
        <v>45839</v>
      </c>
      <c r="C268" s="3" t="s">
        <v>48</v>
      </c>
      <c r="D268" s="3" t="s">
        <v>49</v>
      </c>
      <c r="E268" s="3" t="s">
        <v>52</v>
      </c>
      <c r="F268" s="3" t="s">
        <v>15</v>
      </c>
      <c r="G268" s="30">
        <v>89789.370062370057</v>
      </c>
      <c r="H268" s="39">
        <v>2040</v>
      </c>
    </row>
    <row r="269" spans="1:8" hidden="1" x14ac:dyDescent="0.35">
      <c r="A269" s="10" t="s">
        <v>142</v>
      </c>
      <c r="B269" s="11">
        <v>45839</v>
      </c>
      <c r="C269" s="3" t="s">
        <v>48</v>
      </c>
      <c r="D269" s="3" t="s">
        <v>49</v>
      </c>
      <c r="E269" s="3" t="s">
        <v>52</v>
      </c>
      <c r="F269" s="3" t="s">
        <v>65</v>
      </c>
      <c r="G269" s="30">
        <v>0</v>
      </c>
      <c r="H269" s="39">
        <v>0</v>
      </c>
    </row>
    <row r="270" spans="1:8" hidden="1" x14ac:dyDescent="0.35">
      <c r="A270" s="10" t="s">
        <v>139</v>
      </c>
      <c r="B270" s="11">
        <v>45839</v>
      </c>
      <c r="C270" s="3" t="s">
        <v>48</v>
      </c>
      <c r="D270" s="3" t="s">
        <v>49</v>
      </c>
      <c r="E270" s="3" t="s">
        <v>14</v>
      </c>
      <c r="F270" s="3" t="s">
        <v>7</v>
      </c>
      <c r="G270" s="30">
        <v>0</v>
      </c>
      <c r="H270" s="39">
        <v>0</v>
      </c>
    </row>
    <row r="271" spans="1:8" hidden="1" x14ac:dyDescent="0.35">
      <c r="A271" s="10" t="s">
        <v>139</v>
      </c>
      <c r="B271" s="11">
        <v>45839</v>
      </c>
      <c r="C271" s="3" t="s">
        <v>48</v>
      </c>
      <c r="D271" s="3" t="s">
        <v>49</v>
      </c>
      <c r="E271" s="3" t="s">
        <v>14</v>
      </c>
      <c r="F271" s="3" t="s">
        <v>8</v>
      </c>
      <c r="G271" s="30">
        <v>0</v>
      </c>
      <c r="H271" s="39">
        <v>0</v>
      </c>
    </row>
    <row r="272" spans="1:8" hidden="1" x14ac:dyDescent="0.35">
      <c r="A272" s="10" t="s">
        <v>139</v>
      </c>
      <c r="B272" s="11">
        <v>45839</v>
      </c>
      <c r="C272" s="3" t="s">
        <v>48</v>
      </c>
      <c r="D272" s="3" t="s">
        <v>49</v>
      </c>
      <c r="E272" s="3" t="s">
        <v>14</v>
      </c>
      <c r="F272" s="3" t="s">
        <v>15</v>
      </c>
      <c r="G272" s="30">
        <v>17995.57</v>
      </c>
      <c r="H272" s="63">
        <v>936</v>
      </c>
    </row>
    <row r="273" spans="1:8" hidden="1" x14ac:dyDescent="0.35">
      <c r="A273" s="10" t="s">
        <v>139</v>
      </c>
      <c r="B273" s="11">
        <v>45839</v>
      </c>
      <c r="C273" s="3" t="s">
        <v>48</v>
      </c>
      <c r="D273" s="3" t="s">
        <v>49</v>
      </c>
      <c r="E273" s="3" t="s">
        <v>14</v>
      </c>
      <c r="F273" s="3" t="s">
        <v>65</v>
      </c>
      <c r="G273" s="30">
        <v>0</v>
      </c>
      <c r="H273" s="39">
        <v>0</v>
      </c>
    </row>
    <row r="274" spans="1:8" hidden="1" x14ac:dyDescent="0.35">
      <c r="A274" s="10" t="s">
        <v>25</v>
      </c>
      <c r="B274" s="11">
        <v>45839</v>
      </c>
      <c r="C274" s="3" t="s">
        <v>48</v>
      </c>
      <c r="D274" s="3" t="s">
        <v>49</v>
      </c>
      <c r="E274" s="3" t="s">
        <v>116</v>
      </c>
      <c r="F274" s="3" t="s">
        <v>7</v>
      </c>
      <c r="G274" s="30">
        <v>0</v>
      </c>
      <c r="H274" s="39">
        <v>0</v>
      </c>
    </row>
    <row r="275" spans="1:8" hidden="1" x14ac:dyDescent="0.35">
      <c r="A275" s="10" t="s">
        <v>25</v>
      </c>
      <c r="B275" s="11">
        <v>45839</v>
      </c>
      <c r="C275" s="3" t="s">
        <v>48</v>
      </c>
      <c r="D275" s="3" t="s">
        <v>49</v>
      </c>
      <c r="E275" s="3" t="s">
        <v>116</v>
      </c>
      <c r="F275" s="3" t="s">
        <v>8</v>
      </c>
      <c r="G275" s="30">
        <v>0</v>
      </c>
      <c r="H275" s="39">
        <v>0</v>
      </c>
    </row>
    <row r="276" spans="1:8" hidden="1" x14ac:dyDescent="0.35">
      <c r="A276" s="10" t="s">
        <v>25</v>
      </c>
      <c r="B276" s="11">
        <v>45839</v>
      </c>
      <c r="C276" s="3" t="s">
        <v>48</v>
      </c>
      <c r="D276" s="3" t="s">
        <v>49</v>
      </c>
      <c r="E276" s="3" t="s">
        <v>116</v>
      </c>
      <c r="F276" s="3" t="s">
        <v>15</v>
      </c>
      <c r="G276" s="30">
        <v>0</v>
      </c>
      <c r="H276" s="39">
        <v>0</v>
      </c>
    </row>
    <row r="277" spans="1:8" hidden="1" x14ac:dyDescent="0.35">
      <c r="A277" s="10" t="s">
        <v>25</v>
      </c>
      <c r="B277" s="11">
        <v>45839</v>
      </c>
      <c r="C277" s="3" t="s">
        <v>48</v>
      </c>
      <c r="D277" s="3" t="s">
        <v>49</v>
      </c>
      <c r="E277" s="3" t="s">
        <v>116</v>
      </c>
      <c r="F277" s="3" t="s">
        <v>65</v>
      </c>
      <c r="G277" s="30">
        <v>0</v>
      </c>
      <c r="H277" s="39">
        <v>0</v>
      </c>
    </row>
    <row r="278" spans="1:8" hidden="1" x14ac:dyDescent="0.35">
      <c r="A278" s="10" t="s">
        <v>102</v>
      </c>
      <c r="B278" s="11">
        <v>45839</v>
      </c>
      <c r="C278" s="3" t="s">
        <v>48</v>
      </c>
      <c r="D278" s="3" t="s">
        <v>49</v>
      </c>
      <c r="E278" s="3" t="s">
        <v>51</v>
      </c>
      <c r="F278" s="3" t="s">
        <v>7</v>
      </c>
      <c r="G278" s="30">
        <v>0</v>
      </c>
      <c r="H278" s="39">
        <v>0</v>
      </c>
    </row>
    <row r="279" spans="1:8" hidden="1" x14ac:dyDescent="0.35">
      <c r="A279" s="10" t="s">
        <v>102</v>
      </c>
      <c r="B279" s="11">
        <v>45839</v>
      </c>
      <c r="C279" s="3" t="s">
        <v>48</v>
      </c>
      <c r="D279" s="3" t="s">
        <v>49</v>
      </c>
      <c r="E279" s="3" t="s">
        <v>51</v>
      </c>
      <c r="F279" s="3" t="s">
        <v>8</v>
      </c>
      <c r="G279" s="30">
        <v>0</v>
      </c>
      <c r="H279" s="39">
        <v>0</v>
      </c>
    </row>
    <row r="280" spans="1:8" hidden="1" x14ac:dyDescent="0.35">
      <c r="A280" s="10" t="s">
        <v>102</v>
      </c>
      <c r="B280" s="11">
        <v>45839</v>
      </c>
      <c r="C280" s="3" t="s">
        <v>48</v>
      </c>
      <c r="D280" s="3" t="s">
        <v>49</v>
      </c>
      <c r="E280" s="3" t="s">
        <v>51</v>
      </c>
      <c r="F280" s="3" t="s">
        <v>15</v>
      </c>
      <c r="G280" s="30">
        <v>0</v>
      </c>
      <c r="H280" s="39">
        <v>0</v>
      </c>
    </row>
    <row r="281" spans="1:8" hidden="1" x14ac:dyDescent="0.35">
      <c r="A281" s="10" t="s">
        <v>102</v>
      </c>
      <c r="B281" s="11">
        <v>45839</v>
      </c>
      <c r="C281" s="3" t="s">
        <v>48</v>
      </c>
      <c r="D281" s="3" t="s">
        <v>49</v>
      </c>
      <c r="E281" s="3" t="s">
        <v>51</v>
      </c>
      <c r="F281" s="3" t="s">
        <v>65</v>
      </c>
      <c r="G281" s="30">
        <v>0</v>
      </c>
      <c r="H281" s="39">
        <v>0</v>
      </c>
    </row>
    <row r="282" spans="1:8" hidden="1" x14ac:dyDescent="0.35">
      <c r="A282" s="10" t="s">
        <v>190</v>
      </c>
      <c r="B282" s="11">
        <v>45839</v>
      </c>
      <c r="C282" s="3" t="s">
        <v>22</v>
      </c>
      <c r="D282" s="3" t="s">
        <v>11</v>
      </c>
      <c r="E282" s="3" t="str">
        <f>_xlfn.XLOOKUP(TabReceitas[[#This Row],[ID]],TabCondicoesComerciais[ID],TabCondicoesComerciais[Congênere],"Verificar")</f>
        <v>Rede Sol</v>
      </c>
      <c r="F282" s="3" t="s">
        <v>7</v>
      </c>
      <c r="G282" s="30">
        <v>0</v>
      </c>
      <c r="H282" s="39">
        <v>0</v>
      </c>
    </row>
    <row r="283" spans="1:8" hidden="1" x14ac:dyDescent="0.35">
      <c r="A283" s="10" t="s">
        <v>190</v>
      </c>
      <c r="B283" s="11">
        <v>45839</v>
      </c>
      <c r="C283" s="3" t="s">
        <v>22</v>
      </c>
      <c r="D283" s="3" t="s">
        <v>11</v>
      </c>
      <c r="E283" s="3" t="str">
        <f>_xlfn.XLOOKUP(TabReceitas[[#This Row],[ID]],TabCondicoesComerciais[ID],TabCondicoesComerciais[Congênere],"Verificar")</f>
        <v>Rede Sol</v>
      </c>
      <c r="F283" s="3" t="s">
        <v>8</v>
      </c>
      <c r="G283" s="30">
        <v>0</v>
      </c>
      <c r="H283" s="39">
        <v>0</v>
      </c>
    </row>
    <row r="284" spans="1:8" hidden="1" x14ac:dyDescent="0.35">
      <c r="A284" s="10" t="s">
        <v>190</v>
      </c>
      <c r="B284" s="11">
        <v>45839</v>
      </c>
      <c r="C284" s="3" t="s">
        <v>22</v>
      </c>
      <c r="D284" s="3" t="s">
        <v>11</v>
      </c>
      <c r="E284" s="3" t="str">
        <f>_xlfn.XLOOKUP(TabReceitas[[#This Row],[ID]],TabCondicoesComerciais[ID],TabCondicoesComerciais[Congênere],"Verificar")</f>
        <v>Rede Sol</v>
      </c>
      <c r="F284" s="3" t="s">
        <v>15</v>
      </c>
      <c r="G284" s="30">
        <v>0</v>
      </c>
      <c r="H284" s="39">
        <v>0</v>
      </c>
    </row>
    <row r="285" spans="1:8" hidden="1" x14ac:dyDescent="0.35">
      <c r="A285" s="10" t="s">
        <v>190</v>
      </c>
      <c r="B285" s="11">
        <v>45839</v>
      </c>
      <c r="C285" s="3" t="s">
        <v>22</v>
      </c>
      <c r="D285" s="3" t="s">
        <v>11</v>
      </c>
      <c r="E285" s="3" t="str">
        <f>_xlfn.XLOOKUP(TabReceitas[[#This Row],[ID]],TabCondicoesComerciais[ID],TabCondicoesComerciais[Congênere],"Verificar")</f>
        <v>Rede Sol</v>
      </c>
      <c r="F285" s="3" t="s">
        <v>65</v>
      </c>
      <c r="G285" s="30">
        <v>0</v>
      </c>
      <c r="H285" s="39">
        <v>0</v>
      </c>
    </row>
    <row r="286" spans="1:8" hidden="1" x14ac:dyDescent="0.35">
      <c r="A286" s="10" t="s">
        <v>172</v>
      </c>
      <c r="B286" s="11">
        <v>45839</v>
      </c>
      <c r="C286" s="3" t="s">
        <v>22</v>
      </c>
      <c r="D286" s="3" t="s">
        <v>11</v>
      </c>
      <c r="E286" s="3" t="str">
        <f>_xlfn.XLOOKUP(TabReceitas[[#This Row],[ID]],TabCondicoesComerciais[ID],TabCondicoesComerciais[Congênere],"Verificar")</f>
        <v>Ruff</v>
      </c>
      <c r="F286" s="3" t="s">
        <v>7</v>
      </c>
      <c r="G286" s="30">
        <v>0</v>
      </c>
      <c r="H286" s="39">
        <v>0</v>
      </c>
    </row>
    <row r="287" spans="1:8" hidden="1" x14ac:dyDescent="0.35">
      <c r="A287" s="10" t="s">
        <v>172</v>
      </c>
      <c r="B287" s="11">
        <v>45839</v>
      </c>
      <c r="C287" s="3" t="s">
        <v>22</v>
      </c>
      <c r="D287" s="3" t="s">
        <v>11</v>
      </c>
      <c r="E287" s="3" t="str">
        <f>_xlfn.XLOOKUP(TabReceitas[[#This Row],[ID]],TabCondicoesComerciais[ID],TabCondicoesComerciais[Congênere],"Verificar")</f>
        <v>Ruff</v>
      </c>
      <c r="F287" s="3" t="s">
        <v>8</v>
      </c>
      <c r="G287" s="30">
        <v>0</v>
      </c>
      <c r="H287" s="39">
        <v>0</v>
      </c>
    </row>
    <row r="288" spans="1:8" hidden="1" x14ac:dyDescent="0.35">
      <c r="A288" s="10" t="s">
        <v>172</v>
      </c>
      <c r="B288" s="11">
        <v>45839</v>
      </c>
      <c r="C288" s="3" t="s">
        <v>22</v>
      </c>
      <c r="D288" s="3" t="s">
        <v>11</v>
      </c>
      <c r="E288" s="3" t="str">
        <f>_xlfn.XLOOKUP(TabReceitas[[#This Row],[ID]],TabCondicoesComerciais[ID],TabCondicoesComerciais[Congênere],"Verificar")</f>
        <v>Ruff</v>
      </c>
      <c r="F288" s="3" t="s">
        <v>15</v>
      </c>
      <c r="G288" s="30">
        <v>0</v>
      </c>
      <c r="H288" s="39">
        <v>0</v>
      </c>
    </row>
    <row r="289" spans="1:8" hidden="1" x14ac:dyDescent="0.35">
      <c r="A289" s="10" t="s">
        <v>172</v>
      </c>
      <c r="B289" s="11">
        <v>45839</v>
      </c>
      <c r="C289" s="3" t="s">
        <v>22</v>
      </c>
      <c r="D289" s="3" t="s">
        <v>11</v>
      </c>
      <c r="E289" s="3" t="str">
        <f>_xlfn.XLOOKUP(TabReceitas[[#This Row],[ID]],TabCondicoesComerciais[ID],TabCondicoesComerciais[Congênere],"Verificar")</f>
        <v>Ruff</v>
      </c>
      <c r="F289" s="3" t="s">
        <v>65</v>
      </c>
      <c r="G289" s="30">
        <v>0</v>
      </c>
      <c r="H289" s="39">
        <v>0</v>
      </c>
    </row>
    <row r="290" spans="1:8" hidden="1" x14ac:dyDescent="0.35">
      <c r="A290" s="10" t="s">
        <v>149</v>
      </c>
      <c r="B290" s="11">
        <v>45839</v>
      </c>
      <c r="C290" s="3" t="s">
        <v>23</v>
      </c>
      <c r="D290" s="3" t="s">
        <v>112</v>
      </c>
      <c r="E290" s="3" t="s">
        <v>113</v>
      </c>
      <c r="F290" s="3" t="s">
        <v>7</v>
      </c>
      <c r="G290" s="30">
        <v>0</v>
      </c>
      <c r="H290" s="39">
        <v>0</v>
      </c>
    </row>
    <row r="291" spans="1:8" hidden="1" x14ac:dyDescent="0.35">
      <c r="A291" s="10" t="s">
        <v>149</v>
      </c>
      <c r="B291" s="11">
        <v>45839</v>
      </c>
      <c r="C291" s="3" t="s">
        <v>23</v>
      </c>
      <c r="D291" s="3" t="s">
        <v>112</v>
      </c>
      <c r="E291" s="3" t="s">
        <v>113</v>
      </c>
      <c r="F291" s="3" t="s">
        <v>8</v>
      </c>
      <c r="G291" s="30">
        <v>0</v>
      </c>
      <c r="H291" s="39">
        <v>0</v>
      </c>
    </row>
    <row r="292" spans="1:8" hidden="1" x14ac:dyDescent="0.35">
      <c r="A292" s="10" t="s">
        <v>149</v>
      </c>
      <c r="B292" s="11">
        <v>45839</v>
      </c>
      <c r="C292" s="3" t="s">
        <v>23</v>
      </c>
      <c r="D292" s="3" t="s">
        <v>112</v>
      </c>
      <c r="E292" s="3" t="s">
        <v>113</v>
      </c>
      <c r="F292" s="3" t="s">
        <v>15</v>
      </c>
      <c r="G292" s="30">
        <v>0</v>
      </c>
      <c r="H292" s="39">
        <v>0</v>
      </c>
    </row>
    <row r="293" spans="1:8" hidden="1" x14ac:dyDescent="0.35">
      <c r="A293" s="10" t="s">
        <v>149</v>
      </c>
      <c r="B293" s="11">
        <v>45839</v>
      </c>
      <c r="C293" s="3" t="s">
        <v>23</v>
      </c>
      <c r="D293" s="3" t="s">
        <v>112</v>
      </c>
      <c r="E293" s="3" t="s">
        <v>113</v>
      </c>
      <c r="F293" s="3" t="s">
        <v>65</v>
      </c>
      <c r="G293" s="30">
        <v>0</v>
      </c>
      <c r="H293" s="39">
        <v>0</v>
      </c>
    </row>
    <row r="294" spans="1:8" hidden="1" x14ac:dyDescent="0.35">
      <c r="A294" s="10" t="s">
        <v>177</v>
      </c>
      <c r="B294" s="11">
        <v>45839</v>
      </c>
      <c r="C294" s="3" t="s">
        <v>46</v>
      </c>
      <c r="D294" s="3" t="s">
        <v>87</v>
      </c>
      <c r="E294" s="3" t="s">
        <v>9</v>
      </c>
      <c r="F294" s="3" t="s">
        <v>7</v>
      </c>
      <c r="G294" s="30">
        <v>0</v>
      </c>
      <c r="H294" s="39">
        <v>0</v>
      </c>
    </row>
    <row r="295" spans="1:8" hidden="1" x14ac:dyDescent="0.35">
      <c r="A295" s="10" t="s">
        <v>177</v>
      </c>
      <c r="B295" s="11">
        <v>45839</v>
      </c>
      <c r="C295" s="3" t="s">
        <v>46</v>
      </c>
      <c r="D295" s="3" t="s">
        <v>87</v>
      </c>
      <c r="E295" s="3" t="s">
        <v>9</v>
      </c>
      <c r="F295" s="3" t="s">
        <v>8</v>
      </c>
      <c r="G295" s="30">
        <v>0</v>
      </c>
      <c r="H295" s="39">
        <v>0</v>
      </c>
    </row>
    <row r="296" spans="1:8" hidden="1" x14ac:dyDescent="0.35">
      <c r="A296" s="10" t="s">
        <v>177</v>
      </c>
      <c r="B296" s="11">
        <v>45839</v>
      </c>
      <c r="C296" s="3" t="s">
        <v>46</v>
      </c>
      <c r="D296" s="3" t="s">
        <v>87</v>
      </c>
      <c r="E296" s="3" t="s">
        <v>9</v>
      </c>
      <c r="F296" s="3" t="s">
        <v>15</v>
      </c>
      <c r="G296" s="30">
        <v>65348.32</v>
      </c>
      <c r="H296" s="63">
        <v>1926</v>
      </c>
    </row>
    <row r="297" spans="1:8" hidden="1" x14ac:dyDescent="0.35">
      <c r="A297" s="10" t="s">
        <v>177</v>
      </c>
      <c r="B297" s="11">
        <v>45839</v>
      </c>
      <c r="C297" s="3" t="s">
        <v>46</v>
      </c>
      <c r="D297" s="3" t="s">
        <v>87</v>
      </c>
      <c r="E297" s="3" t="s">
        <v>9</v>
      </c>
      <c r="F297" s="3" t="s">
        <v>65</v>
      </c>
      <c r="G297" s="30">
        <v>0</v>
      </c>
      <c r="H297" s="39">
        <v>0</v>
      </c>
    </row>
    <row r="298" spans="1:8" hidden="1" x14ac:dyDescent="0.35">
      <c r="A298" s="10" t="s">
        <v>166</v>
      </c>
      <c r="B298" s="11">
        <v>45748</v>
      </c>
      <c r="C298" s="3" t="s">
        <v>25</v>
      </c>
      <c r="D298" s="3" t="s">
        <v>12</v>
      </c>
      <c r="E298" s="3" t="s">
        <v>9</v>
      </c>
      <c r="F298" s="3" t="s">
        <v>65</v>
      </c>
      <c r="G298" s="30">
        <v>0</v>
      </c>
      <c r="H298" s="39">
        <v>0</v>
      </c>
    </row>
    <row r="299" spans="1:8" hidden="1" x14ac:dyDescent="0.35">
      <c r="A299" s="10" t="s">
        <v>169</v>
      </c>
      <c r="B299" s="11">
        <v>45748</v>
      </c>
      <c r="C299" s="3" t="s">
        <v>25</v>
      </c>
      <c r="D299" s="3" t="s">
        <v>12</v>
      </c>
      <c r="E299" s="3" t="str">
        <f>_xlfn.XLOOKUP(TabReceitas[[#This Row],[ID]],TabCondicoesComerciais[ID],TabCondicoesComerciais[Congênere],"Verificar")</f>
        <v>Sim Distribuidora</v>
      </c>
      <c r="F299" s="3" t="s">
        <v>7</v>
      </c>
      <c r="G299" s="30">
        <v>0</v>
      </c>
      <c r="H299" s="30">
        <v>0</v>
      </c>
    </row>
    <row r="300" spans="1:8" hidden="1" x14ac:dyDescent="0.35">
      <c r="A300" s="10" t="s">
        <v>169</v>
      </c>
      <c r="B300" s="11">
        <v>45748</v>
      </c>
      <c r="C300" s="3" t="s">
        <v>25</v>
      </c>
      <c r="D300" s="3" t="s">
        <v>12</v>
      </c>
      <c r="E300" s="3" t="str">
        <f>_xlfn.XLOOKUP(TabReceitas[[#This Row],[ID]],TabCondicoesComerciais[ID],TabCondicoesComerciais[Congênere],"Verificar")</f>
        <v>Sim Distribuidora</v>
      </c>
      <c r="F300" s="3" t="s">
        <v>8</v>
      </c>
      <c r="G300" s="30">
        <v>0</v>
      </c>
      <c r="H300" s="30">
        <v>0</v>
      </c>
    </row>
    <row r="301" spans="1:8" hidden="1" x14ac:dyDescent="0.35">
      <c r="A301" s="10" t="s">
        <v>169</v>
      </c>
      <c r="B301" s="11">
        <v>45748</v>
      </c>
      <c r="C301" s="3" t="s">
        <v>25</v>
      </c>
      <c r="D301" s="3" t="s">
        <v>12</v>
      </c>
      <c r="E301" s="3" t="str">
        <f>_xlfn.XLOOKUP(TabReceitas[[#This Row],[ID]],TabCondicoesComerciais[ID],TabCondicoesComerciais[Congênere],"Verificar")</f>
        <v>Sim Distribuidora</v>
      </c>
      <c r="F301" s="3" t="s">
        <v>15</v>
      </c>
      <c r="G301" s="30">
        <v>0</v>
      </c>
      <c r="H301" s="30">
        <v>0</v>
      </c>
    </row>
    <row r="302" spans="1:8" hidden="1" x14ac:dyDescent="0.35">
      <c r="A302" s="10" t="s">
        <v>134</v>
      </c>
      <c r="B302" s="11">
        <v>45839</v>
      </c>
      <c r="C302" s="3" t="s">
        <v>57</v>
      </c>
      <c r="D302" s="3" t="s">
        <v>58</v>
      </c>
      <c r="E302" s="3" t="s">
        <v>10</v>
      </c>
      <c r="F302" s="3" t="s">
        <v>7</v>
      </c>
      <c r="G302" s="30">
        <v>0</v>
      </c>
      <c r="H302" s="39">
        <v>0</v>
      </c>
    </row>
    <row r="303" spans="1:8" hidden="1" x14ac:dyDescent="0.35">
      <c r="A303" s="10" t="s">
        <v>134</v>
      </c>
      <c r="B303" s="11">
        <v>45839</v>
      </c>
      <c r="C303" s="3" t="s">
        <v>57</v>
      </c>
      <c r="D303" s="3" t="s">
        <v>58</v>
      </c>
      <c r="E303" s="3" t="s">
        <v>10</v>
      </c>
      <c r="F303" s="3" t="s">
        <v>8</v>
      </c>
      <c r="G303" s="30">
        <v>0</v>
      </c>
      <c r="H303" s="39">
        <v>0</v>
      </c>
    </row>
    <row r="304" spans="1:8" hidden="1" x14ac:dyDescent="0.35">
      <c r="A304" s="10" t="s">
        <v>134</v>
      </c>
      <c r="B304" s="11">
        <v>45839</v>
      </c>
      <c r="C304" s="3" t="s">
        <v>57</v>
      </c>
      <c r="D304" s="3" t="s">
        <v>58</v>
      </c>
      <c r="E304" s="3" t="s">
        <v>10</v>
      </c>
      <c r="F304" s="3" t="s">
        <v>15</v>
      </c>
      <c r="G304" s="30">
        <v>35019.49</v>
      </c>
      <c r="H304" s="39">
        <v>1100</v>
      </c>
    </row>
    <row r="305" spans="1:8" hidden="1" x14ac:dyDescent="0.35">
      <c r="A305" s="10" t="s">
        <v>134</v>
      </c>
      <c r="B305" s="11">
        <v>45839</v>
      </c>
      <c r="C305" s="3" t="s">
        <v>57</v>
      </c>
      <c r="D305" s="3" t="s">
        <v>58</v>
      </c>
      <c r="E305" s="3" t="s">
        <v>10</v>
      </c>
      <c r="F305" s="3" t="s">
        <v>65</v>
      </c>
      <c r="G305" s="30">
        <v>0</v>
      </c>
      <c r="H305" s="39">
        <v>0</v>
      </c>
    </row>
    <row r="306" spans="1:8" hidden="1" x14ac:dyDescent="0.35">
      <c r="A306" s="3">
        <v>20105</v>
      </c>
      <c r="B306" s="11">
        <v>45839</v>
      </c>
      <c r="C306" s="3" t="s">
        <v>26</v>
      </c>
      <c r="D306" s="3" t="s">
        <v>19</v>
      </c>
      <c r="E306" s="3" t="s">
        <v>13</v>
      </c>
      <c r="F306" s="3" t="s">
        <v>7</v>
      </c>
      <c r="G306" s="30">
        <v>0</v>
      </c>
      <c r="H306" s="39">
        <v>0</v>
      </c>
    </row>
    <row r="307" spans="1:8" hidden="1" x14ac:dyDescent="0.35">
      <c r="A307" s="3">
        <v>20105</v>
      </c>
      <c r="B307" s="11">
        <v>45839</v>
      </c>
      <c r="C307" s="3" t="s">
        <v>26</v>
      </c>
      <c r="D307" s="3" t="s">
        <v>19</v>
      </c>
      <c r="E307" s="3" t="s">
        <v>13</v>
      </c>
      <c r="F307" s="3" t="s">
        <v>8</v>
      </c>
      <c r="G307" s="30">
        <v>0</v>
      </c>
      <c r="H307" s="39">
        <v>0</v>
      </c>
    </row>
    <row r="308" spans="1:8" hidden="1" x14ac:dyDescent="0.35">
      <c r="A308" s="3">
        <v>20105</v>
      </c>
      <c r="B308" s="11">
        <v>45839</v>
      </c>
      <c r="C308" s="3" t="s">
        <v>26</v>
      </c>
      <c r="D308" s="3" t="s">
        <v>19</v>
      </c>
      <c r="E308" s="3" t="s">
        <v>13</v>
      </c>
      <c r="F308" s="3" t="s">
        <v>15</v>
      </c>
      <c r="G308" s="30">
        <v>15310.52</v>
      </c>
      <c r="H308" s="39">
        <v>510</v>
      </c>
    </row>
    <row r="309" spans="1:8" hidden="1" x14ac:dyDescent="0.35">
      <c r="A309" s="3">
        <v>20105</v>
      </c>
      <c r="B309" s="11">
        <v>45839</v>
      </c>
      <c r="C309" s="3" t="s">
        <v>26</v>
      </c>
      <c r="D309" s="3" t="s">
        <v>19</v>
      </c>
      <c r="E309" s="3" t="s">
        <v>13</v>
      </c>
      <c r="F309" s="3" t="s">
        <v>65</v>
      </c>
      <c r="G309" s="30">
        <v>0</v>
      </c>
      <c r="H309" s="39">
        <v>0</v>
      </c>
    </row>
    <row r="310" spans="1:8" hidden="1" x14ac:dyDescent="0.35">
      <c r="A310" s="10" t="s">
        <v>142</v>
      </c>
      <c r="B310" s="11">
        <v>45870</v>
      </c>
      <c r="C310" s="3" t="s">
        <v>48</v>
      </c>
      <c r="D310" s="3" t="s">
        <v>49</v>
      </c>
      <c r="E310" s="3" t="s">
        <v>52</v>
      </c>
      <c r="F310" s="3" t="s">
        <v>7</v>
      </c>
      <c r="G310" s="30">
        <v>0</v>
      </c>
      <c r="H310" s="39">
        <v>0</v>
      </c>
    </row>
    <row r="311" spans="1:8" hidden="1" x14ac:dyDescent="0.35">
      <c r="A311" s="10" t="s">
        <v>142</v>
      </c>
      <c r="B311" s="11">
        <v>45870</v>
      </c>
      <c r="C311" s="3" t="s">
        <v>48</v>
      </c>
      <c r="D311" s="3" t="s">
        <v>49</v>
      </c>
      <c r="E311" s="3" t="s">
        <v>52</v>
      </c>
      <c r="F311" s="3" t="s">
        <v>8</v>
      </c>
      <c r="G311" s="30">
        <v>0</v>
      </c>
      <c r="H311" s="39">
        <v>0</v>
      </c>
    </row>
    <row r="312" spans="1:8" hidden="1" x14ac:dyDescent="0.35">
      <c r="A312" s="10" t="s">
        <v>142</v>
      </c>
      <c r="B312" s="11">
        <v>45870</v>
      </c>
      <c r="C312" s="3" t="s">
        <v>48</v>
      </c>
      <c r="D312" s="3" t="s">
        <v>49</v>
      </c>
      <c r="E312" s="3" t="s">
        <v>52</v>
      </c>
      <c r="F312" s="3" t="s">
        <v>15</v>
      </c>
      <c r="G312" s="30">
        <v>89789.370062370057</v>
      </c>
      <c r="H312" s="39">
        <v>2040</v>
      </c>
    </row>
    <row r="313" spans="1:8" hidden="1" x14ac:dyDescent="0.35">
      <c r="A313" s="10" t="s">
        <v>142</v>
      </c>
      <c r="B313" s="11">
        <v>45870</v>
      </c>
      <c r="C313" s="3" t="s">
        <v>48</v>
      </c>
      <c r="D313" s="3" t="s">
        <v>49</v>
      </c>
      <c r="E313" s="3" t="s">
        <v>52</v>
      </c>
      <c r="F313" s="3" t="s">
        <v>65</v>
      </c>
      <c r="G313" s="30">
        <v>0</v>
      </c>
      <c r="H313" s="39">
        <v>0</v>
      </c>
    </row>
    <row r="314" spans="1:8" hidden="1" x14ac:dyDescent="0.35">
      <c r="A314" s="10" t="s">
        <v>139</v>
      </c>
      <c r="B314" s="11">
        <v>45870</v>
      </c>
      <c r="C314" s="3" t="s">
        <v>48</v>
      </c>
      <c r="D314" s="3" t="s">
        <v>49</v>
      </c>
      <c r="E314" s="3" t="s">
        <v>14</v>
      </c>
      <c r="F314" s="3" t="s">
        <v>7</v>
      </c>
      <c r="G314" s="30">
        <v>0</v>
      </c>
      <c r="H314" s="39">
        <v>0</v>
      </c>
    </row>
    <row r="315" spans="1:8" hidden="1" x14ac:dyDescent="0.35">
      <c r="A315" s="10" t="s">
        <v>139</v>
      </c>
      <c r="B315" s="11">
        <v>45870</v>
      </c>
      <c r="C315" s="3" t="s">
        <v>48</v>
      </c>
      <c r="D315" s="3" t="s">
        <v>49</v>
      </c>
      <c r="E315" s="3" t="s">
        <v>14</v>
      </c>
      <c r="F315" s="3" t="s">
        <v>8</v>
      </c>
      <c r="G315" s="30">
        <v>0</v>
      </c>
      <c r="H315" s="39">
        <v>0</v>
      </c>
    </row>
    <row r="316" spans="1:8" hidden="1" x14ac:dyDescent="0.35">
      <c r="A316" s="10" t="s">
        <v>139</v>
      </c>
      <c r="B316" s="11">
        <v>45870</v>
      </c>
      <c r="C316" s="3" t="s">
        <v>48</v>
      </c>
      <c r="D316" s="3" t="s">
        <v>49</v>
      </c>
      <c r="E316" s="3" t="s">
        <v>14</v>
      </c>
      <c r="F316" s="3" t="s">
        <v>15</v>
      </c>
      <c r="G316" s="30">
        <v>17995.57</v>
      </c>
      <c r="H316" s="39">
        <v>936</v>
      </c>
    </row>
    <row r="317" spans="1:8" hidden="1" x14ac:dyDescent="0.35">
      <c r="A317" s="10" t="s">
        <v>139</v>
      </c>
      <c r="B317" s="11">
        <v>45870</v>
      </c>
      <c r="C317" s="3" t="s">
        <v>48</v>
      </c>
      <c r="D317" s="3" t="s">
        <v>49</v>
      </c>
      <c r="E317" s="3" t="s">
        <v>14</v>
      </c>
      <c r="F317" s="3" t="s">
        <v>65</v>
      </c>
      <c r="G317" s="30">
        <v>0</v>
      </c>
      <c r="H317" s="39">
        <v>0</v>
      </c>
    </row>
    <row r="318" spans="1:8" hidden="1" x14ac:dyDescent="0.35">
      <c r="A318" s="10" t="s">
        <v>25</v>
      </c>
      <c r="B318" s="11">
        <v>45870</v>
      </c>
      <c r="C318" s="3" t="s">
        <v>48</v>
      </c>
      <c r="D318" s="3" t="s">
        <v>49</v>
      </c>
      <c r="E318" s="3" t="s">
        <v>116</v>
      </c>
      <c r="F318" s="3" t="s">
        <v>7</v>
      </c>
      <c r="G318" s="30">
        <v>0</v>
      </c>
      <c r="H318" s="39">
        <v>0</v>
      </c>
    </row>
    <row r="319" spans="1:8" hidden="1" x14ac:dyDescent="0.35">
      <c r="A319" s="10" t="s">
        <v>25</v>
      </c>
      <c r="B319" s="11">
        <v>45870</v>
      </c>
      <c r="C319" s="3" t="s">
        <v>48</v>
      </c>
      <c r="D319" s="3" t="s">
        <v>49</v>
      </c>
      <c r="E319" s="3" t="s">
        <v>116</v>
      </c>
      <c r="F319" s="3" t="s">
        <v>8</v>
      </c>
      <c r="G319" s="30">
        <v>0</v>
      </c>
      <c r="H319" s="39">
        <v>0</v>
      </c>
    </row>
    <row r="320" spans="1:8" hidden="1" x14ac:dyDescent="0.35">
      <c r="A320" s="10" t="s">
        <v>25</v>
      </c>
      <c r="B320" s="11">
        <v>45870</v>
      </c>
      <c r="C320" s="3" t="s">
        <v>48</v>
      </c>
      <c r="D320" s="3" t="s">
        <v>49</v>
      </c>
      <c r="E320" s="3" t="s">
        <v>116</v>
      </c>
      <c r="F320" s="3" t="s">
        <v>15</v>
      </c>
      <c r="G320" s="30">
        <v>0</v>
      </c>
      <c r="H320" s="39">
        <v>0</v>
      </c>
    </row>
    <row r="321" spans="1:8" hidden="1" x14ac:dyDescent="0.35">
      <c r="A321" s="10" t="s">
        <v>25</v>
      </c>
      <c r="B321" s="11">
        <v>45870</v>
      </c>
      <c r="C321" s="3" t="s">
        <v>48</v>
      </c>
      <c r="D321" s="3" t="s">
        <v>49</v>
      </c>
      <c r="E321" s="3" t="s">
        <v>116</v>
      </c>
      <c r="F321" s="3" t="s">
        <v>65</v>
      </c>
      <c r="G321" s="30">
        <v>0</v>
      </c>
      <c r="H321" s="39">
        <v>0</v>
      </c>
    </row>
    <row r="322" spans="1:8" hidden="1" x14ac:dyDescent="0.35">
      <c r="A322" s="10" t="s">
        <v>102</v>
      </c>
      <c r="B322" s="11">
        <v>45870</v>
      </c>
      <c r="C322" s="3" t="s">
        <v>48</v>
      </c>
      <c r="D322" s="3" t="s">
        <v>49</v>
      </c>
      <c r="E322" s="3" t="s">
        <v>51</v>
      </c>
      <c r="F322" s="3" t="s">
        <v>7</v>
      </c>
      <c r="G322" s="30">
        <v>0</v>
      </c>
      <c r="H322" s="39">
        <v>0</v>
      </c>
    </row>
    <row r="323" spans="1:8" hidden="1" x14ac:dyDescent="0.35">
      <c r="A323" s="10" t="s">
        <v>102</v>
      </c>
      <c r="B323" s="11">
        <v>45870</v>
      </c>
      <c r="C323" s="3" t="s">
        <v>48</v>
      </c>
      <c r="D323" s="3" t="s">
        <v>49</v>
      </c>
      <c r="E323" s="3" t="s">
        <v>51</v>
      </c>
      <c r="F323" s="3" t="s">
        <v>8</v>
      </c>
      <c r="G323" s="30">
        <v>0</v>
      </c>
      <c r="H323" s="39">
        <v>0</v>
      </c>
    </row>
    <row r="324" spans="1:8" hidden="1" x14ac:dyDescent="0.35">
      <c r="A324" s="10" t="s">
        <v>102</v>
      </c>
      <c r="B324" s="11">
        <v>45870</v>
      </c>
      <c r="C324" s="3" t="s">
        <v>48</v>
      </c>
      <c r="D324" s="3" t="s">
        <v>49</v>
      </c>
      <c r="E324" s="3" t="s">
        <v>51</v>
      </c>
      <c r="F324" s="3" t="s">
        <v>15</v>
      </c>
      <c r="G324" s="30">
        <v>0</v>
      </c>
      <c r="H324" s="39">
        <v>0</v>
      </c>
    </row>
    <row r="325" spans="1:8" hidden="1" x14ac:dyDescent="0.35">
      <c r="A325" s="10" t="s">
        <v>102</v>
      </c>
      <c r="B325" s="11">
        <v>45870</v>
      </c>
      <c r="C325" s="3" t="s">
        <v>48</v>
      </c>
      <c r="D325" s="3" t="s">
        <v>49</v>
      </c>
      <c r="E325" s="3" t="s">
        <v>51</v>
      </c>
      <c r="F325" s="3" t="s">
        <v>65</v>
      </c>
      <c r="G325" s="30">
        <v>0</v>
      </c>
      <c r="H325" s="39">
        <v>0</v>
      </c>
    </row>
    <row r="326" spans="1:8" hidden="1" x14ac:dyDescent="0.35">
      <c r="A326" s="10" t="s">
        <v>190</v>
      </c>
      <c r="B326" s="11">
        <v>45870</v>
      </c>
      <c r="C326" s="3" t="s">
        <v>22</v>
      </c>
      <c r="D326" s="3" t="s">
        <v>11</v>
      </c>
      <c r="E326" s="3" t="str">
        <f>_xlfn.XLOOKUP(TabReceitas[[#This Row],[ID]],TabCondicoesComerciais[ID],TabCondicoesComerciais[Congênere],"Verificar")</f>
        <v>Rede Sol</v>
      </c>
      <c r="F326" s="3" t="s">
        <v>7</v>
      </c>
      <c r="G326" s="30">
        <v>0</v>
      </c>
      <c r="H326" s="39">
        <v>0</v>
      </c>
    </row>
    <row r="327" spans="1:8" hidden="1" x14ac:dyDescent="0.35">
      <c r="A327" s="10" t="s">
        <v>190</v>
      </c>
      <c r="B327" s="11">
        <v>45870</v>
      </c>
      <c r="C327" s="3" t="s">
        <v>22</v>
      </c>
      <c r="D327" s="3" t="s">
        <v>11</v>
      </c>
      <c r="E327" s="3" t="str">
        <f>_xlfn.XLOOKUP(TabReceitas[[#This Row],[ID]],TabCondicoesComerciais[ID],TabCondicoesComerciais[Congênere],"Verificar")</f>
        <v>Rede Sol</v>
      </c>
      <c r="F327" s="3" t="s">
        <v>8</v>
      </c>
      <c r="G327" s="30">
        <v>0</v>
      </c>
      <c r="H327" s="39">
        <v>0</v>
      </c>
    </row>
    <row r="328" spans="1:8" hidden="1" x14ac:dyDescent="0.35">
      <c r="A328" s="10" t="s">
        <v>190</v>
      </c>
      <c r="B328" s="11">
        <v>45870</v>
      </c>
      <c r="C328" s="3" t="s">
        <v>22</v>
      </c>
      <c r="D328" s="3" t="s">
        <v>11</v>
      </c>
      <c r="E328" s="3" t="str">
        <f>_xlfn.XLOOKUP(TabReceitas[[#This Row],[ID]],TabCondicoesComerciais[ID],TabCondicoesComerciais[Congênere],"Verificar")</f>
        <v>Rede Sol</v>
      </c>
      <c r="F328" s="3" t="s">
        <v>15</v>
      </c>
      <c r="G328" s="30">
        <v>0</v>
      </c>
      <c r="H328" s="39">
        <v>0</v>
      </c>
    </row>
    <row r="329" spans="1:8" hidden="1" x14ac:dyDescent="0.35">
      <c r="A329" s="10" t="s">
        <v>190</v>
      </c>
      <c r="B329" s="11">
        <v>45870</v>
      </c>
      <c r="C329" s="3" t="s">
        <v>22</v>
      </c>
      <c r="D329" s="3" t="s">
        <v>11</v>
      </c>
      <c r="E329" s="3" t="str">
        <f>_xlfn.XLOOKUP(TabReceitas[[#This Row],[ID]],TabCondicoesComerciais[ID],TabCondicoesComerciais[Congênere],"Verificar")</f>
        <v>Rede Sol</v>
      </c>
      <c r="F329" s="3" t="s">
        <v>65</v>
      </c>
      <c r="G329" s="30">
        <v>0</v>
      </c>
      <c r="H329" s="39">
        <v>0</v>
      </c>
    </row>
    <row r="330" spans="1:8" hidden="1" x14ac:dyDescent="0.35">
      <c r="A330" s="10" t="s">
        <v>172</v>
      </c>
      <c r="B330" s="11">
        <v>45870</v>
      </c>
      <c r="C330" s="3" t="s">
        <v>22</v>
      </c>
      <c r="D330" s="3" t="s">
        <v>11</v>
      </c>
      <c r="E330" s="3" t="str">
        <f>_xlfn.XLOOKUP(TabReceitas[[#This Row],[ID]],TabCondicoesComerciais[ID],TabCondicoesComerciais[Congênere],"Verificar")</f>
        <v>Ruff</v>
      </c>
      <c r="F330" s="3" t="s">
        <v>7</v>
      </c>
      <c r="G330" s="30">
        <v>0</v>
      </c>
      <c r="H330" s="39">
        <v>0</v>
      </c>
    </row>
    <row r="331" spans="1:8" hidden="1" x14ac:dyDescent="0.35">
      <c r="A331" s="10" t="s">
        <v>172</v>
      </c>
      <c r="B331" s="11">
        <v>45870</v>
      </c>
      <c r="C331" s="3" t="s">
        <v>22</v>
      </c>
      <c r="D331" s="3" t="s">
        <v>11</v>
      </c>
      <c r="E331" s="3" t="str">
        <f>_xlfn.XLOOKUP(TabReceitas[[#This Row],[ID]],TabCondicoesComerciais[ID],TabCondicoesComerciais[Congênere],"Verificar")</f>
        <v>Ruff</v>
      </c>
      <c r="F331" s="3" t="s">
        <v>8</v>
      </c>
      <c r="G331" s="30">
        <v>0</v>
      </c>
      <c r="H331" s="39">
        <v>0</v>
      </c>
    </row>
    <row r="332" spans="1:8" hidden="1" x14ac:dyDescent="0.35">
      <c r="A332" s="10" t="s">
        <v>172</v>
      </c>
      <c r="B332" s="11">
        <v>45870</v>
      </c>
      <c r="C332" s="3" t="s">
        <v>22</v>
      </c>
      <c r="D332" s="3" t="s">
        <v>11</v>
      </c>
      <c r="E332" s="3" t="str">
        <f>_xlfn.XLOOKUP(TabReceitas[[#This Row],[ID]],TabCondicoesComerciais[ID],TabCondicoesComerciais[Congênere],"Verificar")</f>
        <v>Ruff</v>
      </c>
      <c r="F332" s="3" t="s">
        <v>15</v>
      </c>
      <c r="G332" s="30">
        <v>0</v>
      </c>
      <c r="H332" s="39">
        <v>0</v>
      </c>
    </row>
    <row r="333" spans="1:8" hidden="1" x14ac:dyDescent="0.35">
      <c r="A333" s="10" t="s">
        <v>172</v>
      </c>
      <c r="B333" s="11">
        <v>45870</v>
      </c>
      <c r="C333" s="3" t="s">
        <v>22</v>
      </c>
      <c r="D333" s="3" t="s">
        <v>11</v>
      </c>
      <c r="E333" s="3" t="str">
        <f>_xlfn.XLOOKUP(TabReceitas[[#This Row],[ID]],TabCondicoesComerciais[ID],TabCondicoesComerciais[Congênere],"Verificar")</f>
        <v>Ruff</v>
      </c>
      <c r="F333" s="3" t="s">
        <v>65</v>
      </c>
      <c r="G333" s="30">
        <v>0</v>
      </c>
      <c r="H333" s="39">
        <v>0</v>
      </c>
    </row>
    <row r="334" spans="1:8" hidden="1" x14ac:dyDescent="0.35">
      <c r="A334" s="10" t="s">
        <v>149</v>
      </c>
      <c r="B334" s="11">
        <v>45870</v>
      </c>
      <c r="C334" s="3" t="s">
        <v>23</v>
      </c>
      <c r="D334" s="3" t="s">
        <v>112</v>
      </c>
      <c r="E334" s="3" t="s">
        <v>113</v>
      </c>
      <c r="F334" s="3" t="s">
        <v>7</v>
      </c>
      <c r="G334" s="30">
        <v>0</v>
      </c>
      <c r="H334" s="39">
        <v>0</v>
      </c>
    </row>
    <row r="335" spans="1:8" hidden="1" x14ac:dyDescent="0.35">
      <c r="A335" s="10" t="s">
        <v>149</v>
      </c>
      <c r="B335" s="11">
        <v>45870</v>
      </c>
      <c r="C335" s="3" t="s">
        <v>23</v>
      </c>
      <c r="D335" s="3" t="s">
        <v>112</v>
      </c>
      <c r="E335" s="3" t="s">
        <v>113</v>
      </c>
      <c r="F335" s="3" t="s">
        <v>8</v>
      </c>
      <c r="G335" s="30">
        <v>0</v>
      </c>
      <c r="H335" s="39">
        <v>0</v>
      </c>
    </row>
    <row r="336" spans="1:8" hidden="1" x14ac:dyDescent="0.35">
      <c r="A336" s="10" t="s">
        <v>149</v>
      </c>
      <c r="B336" s="11">
        <v>45870</v>
      </c>
      <c r="C336" s="3" t="s">
        <v>23</v>
      </c>
      <c r="D336" s="3" t="s">
        <v>112</v>
      </c>
      <c r="E336" s="3" t="s">
        <v>113</v>
      </c>
      <c r="F336" s="3" t="s">
        <v>15</v>
      </c>
      <c r="G336" s="30">
        <v>0</v>
      </c>
      <c r="H336" s="39">
        <v>0</v>
      </c>
    </row>
    <row r="337" spans="1:8" hidden="1" x14ac:dyDescent="0.35">
      <c r="A337" s="10" t="s">
        <v>149</v>
      </c>
      <c r="B337" s="11">
        <v>45870</v>
      </c>
      <c r="C337" s="3" t="s">
        <v>23</v>
      </c>
      <c r="D337" s="3" t="s">
        <v>112</v>
      </c>
      <c r="E337" s="3" t="s">
        <v>113</v>
      </c>
      <c r="F337" s="3" t="s">
        <v>65</v>
      </c>
      <c r="G337" s="30">
        <v>0</v>
      </c>
      <c r="H337" s="39">
        <v>0</v>
      </c>
    </row>
    <row r="338" spans="1:8" hidden="1" x14ac:dyDescent="0.35">
      <c r="A338" s="10" t="s">
        <v>177</v>
      </c>
      <c r="B338" s="11">
        <v>45870</v>
      </c>
      <c r="C338" s="3" t="s">
        <v>46</v>
      </c>
      <c r="D338" s="3" t="s">
        <v>87</v>
      </c>
      <c r="E338" s="3" t="s">
        <v>9</v>
      </c>
      <c r="F338" s="3" t="s">
        <v>7</v>
      </c>
      <c r="G338" s="30">
        <v>0</v>
      </c>
      <c r="H338" s="39">
        <v>0</v>
      </c>
    </row>
    <row r="339" spans="1:8" hidden="1" x14ac:dyDescent="0.35">
      <c r="A339" s="10" t="s">
        <v>177</v>
      </c>
      <c r="B339" s="11">
        <v>45870</v>
      </c>
      <c r="C339" s="3" t="s">
        <v>46</v>
      </c>
      <c r="D339" s="3" t="s">
        <v>87</v>
      </c>
      <c r="E339" s="3" t="s">
        <v>9</v>
      </c>
      <c r="F339" s="3" t="s">
        <v>8</v>
      </c>
      <c r="G339" s="30">
        <v>0</v>
      </c>
      <c r="H339" s="39">
        <v>0</v>
      </c>
    </row>
    <row r="340" spans="1:8" hidden="1" x14ac:dyDescent="0.35">
      <c r="A340" s="10" t="s">
        <v>177</v>
      </c>
      <c r="B340" s="11">
        <v>45870</v>
      </c>
      <c r="C340" s="3" t="s">
        <v>46</v>
      </c>
      <c r="D340" s="3" t="s">
        <v>87</v>
      </c>
      <c r="E340" s="3" t="s">
        <v>9</v>
      </c>
      <c r="F340" s="3" t="s">
        <v>15</v>
      </c>
      <c r="G340" s="30">
        <v>65348.32</v>
      </c>
      <c r="H340" s="39">
        <v>1926</v>
      </c>
    </row>
    <row r="341" spans="1:8" hidden="1" x14ac:dyDescent="0.35">
      <c r="A341" s="10" t="s">
        <v>177</v>
      </c>
      <c r="B341" s="11">
        <v>45870</v>
      </c>
      <c r="C341" s="3" t="s">
        <v>46</v>
      </c>
      <c r="D341" s="3" t="s">
        <v>87</v>
      </c>
      <c r="E341" s="3" t="s">
        <v>9</v>
      </c>
      <c r="F341" s="3" t="s">
        <v>65</v>
      </c>
      <c r="G341" s="30">
        <v>0</v>
      </c>
      <c r="H341" s="39">
        <v>0</v>
      </c>
    </row>
    <row r="342" spans="1:8" hidden="1" x14ac:dyDescent="0.35">
      <c r="A342" s="10" t="s">
        <v>169</v>
      </c>
      <c r="B342" s="11">
        <v>45748</v>
      </c>
      <c r="C342" s="3" t="s">
        <v>25</v>
      </c>
      <c r="D342" s="3" t="s">
        <v>12</v>
      </c>
      <c r="E342" s="3" t="str">
        <f>_xlfn.XLOOKUP(TabReceitas[[#This Row],[ID]],TabCondicoesComerciais[ID],TabCondicoesComerciais[Congênere],"Verificar")</f>
        <v>Sim Distribuidora</v>
      </c>
      <c r="F342" s="3" t="s">
        <v>65</v>
      </c>
      <c r="G342" s="30">
        <v>0</v>
      </c>
      <c r="H342" s="30">
        <v>0</v>
      </c>
    </row>
    <row r="343" spans="1:8" hidden="1" x14ac:dyDescent="0.35">
      <c r="A343" s="10" t="s">
        <v>264</v>
      </c>
      <c r="B343" s="11">
        <v>45778</v>
      </c>
      <c r="C343" s="3" t="s">
        <v>25</v>
      </c>
      <c r="D343" s="3" t="s">
        <v>12</v>
      </c>
      <c r="E343" s="3" t="s">
        <v>9</v>
      </c>
      <c r="F343" s="3" t="s">
        <v>7</v>
      </c>
      <c r="G343" s="30">
        <v>0</v>
      </c>
      <c r="H343" s="39">
        <v>0</v>
      </c>
    </row>
    <row r="344" spans="1:8" hidden="1" x14ac:dyDescent="0.35">
      <c r="A344" s="10" t="s">
        <v>264</v>
      </c>
      <c r="B344" s="11">
        <v>45778</v>
      </c>
      <c r="C344" s="3" t="s">
        <v>25</v>
      </c>
      <c r="D344" s="3" t="s">
        <v>12</v>
      </c>
      <c r="E344" s="3" t="s">
        <v>9</v>
      </c>
      <c r="F344" s="3" t="s">
        <v>8</v>
      </c>
      <c r="G344" s="30">
        <v>0</v>
      </c>
      <c r="H344" s="39">
        <v>0</v>
      </c>
    </row>
    <row r="345" spans="1:8" hidden="1" x14ac:dyDescent="0.35">
      <c r="A345" s="10" t="s">
        <v>264</v>
      </c>
      <c r="B345" s="11">
        <v>45778</v>
      </c>
      <c r="C345" s="3" t="s">
        <v>25</v>
      </c>
      <c r="D345" s="3" t="s">
        <v>12</v>
      </c>
      <c r="E345" s="3" t="s">
        <v>9</v>
      </c>
      <c r="F345" s="3" t="s">
        <v>15</v>
      </c>
      <c r="G345" s="30">
        <v>179058.61</v>
      </c>
      <c r="H345" s="39">
        <v>6100</v>
      </c>
    </row>
    <row r="346" spans="1:8" hidden="1" x14ac:dyDescent="0.35">
      <c r="A346" s="10" t="s">
        <v>134</v>
      </c>
      <c r="B346" s="11">
        <v>45870</v>
      </c>
      <c r="C346" s="3" t="s">
        <v>57</v>
      </c>
      <c r="D346" s="3" t="s">
        <v>58</v>
      </c>
      <c r="E346" s="3" t="s">
        <v>10</v>
      </c>
      <c r="F346" s="3" t="s">
        <v>7</v>
      </c>
      <c r="G346" s="30">
        <v>0</v>
      </c>
      <c r="H346" s="39">
        <v>0</v>
      </c>
    </row>
    <row r="347" spans="1:8" hidden="1" x14ac:dyDescent="0.35">
      <c r="A347" s="10" t="s">
        <v>134</v>
      </c>
      <c r="B347" s="11">
        <v>45870</v>
      </c>
      <c r="C347" s="3" t="s">
        <v>57</v>
      </c>
      <c r="D347" s="3" t="s">
        <v>58</v>
      </c>
      <c r="E347" s="3" t="s">
        <v>10</v>
      </c>
      <c r="F347" s="3" t="s">
        <v>8</v>
      </c>
      <c r="G347" s="30">
        <v>0</v>
      </c>
      <c r="H347" s="39">
        <v>0</v>
      </c>
    </row>
    <row r="348" spans="1:8" hidden="1" x14ac:dyDescent="0.35">
      <c r="A348" s="10" t="s">
        <v>134</v>
      </c>
      <c r="B348" s="11">
        <v>45870</v>
      </c>
      <c r="C348" s="3" t="s">
        <v>57</v>
      </c>
      <c r="D348" s="3" t="s">
        <v>58</v>
      </c>
      <c r="E348" s="3" t="s">
        <v>10</v>
      </c>
      <c r="F348" s="3" t="s">
        <v>15</v>
      </c>
      <c r="G348" s="30">
        <v>35019.49</v>
      </c>
      <c r="H348" s="39">
        <v>1100</v>
      </c>
    </row>
    <row r="349" spans="1:8" hidden="1" x14ac:dyDescent="0.35">
      <c r="A349" s="10" t="s">
        <v>134</v>
      </c>
      <c r="B349" s="11">
        <v>45870</v>
      </c>
      <c r="C349" s="3" t="s">
        <v>57</v>
      </c>
      <c r="D349" s="3" t="s">
        <v>58</v>
      </c>
      <c r="E349" s="3" t="s">
        <v>10</v>
      </c>
      <c r="F349" s="3" t="s">
        <v>65</v>
      </c>
      <c r="G349" s="30">
        <v>0</v>
      </c>
      <c r="H349" s="39">
        <v>0</v>
      </c>
    </row>
    <row r="350" spans="1:8" hidden="1" x14ac:dyDescent="0.35">
      <c r="A350" s="3">
        <v>20105</v>
      </c>
      <c r="B350" s="11">
        <v>45870</v>
      </c>
      <c r="C350" s="3" t="s">
        <v>26</v>
      </c>
      <c r="D350" s="3" t="s">
        <v>19</v>
      </c>
      <c r="E350" s="3" t="s">
        <v>13</v>
      </c>
      <c r="F350" s="3" t="s">
        <v>7</v>
      </c>
      <c r="G350" s="30">
        <v>0</v>
      </c>
      <c r="H350" s="39">
        <v>0</v>
      </c>
    </row>
    <row r="351" spans="1:8" hidden="1" x14ac:dyDescent="0.35">
      <c r="A351" s="3">
        <v>20105</v>
      </c>
      <c r="B351" s="11">
        <v>45870</v>
      </c>
      <c r="C351" s="3" t="s">
        <v>26</v>
      </c>
      <c r="D351" s="3" t="s">
        <v>19</v>
      </c>
      <c r="E351" s="3" t="s">
        <v>13</v>
      </c>
      <c r="F351" s="3" t="s">
        <v>8</v>
      </c>
      <c r="G351" s="30">
        <v>0</v>
      </c>
      <c r="H351" s="39">
        <v>0</v>
      </c>
    </row>
    <row r="352" spans="1:8" hidden="1" x14ac:dyDescent="0.35">
      <c r="A352" s="3">
        <v>20105</v>
      </c>
      <c r="B352" s="11">
        <v>45870</v>
      </c>
      <c r="C352" s="3" t="s">
        <v>26</v>
      </c>
      <c r="D352" s="3" t="s">
        <v>19</v>
      </c>
      <c r="E352" s="3" t="s">
        <v>13</v>
      </c>
      <c r="F352" s="3" t="s">
        <v>15</v>
      </c>
      <c r="G352" s="30">
        <v>15310.52</v>
      </c>
      <c r="H352" s="39">
        <v>510</v>
      </c>
    </row>
    <row r="353" spans="1:8" hidden="1" x14ac:dyDescent="0.35">
      <c r="A353" s="3">
        <v>20105</v>
      </c>
      <c r="B353" s="11">
        <v>45870</v>
      </c>
      <c r="C353" s="3" t="s">
        <v>26</v>
      </c>
      <c r="D353" s="3" t="s">
        <v>19</v>
      </c>
      <c r="E353" s="3" t="s">
        <v>13</v>
      </c>
      <c r="F353" s="3" t="s">
        <v>65</v>
      </c>
      <c r="G353" s="30">
        <v>0</v>
      </c>
      <c r="H353" s="39">
        <v>0</v>
      </c>
    </row>
    <row r="354" spans="1:8" hidden="1" x14ac:dyDescent="0.35">
      <c r="A354" s="10" t="s">
        <v>274</v>
      </c>
      <c r="B354" s="11">
        <v>45901</v>
      </c>
      <c r="C354" s="3" t="s">
        <v>48</v>
      </c>
      <c r="D354" s="3" t="s">
        <v>49</v>
      </c>
      <c r="E354" s="3" t="s">
        <v>52</v>
      </c>
      <c r="F354" s="3" t="s">
        <v>7</v>
      </c>
      <c r="G354" s="30">
        <v>0</v>
      </c>
      <c r="H354" s="39">
        <v>0</v>
      </c>
    </row>
    <row r="355" spans="1:8" hidden="1" x14ac:dyDescent="0.35">
      <c r="A355" s="10" t="s">
        <v>274</v>
      </c>
      <c r="B355" s="11">
        <v>45901</v>
      </c>
      <c r="C355" s="3" t="s">
        <v>48</v>
      </c>
      <c r="D355" s="3" t="s">
        <v>49</v>
      </c>
      <c r="E355" s="3" t="s">
        <v>52</v>
      </c>
      <c r="F355" s="3" t="s">
        <v>8</v>
      </c>
      <c r="G355" s="30">
        <v>0</v>
      </c>
      <c r="H355" s="39">
        <v>0</v>
      </c>
    </row>
    <row r="356" spans="1:8" hidden="1" x14ac:dyDescent="0.35">
      <c r="A356" s="10" t="s">
        <v>274</v>
      </c>
      <c r="B356" s="11">
        <v>45901</v>
      </c>
      <c r="C356" s="3" t="s">
        <v>48</v>
      </c>
      <c r="D356" s="3" t="s">
        <v>49</v>
      </c>
      <c r="E356" s="3" t="s">
        <v>52</v>
      </c>
      <c r="F356" s="3" t="s">
        <v>15</v>
      </c>
      <c r="G356" s="30">
        <v>89789.370062370057</v>
      </c>
      <c r="H356" s="39">
        <v>2040</v>
      </c>
    </row>
    <row r="357" spans="1:8" hidden="1" x14ac:dyDescent="0.35">
      <c r="A357" s="10" t="s">
        <v>274</v>
      </c>
      <c r="B357" s="11">
        <v>45901</v>
      </c>
      <c r="C357" s="3" t="s">
        <v>48</v>
      </c>
      <c r="D357" s="3" t="s">
        <v>49</v>
      </c>
      <c r="E357" s="3" t="s">
        <v>52</v>
      </c>
      <c r="F357" s="3" t="s">
        <v>65</v>
      </c>
      <c r="G357" s="30">
        <v>0</v>
      </c>
      <c r="H357" s="39">
        <v>0</v>
      </c>
    </row>
    <row r="358" spans="1:8" hidden="1" x14ac:dyDescent="0.35">
      <c r="A358" s="10" t="s">
        <v>275</v>
      </c>
      <c r="B358" s="11">
        <v>45901</v>
      </c>
      <c r="C358" s="3" t="s">
        <v>48</v>
      </c>
      <c r="D358" s="3" t="s">
        <v>49</v>
      </c>
      <c r="E358" s="3" t="s">
        <v>14</v>
      </c>
      <c r="F358" s="3" t="s">
        <v>7</v>
      </c>
      <c r="G358" s="30">
        <v>0</v>
      </c>
      <c r="H358" s="39">
        <v>0</v>
      </c>
    </row>
    <row r="359" spans="1:8" hidden="1" x14ac:dyDescent="0.35">
      <c r="A359" s="10" t="s">
        <v>275</v>
      </c>
      <c r="B359" s="11">
        <v>45901</v>
      </c>
      <c r="C359" s="3" t="s">
        <v>48</v>
      </c>
      <c r="D359" s="3" t="s">
        <v>49</v>
      </c>
      <c r="E359" s="3" t="s">
        <v>14</v>
      </c>
      <c r="F359" s="3" t="s">
        <v>8</v>
      </c>
      <c r="G359" s="30">
        <v>0</v>
      </c>
      <c r="H359" s="39">
        <v>0</v>
      </c>
    </row>
    <row r="360" spans="1:8" hidden="1" x14ac:dyDescent="0.35">
      <c r="A360" s="10" t="s">
        <v>275</v>
      </c>
      <c r="B360" s="11">
        <v>45901</v>
      </c>
      <c r="C360" s="3" t="s">
        <v>48</v>
      </c>
      <c r="D360" s="3" t="s">
        <v>49</v>
      </c>
      <c r="E360" s="3" t="s">
        <v>14</v>
      </c>
      <c r="F360" s="3" t="s">
        <v>15</v>
      </c>
      <c r="G360" s="30">
        <v>17995.57</v>
      </c>
      <c r="H360" s="39">
        <v>936</v>
      </c>
    </row>
    <row r="361" spans="1:8" hidden="1" x14ac:dyDescent="0.35">
      <c r="A361" s="10" t="s">
        <v>275</v>
      </c>
      <c r="B361" s="11">
        <v>45901</v>
      </c>
      <c r="C361" s="3" t="s">
        <v>48</v>
      </c>
      <c r="D361" s="3" t="s">
        <v>49</v>
      </c>
      <c r="E361" s="3" t="s">
        <v>14</v>
      </c>
      <c r="F361" s="3" t="s">
        <v>65</v>
      </c>
      <c r="G361" s="30">
        <v>0</v>
      </c>
      <c r="H361" s="39">
        <v>0</v>
      </c>
    </row>
    <row r="362" spans="1:8" hidden="1" x14ac:dyDescent="0.35">
      <c r="A362" s="10" t="s">
        <v>25</v>
      </c>
      <c r="B362" s="11">
        <v>45901</v>
      </c>
      <c r="C362" s="3" t="s">
        <v>48</v>
      </c>
      <c r="D362" s="3" t="s">
        <v>49</v>
      </c>
      <c r="E362" s="3" t="s">
        <v>116</v>
      </c>
      <c r="F362" s="3" t="s">
        <v>7</v>
      </c>
      <c r="G362" s="30">
        <v>0</v>
      </c>
      <c r="H362" s="39">
        <v>0</v>
      </c>
    </row>
    <row r="363" spans="1:8" hidden="1" x14ac:dyDescent="0.35">
      <c r="A363" s="10" t="s">
        <v>25</v>
      </c>
      <c r="B363" s="11">
        <v>45901</v>
      </c>
      <c r="C363" s="3" t="s">
        <v>48</v>
      </c>
      <c r="D363" s="3" t="s">
        <v>49</v>
      </c>
      <c r="E363" s="3" t="s">
        <v>116</v>
      </c>
      <c r="F363" s="3" t="s">
        <v>8</v>
      </c>
      <c r="G363" s="30">
        <v>0</v>
      </c>
      <c r="H363" s="39">
        <v>0</v>
      </c>
    </row>
    <row r="364" spans="1:8" hidden="1" x14ac:dyDescent="0.35">
      <c r="A364" s="10" t="s">
        <v>25</v>
      </c>
      <c r="B364" s="11">
        <v>45901</v>
      </c>
      <c r="C364" s="3" t="s">
        <v>48</v>
      </c>
      <c r="D364" s="3" t="s">
        <v>49</v>
      </c>
      <c r="E364" s="3" t="s">
        <v>116</v>
      </c>
      <c r="F364" s="3" t="s">
        <v>15</v>
      </c>
      <c r="G364" s="30">
        <v>0</v>
      </c>
      <c r="H364" s="39">
        <v>0</v>
      </c>
    </row>
    <row r="365" spans="1:8" hidden="1" x14ac:dyDescent="0.35">
      <c r="A365" s="10" t="s">
        <v>25</v>
      </c>
      <c r="B365" s="11">
        <v>45901</v>
      </c>
      <c r="C365" s="3" t="s">
        <v>48</v>
      </c>
      <c r="D365" s="3" t="s">
        <v>49</v>
      </c>
      <c r="E365" s="3" t="s">
        <v>116</v>
      </c>
      <c r="F365" s="3" t="s">
        <v>65</v>
      </c>
      <c r="G365" s="30">
        <v>0</v>
      </c>
      <c r="H365" s="39">
        <v>0</v>
      </c>
    </row>
    <row r="366" spans="1:8" hidden="1" x14ac:dyDescent="0.35">
      <c r="A366" s="10" t="s">
        <v>102</v>
      </c>
      <c r="B366" s="11">
        <v>45901</v>
      </c>
      <c r="C366" s="3" t="s">
        <v>48</v>
      </c>
      <c r="D366" s="3" t="s">
        <v>49</v>
      </c>
      <c r="E366" s="3" t="s">
        <v>51</v>
      </c>
      <c r="F366" s="3" t="s">
        <v>7</v>
      </c>
      <c r="G366" s="30">
        <v>0</v>
      </c>
      <c r="H366" s="39">
        <v>0</v>
      </c>
    </row>
    <row r="367" spans="1:8" hidden="1" x14ac:dyDescent="0.35">
      <c r="A367" s="10" t="s">
        <v>102</v>
      </c>
      <c r="B367" s="11">
        <v>45901</v>
      </c>
      <c r="C367" s="3" t="s">
        <v>48</v>
      </c>
      <c r="D367" s="3" t="s">
        <v>49</v>
      </c>
      <c r="E367" s="3" t="s">
        <v>51</v>
      </c>
      <c r="F367" s="3" t="s">
        <v>8</v>
      </c>
      <c r="G367" s="30">
        <v>0</v>
      </c>
      <c r="H367" s="39">
        <v>0</v>
      </c>
    </row>
    <row r="368" spans="1:8" hidden="1" x14ac:dyDescent="0.35">
      <c r="A368" s="10" t="s">
        <v>102</v>
      </c>
      <c r="B368" s="11">
        <v>45901</v>
      </c>
      <c r="C368" s="3" t="s">
        <v>48</v>
      </c>
      <c r="D368" s="3" t="s">
        <v>49</v>
      </c>
      <c r="E368" s="3" t="s">
        <v>51</v>
      </c>
      <c r="F368" s="3" t="s">
        <v>15</v>
      </c>
      <c r="G368" s="30">
        <v>0</v>
      </c>
      <c r="H368" s="39">
        <v>0</v>
      </c>
    </row>
    <row r="369" spans="1:8" hidden="1" x14ac:dyDescent="0.35">
      <c r="A369" s="10" t="s">
        <v>102</v>
      </c>
      <c r="B369" s="11">
        <v>45901</v>
      </c>
      <c r="C369" s="3" t="s">
        <v>48</v>
      </c>
      <c r="D369" s="3" t="s">
        <v>49</v>
      </c>
      <c r="E369" s="3" t="s">
        <v>51</v>
      </c>
      <c r="F369" s="3" t="s">
        <v>65</v>
      </c>
      <c r="G369" s="30">
        <v>0</v>
      </c>
      <c r="H369" s="39">
        <v>0</v>
      </c>
    </row>
    <row r="370" spans="1:8" hidden="1" x14ac:dyDescent="0.35">
      <c r="A370" s="10" t="s">
        <v>190</v>
      </c>
      <c r="B370" s="11">
        <v>45901</v>
      </c>
      <c r="C370" s="3" t="s">
        <v>22</v>
      </c>
      <c r="D370" s="3" t="s">
        <v>11</v>
      </c>
      <c r="E370" s="3" t="str">
        <f>_xlfn.XLOOKUP(TabReceitas[[#This Row],[ID]],TabCondicoesComerciais[ID],TabCondicoesComerciais[Congênere],"Verificar")</f>
        <v>Rede Sol</v>
      </c>
      <c r="F370" s="3" t="s">
        <v>7</v>
      </c>
      <c r="G370" s="30">
        <v>0</v>
      </c>
      <c r="H370" s="39">
        <v>0</v>
      </c>
    </row>
    <row r="371" spans="1:8" hidden="1" x14ac:dyDescent="0.35">
      <c r="A371" s="10" t="s">
        <v>190</v>
      </c>
      <c r="B371" s="11">
        <v>45901</v>
      </c>
      <c r="C371" s="3" t="s">
        <v>22</v>
      </c>
      <c r="D371" s="3" t="s">
        <v>11</v>
      </c>
      <c r="E371" s="3" t="str">
        <f>_xlfn.XLOOKUP(TabReceitas[[#This Row],[ID]],TabCondicoesComerciais[ID],TabCondicoesComerciais[Congênere],"Verificar")</f>
        <v>Rede Sol</v>
      </c>
      <c r="F371" s="3" t="s">
        <v>8</v>
      </c>
      <c r="G371" s="30">
        <v>0</v>
      </c>
      <c r="H371" s="39">
        <v>0</v>
      </c>
    </row>
    <row r="372" spans="1:8" hidden="1" x14ac:dyDescent="0.35">
      <c r="A372" s="10" t="s">
        <v>190</v>
      </c>
      <c r="B372" s="11">
        <v>45901</v>
      </c>
      <c r="C372" s="3" t="s">
        <v>22</v>
      </c>
      <c r="D372" s="3" t="s">
        <v>11</v>
      </c>
      <c r="E372" s="3" t="str">
        <f>_xlfn.XLOOKUP(TabReceitas[[#This Row],[ID]],TabCondicoesComerciais[ID],TabCondicoesComerciais[Congênere],"Verificar")</f>
        <v>Rede Sol</v>
      </c>
      <c r="F372" s="3" t="s">
        <v>15</v>
      </c>
      <c r="G372" s="30">
        <v>0</v>
      </c>
      <c r="H372" s="39">
        <v>0</v>
      </c>
    </row>
    <row r="373" spans="1:8" hidden="1" x14ac:dyDescent="0.35">
      <c r="A373" s="10" t="s">
        <v>190</v>
      </c>
      <c r="B373" s="11">
        <v>45901</v>
      </c>
      <c r="C373" s="3" t="s">
        <v>22</v>
      </c>
      <c r="D373" s="3" t="s">
        <v>11</v>
      </c>
      <c r="E373" s="3" t="str">
        <f>_xlfn.XLOOKUP(TabReceitas[[#This Row],[ID]],TabCondicoesComerciais[ID],TabCondicoesComerciais[Congênere],"Verificar")</f>
        <v>Rede Sol</v>
      </c>
      <c r="F373" s="3" t="s">
        <v>65</v>
      </c>
      <c r="G373" s="30">
        <v>0</v>
      </c>
      <c r="H373" s="39">
        <v>0</v>
      </c>
    </row>
    <row r="374" spans="1:8" hidden="1" x14ac:dyDescent="0.35">
      <c r="A374" s="10" t="s">
        <v>172</v>
      </c>
      <c r="B374" s="11">
        <v>45901</v>
      </c>
      <c r="C374" s="3" t="s">
        <v>22</v>
      </c>
      <c r="D374" s="3" t="s">
        <v>11</v>
      </c>
      <c r="E374" s="3" t="str">
        <f>_xlfn.XLOOKUP(TabReceitas[[#This Row],[ID]],TabCondicoesComerciais[ID],TabCondicoesComerciais[Congênere],"Verificar")</f>
        <v>Ruff</v>
      </c>
      <c r="F374" s="3" t="s">
        <v>7</v>
      </c>
      <c r="G374" s="30">
        <v>0</v>
      </c>
      <c r="H374" s="39">
        <v>0</v>
      </c>
    </row>
    <row r="375" spans="1:8" hidden="1" x14ac:dyDescent="0.35">
      <c r="A375" s="10" t="s">
        <v>172</v>
      </c>
      <c r="B375" s="11">
        <v>45901</v>
      </c>
      <c r="C375" s="3" t="s">
        <v>22</v>
      </c>
      <c r="D375" s="3" t="s">
        <v>11</v>
      </c>
      <c r="E375" s="3" t="str">
        <f>_xlfn.XLOOKUP(TabReceitas[[#This Row],[ID]],TabCondicoesComerciais[ID],TabCondicoesComerciais[Congênere],"Verificar")</f>
        <v>Ruff</v>
      </c>
      <c r="F375" s="3" t="s">
        <v>8</v>
      </c>
      <c r="G375" s="30">
        <v>0</v>
      </c>
      <c r="H375" s="39">
        <v>0</v>
      </c>
    </row>
    <row r="376" spans="1:8" hidden="1" x14ac:dyDescent="0.35">
      <c r="A376" s="10" t="s">
        <v>172</v>
      </c>
      <c r="B376" s="11">
        <v>45901</v>
      </c>
      <c r="C376" s="3" t="s">
        <v>22</v>
      </c>
      <c r="D376" s="3" t="s">
        <v>11</v>
      </c>
      <c r="E376" s="3" t="str">
        <f>_xlfn.XLOOKUP(TabReceitas[[#This Row],[ID]],TabCondicoesComerciais[ID],TabCondicoesComerciais[Congênere],"Verificar")</f>
        <v>Ruff</v>
      </c>
      <c r="F376" s="3" t="s">
        <v>15</v>
      </c>
      <c r="G376" s="30">
        <v>0</v>
      </c>
      <c r="H376" s="39">
        <v>0</v>
      </c>
    </row>
    <row r="377" spans="1:8" hidden="1" x14ac:dyDescent="0.35">
      <c r="A377" s="10" t="s">
        <v>172</v>
      </c>
      <c r="B377" s="11">
        <v>45901</v>
      </c>
      <c r="C377" s="3" t="s">
        <v>22</v>
      </c>
      <c r="D377" s="3" t="s">
        <v>11</v>
      </c>
      <c r="E377" s="3" t="str">
        <f>_xlfn.XLOOKUP(TabReceitas[[#This Row],[ID]],TabCondicoesComerciais[ID],TabCondicoesComerciais[Congênere],"Verificar")</f>
        <v>Ruff</v>
      </c>
      <c r="F377" s="3" t="s">
        <v>65</v>
      </c>
      <c r="G377" s="30">
        <v>0</v>
      </c>
      <c r="H377" s="39">
        <v>0</v>
      </c>
    </row>
    <row r="378" spans="1:8" hidden="1" x14ac:dyDescent="0.35">
      <c r="A378" s="10" t="s">
        <v>149</v>
      </c>
      <c r="B378" s="11">
        <v>45901</v>
      </c>
      <c r="C378" s="3" t="s">
        <v>23</v>
      </c>
      <c r="D378" s="3" t="s">
        <v>112</v>
      </c>
      <c r="E378" s="3" t="s">
        <v>113</v>
      </c>
      <c r="F378" s="3" t="s">
        <v>7</v>
      </c>
      <c r="G378" s="30">
        <v>0</v>
      </c>
      <c r="H378" s="39">
        <v>0</v>
      </c>
    </row>
    <row r="379" spans="1:8" hidden="1" x14ac:dyDescent="0.35">
      <c r="A379" s="10" t="s">
        <v>149</v>
      </c>
      <c r="B379" s="11">
        <v>45901</v>
      </c>
      <c r="C379" s="3" t="s">
        <v>23</v>
      </c>
      <c r="D379" s="3" t="s">
        <v>112</v>
      </c>
      <c r="E379" s="3" t="s">
        <v>113</v>
      </c>
      <c r="F379" s="3" t="s">
        <v>8</v>
      </c>
      <c r="G379" s="30">
        <v>0</v>
      </c>
      <c r="H379" s="39">
        <v>0</v>
      </c>
    </row>
    <row r="380" spans="1:8" hidden="1" x14ac:dyDescent="0.35">
      <c r="A380" s="10" t="s">
        <v>149</v>
      </c>
      <c r="B380" s="11">
        <v>45901</v>
      </c>
      <c r="C380" s="3" t="s">
        <v>23</v>
      </c>
      <c r="D380" s="3" t="s">
        <v>112</v>
      </c>
      <c r="E380" s="3" t="s">
        <v>113</v>
      </c>
      <c r="F380" s="3" t="s">
        <v>15</v>
      </c>
      <c r="G380" s="30">
        <v>0</v>
      </c>
      <c r="H380" s="39">
        <v>0</v>
      </c>
    </row>
    <row r="381" spans="1:8" hidden="1" x14ac:dyDescent="0.35">
      <c r="A381" s="10" t="s">
        <v>149</v>
      </c>
      <c r="B381" s="11">
        <v>45901</v>
      </c>
      <c r="C381" s="3" t="s">
        <v>23</v>
      </c>
      <c r="D381" s="3" t="s">
        <v>112</v>
      </c>
      <c r="E381" s="3" t="s">
        <v>113</v>
      </c>
      <c r="F381" s="3" t="s">
        <v>65</v>
      </c>
      <c r="G381" s="30">
        <v>0</v>
      </c>
      <c r="H381" s="39">
        <v>0</v>
      </c>
    </row>
    <row r="382" spans="1:8" hidden="1" x14ac:dyDescent="0.35">
      <c r="A382" s="10" t="s">
        <v>177</v>
      </c>
      <c r="B382" s="11">
        <v>45901</v>
      </c>
      <c r="C382" s="3" t="s">
        <v>46</v>
      </c>
      <c r="D382" s="3" t="s">
        <v>87</v>
      </c>
      <c r="E382" s="3" t="s">
        <v>9</v>
      </c>
      <c r="F382" s="3" t="s">
        <v>7</v>
      </c>
      <c r="G382" s="30">
        <v>0</v>
      </c>
      <c r="H382" s="39">
        <v>0</v>
      </c>
    </row>
    <row r="383" spans="1:8" hidden="1" x14ac:dyDescent="0.35">
      <c r="A383" s="10" t="s">
        <v>177</v>
      </c>
      <c r="B383" s="11">
        <v>45901</v>
      </c>
      <c r="C383" s="3" t="s">
        <v>46</v>
      </c>
      <c r="D383" s="3" t="s">
        <v>87</v>
      </c>
      <c r="E383" s="3" t="s">
        <v>9</v>
      </c>
      <c r="F383" s="3" t="s">
        <v>8</v>
      </c>
      <c r="G383" s="30">
        <v>0</v>
      </c>
      <c r="H383" s="39">
        <v>0</v>
      </c>
    </row>
    <row r="384" spans="1:8" hidden="1" x14ac:dyDescent="0.35">
      <c r="A384" s="10" t="s">
        <v>177</v>
      </c>
      <c r="B384" s="11">
        <v>45901</v>
      </c>
      <c r="C384" s="3" t="s">
        <v>46</v>
      </c>
      <c r="D384" s="3" t="s">
        <v>87</v>
      </c>
      <c r="E384" s="3" t="s">
        <v>9</v>
      </c>
      <c r="F384" s="3" t="s">
        <v>15</v>
      </c>
      <c r="G384" s="30">
        <v>65348.32</v>
      </c>
      <c r="H384" s="39">
        <v>1926</v>
      </c>
    </row>
    <row r="385" spans="1:8" hidden="1" x14ac:dyDescent="0.35">
      <c r="A385" s="10" t="s">
        <v>177</v>
      </c>
      <c r="B385" s="11">
        <v>45901</v>
      </c>
      <c r="C385" s="3" t="s">
        <v>46</v>
      </c>
      <c r="D385" s="3" t="s">
        <v>87</v>
      </c>
      <c r="E385" s="3" t="s">
        <v>9</v>
      </c>
      <c r="F385" s="3" t="s">
        <v>65</v>
      </c>
      <c r="G385" s="30">
        <v>0</v>
      </c>
      <c r="H385" s="39">
        <v>0</v>
      </c>
    </row>
    <row r="386" spans="1:8" hidden="1" x14ac:dyDescent="0.35">
      <c r="A386" s="10" t="s">
        <v>264</v>
      </c>
      <c r="B386" s="11">
        <v>45778</v>
      </c>
      <c r="C386" s="3" t="s">
        <v>25</v>
      </c>
      <c r="D386" s="3" t="s">
        <v>12</v>
      </c>
      <c r="E386" s="3" t="s">
        <v>9</v>
      </c>
      <c r="F386" s="3" t="s">
        <v>65</v>
      </c>
      <c r="G386" s="30">
        <v>0</v>
      </c>
      <c r="H386" s="39">
        <v>0</v>
      </c>
    </row>
    <row r="387" spans="1:8" hidden="1" x14ac:dyDescent="0.35">
      <c r="A387" s="10" t="s">
        <v>169</v>
      </c>
      <c r="B387" s="11">
        <v>45778</v>
      </c>
      <c r="C387" s="3" t="s">
        <v>25</v>
      </c>
      <c r="D387" s="3" t="s">
        <v>12</v>
      </c>
      <c r="E387" s="3" t="str">
        <f>_xlfn.XLOOKUP(TabReceitas[[#This Row],[ID]],TabCondicoesComerciais[ID],TabCondicoesComerciais[Congênere],"Verificar")</f>
        <v>Sim Distribuidora</v>
      </c>
      <c r="F387" s="3" t="s">
        <v>7</v>
      </c>
      <c r="G387" s="30">
        <v>0</v>
      </c>
      <c r="H387" s="30">
        <v>0</v>
      </c>
    </row>
    <row r="388" spans="1:8" hidden="1" x14ac:dyDescent="0.35">
      <c r="A388" s="10" t="s">
        <v>169</v>
      </c>
      <c r="B388" s="11">
        <v>45778</v>
      </c>
      <c r="C388" s="3" t="s">
        <v>25</v>
      </c>
      <c r="D388" s="3" t="s">
        <v>12</v>
      </c>
      <c r="E388" s="3" t="str">
        <f>_xlfn.XLOOKUP(TabReceitas[[#This Row],[ID]],TabCondicoesComerciais[ID],TabCondicoesComerciais[Congênere],"Verificar")</f>
        <v>Sim Distribuidora</v>
      </c>
      <c r="F388" s="3" t="s">
        <v>8</v>
      </c>
      <c r="G388" s="30">
        <v>0</v>
      </c>
      <c r="H388" s="30">
        <v>0</v>
      </c>
    </row>
    <row r="389" spans="1:8" hidden="1" x14ac:dyDescent="0.35">
      <c r="A389" s="10" t="s">
        <v>169</v>
      </c>
      <c r="B389" s="11">
        <v>45778</v>
      </c>
      <c r="C389" s="3" t="s">
        <v>25</v>
      </c>
      <c r="D389" s="3" t="s">
        <v>12</v>
      </c>
      <c r="E389" s="3" t="str">
        <f>_xlfn.XLOOKUP(TabReceitas[[#This Row],[ID]],TabCondicoesComerciais[ID],TabCondicoesComerciais[Congênere],"Verificar")</f>
        <v>Sim Distribuidora</v>
      </c>
      <c r="F389" s="3" t="s">
        <v>15</v>
      </c>
      <c r="G389" s="30">
        <v>123240</v>
      </c>
      <c r="H389" s="40">
        <v>4160</v>
      </c>
    </row>
    <row r="390" spans="1:8" hidden="1" x14ac:dyDescent="0.35">
      <c r="A390" s="10" t="s">
        <v>134</v>
      </c>
      <c r="B390" s="11">
        <v>45901</v>
      </c>
      <c r="C390" s="3" t="s">
        <v>57</v>
      </c>
      <c r="D390" s="3" t="s">
        <v>58</v>
      </c>
      <c r="E390" s="3" t="s">
        <v>10</v>
      </c>
      <c r="F390" s="3" t="s">
        <v>7</v>
      </c>
      <c r="G390" s="30">
        <v>0</v>
      </c>
      <c r="H390" s="39">
        <v>0</v>
      </c>
    </row>
    <row r="391" spans="1:8" hidden="1" x14ac:dyDescent="0.35">
      <c r="A391" s="10" t="s">
        <v>134</v>
      </c>
      <c r="B391" s="11">
        <v>45901</v>
      </c>
      <c r="C391" s="3" t="s">
        <v>57</v>
      </c>
      <c r="D391" s="3" t="s">
        <v>58</v>
      </c>
      <c r="E391" s="3" t="s">
        <v>10</v>
      </c>
      <c r="F391" s="3" t="s">
        <v>8</v>
      </c>
      <c r="G391" s="30">
        <v>0</v>
      </c>
      <c r="H391" s="39">
        <v>0</v>
      </c>
    </row>
    <row r="392" spans="1:8" hidden="1" x14ac:dyDescent="0.35">
      <c r="A392" s="10" t="s">
        <v>134</v>
      </c>
      <c r="B392" s="11">
        <v>45901</v>
      </c>
      <c r="C392" s="3" t="s">
        <v>57</v>
      </c>
      <c r="D392" s="3" t="s">
        <v>58</v>
      </c>
      <c r="E392" s="3" t="s">
        <v>10</v>
      </c>
      <c r="F392" s="3" t="s">
        <v>15</v>
      </c>
      <c r="G392" s="30">
        <v>35019.49</v>
      </c>
      <c r="H392" s="39">
        <v>1100</v>
      </c>
    </row>
    <row r="393" spans="1:8" hidden="1" x14ac:dyDescent="0.35">
      <c r="A393" s="10" t="s">
        <v>134</v>
      </c>
      <c r="B393" s="11">
        <v>45901</v>
      </c>
      <c r="C393" s="3" t="s">
        <v>57</v>
      </c>
      <c r="D393" s="3" t="s">
        <v>58</v>
      </c>
      <c r="E393" s="3" t="s">
        <v>10</v>
      </c>
      <c r="F393" s="3" t="s">
        <v>65</v>
      </c>
      <c r="G393" s="30">
        <v>0</v>
      </c>
      <c r="H393" s="39">
        <v>0</v>
      </c>
    </row>
    <row r="394" spans="1:8" hidden="1" x14ac:dyDescent="0.35">
      <c r="A394" s="3">
        <v>20105</v>
      </c>
      <c r="B394" s="11">
        <v>45901</v>
      </c>
      <c r="C394" s="3" t="s">
        <v>26</v>
      </c>
      <c r="D394" s="3" t="s">
        <v>19</v>
      </c>
      <c r="E394" s="3" t="s">
        <v>13</v>
      </c>
      <c r="F394" s="3" t="s">
        <v>7</v>
      </c>
      <c r="G394" s="30">
        <v>0</v>
      </c>
      <c r="H394" s="39">
        <v>0</v>
      </c>
    </row>
    <row r="395" spans="1:8" hidden="1" x14ac:dyDescent="0.35">
      <c r="A395" s="3">
        <v>20105</v>
      </c>
      <c r="B395" s="11">
        <v>45901</v>
      </c>
      <c r="C395" s="3" t="s">
        <v>26</v>
      </c>
      <c r="D395" s="3" t="s">
        <v>19</v>
      </c>
      <c r="E395" s="3" t="s">
        <v>13</v>
      </c>
      <c r="F395" s="3" t="s">
        <v>8</v>
      </c>
      <c r="G395" s="30">
        <v>0</v>
      </c>
      <c r="H395" s="39">
        <v>0</v>
      </c>
    </row>
    <row r="396" spans="1:8" hidden="1" x14ac:dyDescent="0.35">
      <c r="A396" s="3">
        <v>20105</v>
      </c>
      <c r="B396" s="11">
        <v>45901</v>
      </c>
      <c r="C396" s="3" t="s">
        <v>26</v>
      </c>
      <c r="D396" s="3" t="s">
        <v>19</v>
      </c>
      <c r="E396" s="3" t="s">
        <v>13</v>
      </c>
      <c r="F396" s="3" t="s">
        <v>15</v>
      </c>
      <c r="G396" s="30">
        <v>15310.52</v>
      </c>
      <c r="H396" s="39">
        <v>510</v>
      </c>
    </row>
    <row r="397" spans="1:8" hidden="1" x14ac:dyDescent="0.35">
      <c r="A397" s="3">
        <v>20105</v>
      </c>
      <c r="B397" s="11">
        <v>45901</v>
      </c>
      <c r="C397" s="3" t="s">
        <v>26</v>
      </c>
      <c r="D397" s="3" t="s">
        <v>19</v>
      </c>
      <c r="E397" s="3" t="s">
        <v>13</v>
      </c>
      <c r="F397" s="3" t="s">
        <v>65</v>
      </c>
      <c r="G397" s="30">
        <v>0</v>
      </c>
      <c r="H397" s="39">
        <v>0</v>
      </c>
    </row>
    <row r="398" spans="1:8" hidden="1" x14ac:dyDescent="0.35">
      <c r="A398" s="10" t="s">
        <v>274</v>
      </c>
      <c r="B398" s="11">
        <v>45931</v>
      </c>
      <c r="C398" s="3" t="s">
        <v>48</v>
      </c>
      <c r="D398" s="3" t="s">
        <v>49</v>
      </c>
      <c r="E398" s="3" t="s">
        <v>52</v>
      </c>
      <c r="F398" s="3" t="s">
        <v>7</v>
      </c>
      <c r="G398" s="30">
        <v>0</v>
      </c>
      <c r="H398" s="39">
        <v>0</v>
      </c>
    </row>
    <row r="399" spans="1:8" hidden="1" x14ac:dyDescent="0.35">
      <c r="A399" s="10" t="s">
        <v>274</v>
      </c>
      <c r="B399" s="11">
        <v>45931</v>
      </c>
      <c r="C399" s="3" t="s">
        <v>48</v>
      </c>
      <c r="D399" s="3" t="s">
        <v>49</v>
      </c>
      <c r="E399" s="3" t="s">
        <v>52</v>
      </c>
      <c r="F399" s="3" t="s">
        <v>8</v>
      </c>
      <c r="G399" s="30">
        <v>0</v>
      </c>
      <c r="H399" s="39">
        <v>0</v>
      </c>
    </row>
    <row r="400" spans="1:8" hidden="1" x14ac:dyDescent="0.35">
      <c r="A400" s="10" t="s">
        <v>274</v>
      </c>
      <c r="B400" s="11">
        <v>45931</v>
      </c>
      <c r="C400" s="3" t="s">
        <v>48</v>
      </c>
      <c r="D400" s="3" t="s">
        <v>49</v>
      </c>
      <c r="E400" s="3" t="s">
        <v>52</v>
      </c>
      <c r="F400" s="3" t="s">
        <v>15</v>
      </c>
      <c r="G400" s="30">
        <v>93380.944864864854</v>
      </c>
      <c r="H400" s="39">
        <v>2040</v>
      </c>
    </row>
    <row r="401" spans="1:8" hidden="1" x14ac:dyDescent="0.35">
      <c r="A401" s="10" t="s">
        <v>274</v>
      </c>
      <c r="B401" s="11">
        <v>45931</v>
      </c>
      <c r="C401" s="3" t="s">
        <v>48</v>
      </c>
      <c r="D401" s="3" t="s">
        <v>49</v>
      </c>
      <c r="E401" s="3" t="s">
        <v>52</v>
      </c>
      <c r="F401" s="3" t="s">
        <v>65</v>
      </c>
      <c r="G401" s="30">
        <v>0</v>
      </c>
      <c r="H401" s="39">
        <v>0</v>
      </c>
    </row>
    <row r="402" spans="1:8" hidden="1" x14ac:dyDescent="0.35">
      <c r="A402" s="10" t="s">
        <v>275</v>
      </c>
      <c r="B402" s="11">
        <v>45931</v>
      </c>
      <c r="C402" s="3" t="s">
        <v>48</v>
      </c>
      <c r="D402" s="3" t="s">
        <v>49</v>
      </c>
      <c r="E402" s="3" t="s">
        <v>14</v>
      </c>
      <c r="F402" s="3" t="s">
        <v>7</v>
      </c>
      <c r="G402" s="30">
        <v>0</v>
      </c>
      <c r="H402" s="39">
        <v>0</v>
      </c>
    </row>
    <row r="403" spans="1:8" hidden="1" x14ac:dyDescent="0.35">
      <c r="A403" s="10" t="s">
        <v>275</v>
      </c>
      <c r="B403" s="11">
        <v>45931</v>
      </c>
      <c r="C403" s="3" t="s">
        <v>48</v>
      </c>
      <c r="D403" s="3" t="s">
        <v>49</v>
      </c>
      <c r="E403" s="3" t="s">
        <v>14</v>
      </c>
      <c r="F403" s="3" t="s">
        <v>8</v>
      </c>
      <c r="G403" s="30">
        <v>0</v>
      </c>
      <c r="H403" s="39">
        <v>0</v>
      </c>
    </row>
    <row r="404" spans="1:8" hidden="1" x14ac:dyDescent="0.35">
      <c r="A404" s="10" t="s">
        <v>275</v>
      </c>
      <c r="B404" s="11">
        <v>45931</v>
      </c>
      <c r="C404" s="3" t="s">
        <v>48</v>
      </c>
      <c r="D404" s="3" t="s">
        <v>49</v>
      </c>
      <c r="E404" s="3" t="s">
        <v>14</v>
      </c>
      <c r="F404" s="3" t="s">
        <v>15</v>
      </c>
      <c r="G404" s="30">
        <v>17995.57</v>
      </c>
      <c r="H404" s="39">
        <v>936</v>
      </c>
    </row>
    <row r="405" spans="1:8" hidden="1" x14ac:dyDescent="0.35">
      <c r="A405" s="10" t="s">
        <v>275</v>
      </c>
      <c r="B405" s="11">
        <v>45931</v>
      </c>
      <c r="C405" s="3" t="s">
        <v>48</v>
      </c>
      <c r="D405" s="3" t="s">
        <v>49</v>
      </c>
      <c r="E405" s="3" t="s">
        <v>14</v>
      </c>
      <c r="F405" s="3" t="s">
        <v>65</v>
      </c>
      <c r="G405" s="30">
        <v>0</v>
      </c>
      <c r="H405" s="39">
        <v>0</v>
      </c>
    </row>
    <row r="406" spans="1:8" hidden="1" x14ac:dyDescent="0.35">
      <c r="A406" s="10" t="s">
        <v>25</v>
      </c>
      <c r="B406" s="11">
        <v>45931</v>
      </c>
      <c r="C406" s="3" t="s">
        <v>48</v>
      </c>
      <c r="D406" s="3" t="s">
        <v>49</v>
      </c>
      <c r="E406" s="3" t="s">
        <v>116</v>
      </c>
      <c r="F406" s="3" t="s">
        <v>7</v>
      </c>
      <c r="G406" s="30">
        <v>0</v>
      </c>
      <c r="H406" s="39">
        <v>0</v>
      </c>
    </row>
    <row r="407" spans="1:8" hidden="1" x14ac:dyDescent="0.35">
      <c r="A407" s="10" t="s">
        <v>25</v>
      </c>
      <c r="B407" s="11">
        <v>45931</v>
      </c>
      <c r="C407" s="3" t="s">
        <v>48</v>
      </c>
      <c r="D407" s="3" t="s">
        <v>49</v>
      </c>
      <c r="E407" s="3" t="s">
        <v>116</v>
      </c>
      <c r="F407" s="3" t="s">
        <v>8</v>
      </c>
      <c r="G407" s="30">
        <v>0</v>
      </c>
      <c r="H407" s="39">
        <v>0</v>
      </c>
    </row>
    <row r="408" spans="1:8" hidden="1" x14ac:dyDescent="0.35">
      <c r="A408" s="10" t="s">
        <v>25</v>
      </c>
      <c r="B408" s="11">
        <v>45931</v>
      </c>
      <c r="C408" s="3" t="s">
        <v>48</v>
      </c>
      <c r="D408" s="3" t="s">
        <v>49</v>
      </c>
      <c r="E408" s="3" t="s">
        <v>116</v>
      </c>
      <c r="F408" s="3" t="s">
        <v>15</v>
      </c>
      <c r="G408" s="30">
        <v>0</v>
      </c>
      <c r="H408" s="39">
        <v>0</v>
      </c>
    </row>
    <row r="409" spans="1:8" hidden="1" x14ac:dyDescent="0.35">
      <c r="A409" s="10" t="s">
        <v>25</v>
      </c>
      <c r="B409" s="11">
        <v>45931</v>
      </c>
      <c r="C409" s="3" t="s">
        <v>48</v>
      </c>
      <c r="D409" s="3" t="s">
        <v>49</v>
      </c>
      <c r="E409" s="3" t="s">
        <v>116</v>
      </c>
      <c r="F409" s="3" t="s">
        <v>65</v>
      </c>
      <c r="G409" s="30">
        <v>0</v>
      </c>
      <c r="H409" s="39">
        <v>0</v>
      </c>
    </row>
    <row r="410" spans="1:8" hidden="1" x14ac:dyDescent="0.35">
      <c r="A410" s="10" t="s">
        <v>102</v>
      </c>
      <c r="B410" s="11">
        <v>45931</v>
      </c>
      <c r="C410" s="3" t="s">
        <v>48</v>
      </c>
      <c r="D410" s="3" t="s">
        <v>49</v>
      </c>
      <c r="E410" s="3" t="s">
        <v>51</v>
      </c>
      <c r="F410" s="3" t="s">
        <v>7</v>
      </c>
      <c r="G410" s="30">
        <v>0</v>
      </c>
      <c r="H410" s="39">
        <v>0</v>
      </c>
    </row>
    <row r="411" spans="1:8" hidden="1" x14ac:dyDescent="0.35">
      <c r="A411" s="10" t="s">
        <v>102</v>
      </c>
      <c r="B411" s="11">
        <v>45931</v>
      </c>
      <c r="C411" s="3" t="s">
        <v>48</v>
      </c>
      <c r="D411" s="3" t="s">
        <v>49</v>
      </c>
      <c r="E411" s="3" t="s">
        <v>51</v>
      </c>
      <c r="F411" s="3" t="s">
        <v>8</v>
      </c>
      <c r="G411" s="30">
        <v>0</v>
      </c>
      <c r="H411" s="39">
        <v>0</v>
      </c>
    </row>
    <row r="412" spans="1:8" hidden="1" x14ac:dyDescent="0.35">
      <c r="A412" s="10" t="s">
        <v>102</v>
      </c>
      <c r="B412" s="11">
        <v>45931</v>
      </c>
      <c r="C412" s="3" t="s">
        <v>48</v>
      </c>
      <c r="D412" s="3" t="s">
        <v>49</v>
      </c>
      <c r="E412" s="3" t="s">
        <v>51</v>
      </c>
      <c r="F412" s="3" t="s">
        <v>15</v>
      </c>
      <c r="G412" s="30">
        <v>0</v>
      </c>
      <c r="H412" s="39">
        <v>0</v>
      </c>
    </row>
    <row r="413" spans="1:8" hidden="1" x14ac:dyDescent="0.35">
      <c r="A413" s="10" t="s">
        <v>102</v>
      </c>
      <c r="B413" s="11">
        <v>45931</v>
      </c>
      <c r="C413" s="3" t="s">
        <v>48</v>
      </c>
      <c r="D413" s="3" t="s">
        <v>49</v>
      </c>
      <c r="E413" s="3" t="s">
        <v>51</v>
      </c>
      <c r="F413" s="3" t="s">
        <v>65</v>
      </c>
      <c r="G413" s="30">
        <v>0</v>
      </c>
      <c r="H413" s="39">
        <v>0</v>
      </c>
    </row>
    <row r="414" spans="1:8" hidden="1" x14ac:dyDescent="0.35">
      <c r="A414" s="10" t="s">
        <v>190</v>
      </c>
      <c r="B414" s="11">
        <v>45931</v>
      </c>
      <c r="C414" s="3" t="s">
        <v>22</v>
      </c>
      <c r="D414" s="3" t="s">
        <v>11</v>
      </c>
      <c r="E414" s="3" t="str">
        <f>_xlfn.XLOOKUP(TabReceitas[[#This Row],[ID]],TabCondicoesComerciais[ID],TabCondicoesComerciais[Congênere],"Verificar")</f>
        <v>Rede Sol</v>
      </c>
      <c r="F414" s="3" t="s">
        <v>7</v>
      </c>
      <c r="G414" s="30">
        <v>0</v>
      </c>
      <c r="H414" s="39">
        <v>0</v>
      </c>
    </row>
    <row r="415" spans="1:8" hidden="1" x14ac:dyDescent="0.35">
      <c r="A415" s="10" t="s">
        <v>190</v>
      </c>
      <c r="B415" s="11">
        <v>45931</v>
      </c>
      <c r="C415" s="3" t="s">
        <v>22</v>
      </c>
      <c r="D415" s="3" t="s">
        <v>11</v>
      </c>
      <c r="E415" s="3" t="str">
        <f>_xlfn.XLOOKUP(TabReceitas[[#This Row],[ID]],TabCondicoesComerciais[ID],TabCondicoesComerciais[Congênere],"Verificar")</f>
        <v>Rede Sol</v>
      </c>
      <c r="F415" s="3" t="s">
        <v>8</v>
      </c>
      <c r="G415" s="30">
        <v>0</v>
      </c>
      <c r="H415" s="39">
        <v>0</v>
      </c>
    </row>
    <row r="416" spans="1:8" hidden="1" x14ac:dyDescent="0.35">
      <c r="A416" s="10" t="s">
        <v>190</v>
      </c>
      <c r="B416" s="11">
        <v>45931</v>
      </c>
      <c r="C416" s="3" t="s">
        <v>22</v>
      </c>
      <c r="D416" s="3" t="s">
        <v>11</v>
      </c>
      <c r="E416" s="3" t="str">
        <f>_xlfn.XLOOKUP(TabReceitas[[#This Row],[ID]],TabCondicoesComerciais[ID],TabCondicoesComerciais[Congênere],"Verificar")</f>
        <v>Rede Sol</v>
      </c>
      <c r="F416" s="3" t="s">
        <v>15</v>
      </c>
      <c r="G416" s="30">
        <v>0</v>
      </c>
      <c r="H416" s="39">
        <v>0</v>
      </c>
    </row>
    <row r="417" spans="1:8" hidden="1" x14ac:dyDescent="0.35">
      <c r="A417" s="10" t="s">
        <v>190</v>
      </c>
      <c r="B417" s="11">
        <v>45931</v>
      </c>
      <c r="C417" s="3" t="s">
        <v>22</v>
      </c>
      <c r="D417" s="3" t="s">
        <v>11</v>
      </c>
      <c r="E417" s="3" t="str">
        <f>_xlfn.XLOOKUP(TabReceitas[[#This Row],[ID]],TabCondicoesComerciais[ID],TabCondicoesComerciais[Congênere],"Verificar")</f>
        <v>Rede Sol</v>
      </c>
      <c r="F417" s="3" t="s">
        <v>65</v>
      </c>
      <c r="G417" s="30">
        <v>0</v>
      </c>
      <c r="H417" s="39">
        <v>0</v>
      </c>
    </row>
    <row r="418" spans="1:8" hidden="1" x14ac:dyDescent="0.35">
      <c r="A418" s="10" t="s">
        <v>172</v>
      </c>
      <c r="B418" s="11">
        <v>45931</v>
      </c>
      <c r="C418" s="3" t="s">
        <v>22</v>
      </c>
      <c r="D418" s="3" t="s">
        <v>11</v>
      </c>
      <c r="E418" s="3" t="str">
        <f>_xlfn.XLOOKUP(TabReceitas[[#This Row],[ID]],TabCondicoesComerciais[ID],TabCondicoesComerciais[Congênere],"Verificar")</f>
        <v>Ruff</v>
      </c>
      <c r="F418" s="3" t="s">
        <v>7</v>
      </c>
      <c r="G418" s="30">
        <v>0</v>
      </c>
      <c r="H418" s="39">
        <v>0</v>
      </c>
    </row>
    <row r="419" spans="1:8" hidden="1" x14ac:dyDescent="0.35">
      <c r="A419" s="10" t="s">
        <v>172</v>
      </c>
      <c r="B419" s="11">
        <v>45931</v>
      </c>
      <c r="C419" s="3" t="s">
        <v>22</v>
      </c>
      <c r="D419" s="3" t="s">
        <v>11</v>
      </c>
      <c r="E419" s="3" t="str">
        <f>_xlfn.XLOOKUP(TabReceitas[[#This Row],[ID]],TabCondicoesComerciais[ID],TabCondicoesComerciais[Congênere],"Verificar")</f>
        <v>Ruff</v>
      </c>
      <c r="F419" s="3" t="s">
        <v>8</v>
      </c>
      <c r="G419" s="30">
        <v>0</v>
      </c>
      <c r="H419" s="39">
        <v>0</v>
      </c>
    </row>
    <row r="420" spans="1:8" hidden="1" x14ac:dyDescent="0.35">
      <c r="A420" s="10" t="s">
        <v>172</v>
      </c>
      <c r="B420" s="11">
        <v>45931</v>
      </c>
      <c r="C420" s="3" t="s">
        <v>22</v>
      </c>
      <c r="D420" s="3" t="s">
        <v>11</v>
      </c>
      <c r="E420" s="3" t="str">
        <f>_xlfn.XLOOKUP(TabReceitas[[#This Row],[ID]],TabCondicoesComerciais[ID],TabCondicoesComerciais[Congênere],"Verificar")</f>
        <v>Ruff</v>
      </c>
      <c r="F420" s="3" t="s">
        <v>15</v>
      </c>
      <c r="G420" s="30">
        <v>0</v>
      </c>
      <c r="H420" s="39">
        <v>0</v>
      </c>
    </row>
    <row r="421" spans="1:8" hidden="1" x14ac:dyDescent="0.35">
      <c r="A421" s="10" t="s">
        <v>172</v>
      </c>
      <c r="B421" s="11">
        <v>45931</v>
      </c>
      <c r="C421" s="3" t="s">
        <v>22</v>
      </c>
      <c r="D421" s="3" t="s">
        <v>11</v>
      </c>
      <c r="E421" s="3" t="str">
        <f>_xlfn.XLOOKUP(TabReceitas[[#This Row],[ID]],TabCondicoesComerciais[ID],TabCondicoesComerciais[Congênere],"Verificar")</f>
        <v>Ruff</v>
      </c>
      <c r="F421" s="3" t="s">
        <v>65</v>
      </c>
      <c r="G421" s="30">
        <v>0</v>
      </c>
      <c r="H421" s="39">
        <v>0</v>
      </c>
    </row>
    <row r="422" spans="1:8" hidden="1" x14ac:dyDescent="0.35">
      <c r="A422" s="10" t="s">
        <v>149</v>
      </c>
      <c r="B422" s="11">
        <v>45931</v>
      </c>
      <c r="C422" s="3" t="s">
        <v>23</v>
      </c>
      <c r="D422" s="3" t="s">
        <v>112</v>
      </c>
      <c r="E422" s="3" t="s">
        <v>113</v>
      </c>
      <c r="F422" s="3" t="s">
        <v>7</v>
      </c>
      <c r="G422" s="30">
        <v>0</v>
      </c>
      <c r="H422" s="39">
        <v>0</v>
      </c>
    </row>
    <row r="423" spans="1:8" hidden="1" x14ac:dyDescent="0.35">
      <c r="A423" s="10" t="s">
        <v>149</v>
      </c>
      <c r="B423" s="11">
        <v>45931</v>
      </c>
      <c r="C423" s="3" t="s">
        <v>23</v>
      </c>
      <c r="D423" s="3" t="s">
        <v>112</v>
      </c>
      <c r="E423" s="3" t="s">
        <v>113</v>
      </c>
      <c r="F423" s="3" t="s">
        <v>8</v>
      </c>
      <c r="G423" s="30">
        <v>0</v>
      </c>
      <c r="H423" s="39">
        <v>0</v>
      </c>
    </row>
    <row r="424" spans="1:8" hidden="1" x14ac:dyDescent="0.35">
      <c r="A424" s="10" t="s">
        <v>149</v>
      </c>
      <c r="B424" s="11">
        <v>45931</v>
      </c>
      <c r="C424" s="3" t="s">
        <v>23</v>
      </c>
      <c r="D424" s="3" t="s">
        <v>112</v>
      </c>
      <c r="E424" s="3" t="s">
        <v>113</v>
      </c>
      <c r="F424" s="3" t="s">
        <v>15</v>
      </c>
      <c r="G424" s="30">
        <v>0</v>
      </c>
      <c r="H424" s="39">
        <v>0</v>
      </c>
    </row>
    <row r="425" spans="1:8" hidden="1" x14ac:dyDescent="0.35">
      <c r="A425" s="10" t="s">
        <v>149</v>
      </c>
      <c r="B425" s="11">
        <v>45931</v>
      </c>
      <c r="C425" s="3" t="s">
        <v>23</v>
      </c>
      <c r="D425" s="3" t="s">
        <v>112</v>
      </c>
      <c r="E425" s="3" t="s">
        <v>113</v>
      </c>
      <c r="F425" s="3" t="s">
        <v>65</v>
      </c>
      <c r="G425" s="30">
        <v>0</v>
      </c>
      <c r="H425" s="39">
        <v>0</v>
      </c>
    </row>
    <row r="426" spans="1:8" hidden="1" x14ac:dyDescent="0.35">
      <c r="A426" s="10" t="s">
        <v>263</v>
      </c>
      <c r="B426" s="11">
        <v>45931</v>
      </c>
      <c r="C426" s="3" t="s">
        <v>46</v>
      </c>
      <c r="D426" s="3" t="s">
        <v>87</v>
      </c>
      <c r="E426" s="3" t="s">
        <v>9</v>
      </c>
      <c r="F426" s="3" t="s">
        <v>7</v>
      </c>
      <c r="G426" s="30">
        <v>0</v>
      </c>
      <c r="H426" s="39">
        <v>0</v>
      </c>
    </row>
    <row r="427" spans="1:8" hidden="1" x14ac:dyDescent="0.35">
      <c r="A427" s="10" t="s">
        <v>263</v>
      </c>
      <c r="B427" s="11">
        <v>45931</v>
      </c>
      <c r="C427" s="3" t="s">
        <v>46</v>
      </c>
      <c r="D427" s="3" t="s">
        <v>87</v>
      </c>
      <c r="E427" s="3" t="s">
        <v>9</v>
      </c>
      <c r="F427" s="3" t="s">
        <v>8</v>
      </c>
      <c r="G427" s="30">
        <v>0</v>
      </c>
      <c r="H427" s="39">
        <v>0</v>
      </c>
    </row>
    <row r="428" spans="1:8" hidden="1" x14ac:dyDescent="0.35">
      <c r="A428" s="10" t="s">
        <v>263</v>
      </c>
      <c r="B428" s="11">
        <v>45931</v>
      </c>
      <c r="C428" s="3" t="s">
        <v>46</v>
      </c>
      <c r="D428" s="3" t="s">
        <v>87</v>
      </c>
      <c r="E428" s="3" t="s">
        <v>9</v>
      </c>
      <c r="F428" s="3" t="s">
        <v>15</v>
      </c>
      <c r="G428" s="64">
        <v>65348.32</v>
      </c>
      <c r="H428" s="39">
        <v>1926</v>
      </c>
    </row>
    <row r="429" spans="1:8" hidden="1" x14ac:dyDescent="0.35">
      <c r="A429" s="10" t="s">
        <v>263</v>
      </c>
      <c r="B429" s="11">
        <v>45931</v>
      </c>
      <c r="C429" s="3" t="s">
        <v>46</v>
      </c>
      <c r="D429" s="3" t="s">
        <v>87</v>
      </c>
      <c r="E429" s="3" t="s">
        <v>9</v>
      </c>
      <c r="F429" s="3" t="s">
        <v>65</v>
      </c>
      <c r="G429" s="30">
        <v>0</v>
      </c>
      <c r="H429" s="39">
        <v>0</v>
      </c>
    </row>
    <row r="430" spans="1:8" hidden="1" x14ac:dyDescent="0.35">
      <c r="A430" s="10" t="s">
        <v>169</v>
      </c>
      <c r="B430" s="11">
        <v>45778</v>
      </c>
      <c r="C430" s="3" t="s">
        <v>25</v>
      </c>
      <c r="D430" s="3" t="s">
        <v>12</v>
      </c>
      <c r="E430" s="3" t="str">
        <f>_xlfn.XLOOKUP(TabReceitas[[#This Row],[ID]],TabCondicoesComerciais[ID],TabCondicoesComerciais[Congênere],"Verificar")</f>
        <v>Sim Distribuidora</v>
      </c>
      <c r="F430" s="3" t="s">
        <v>65</v>
      </c>
      <c r="G430" s="30">
        <v>0</v>
      </c>
      <c r="H430" s="30">
        <v>0</v>
      </c>
    </row>
    <row r="431" spans="1:8" hidden="1" x14ac:dyDescent="0.35">
      <c r="A431" s="10" t="s">
        <v>264</v>
      </c>
      <c r="B431" s="11">
        <v>45809</v>
      </c>
      <c r="C431" s="3" t="s">
        <v>25</v>
      </c>
      <c r="D431" s="3" t="s">
        <v>12</v>
      </c>
      <c r="E431" s="3" t="s">
        <v>9</v>
      </c>
      <c r="F431" s="3" t="s">
        <v>7</v>
      </c>
      <c r="G431" s="30">
        <v>0</v>
      </c>
      <c r="H431" s="39">
        <v>0</v>
      </c>
    </row>
    <row r="432" spans="1:8" hidden="1" x14ac:dyDescent="0.35">
      <c r="A432" s="10" t="s">
        <v>264</v>
      </c>
      <c r="B432" s="11">
        <v>45809</v>
      </c>
      <c r="C432" s="3" t="s">
        <v>25</v>
      </c>
      <c r="D432" s="3" t="s">
        <v>12</v>
      </c>
      <c r="E432" s="3" t="s">
        <v>9</v>
      </c>
      <c r="F432" s="3" t="s">
        <v>8</v>
      </c>
      <c r="G432" s="30">
        <v>0</v>
      </c>
      <c r="H432" s="39">
        <v>0</v>
      </c>
    </row>
    <row r="433" spans="1:8" hidden="1" x14ac:dyDescent="0.35">
      <c r="A433" s="10" t="s">
        <v>264</v>
      </c>
      <c r="B433" s="11">
        <v>45809</v>
      </c>
      <c r="C433" s="3" t="s">
        <v>25</v>
      </c>
      <c r="D433" s="3" t="s">
        <v>12</v>
      </c>
      <c r="E433" s="3" t="s">
        <v>9</v>
      </c>
      <c r="F433" s="3" t="s">
        <v>15</v>
      </c>
      <c r="G433" s="30">
        <v>179058.61</v>
      </c>
      <c r="H433" s="39">
        <v>6100</v>
      </c>
    </row>
    <row r="434" spans="1:8" hidden="1" x14ac:dyDescent="0.35">
      <c r="A434" s="10" t="s">
        <v>134</v>
      </c>
      <c r="B434" s="11">
        <v>45931</v>
      </c>
      <c r="C434" s="3" t="s">
        <v>57</v>
      </c>
      <c r="D434" s="3" t="s">
        <v>58</v>
      </c>
      <c r="E434" s="3" t="s">
        <v>10</v>
      </c>
      <c r="F434" s="3" t="s">
        <v>7</v>
      </c>
      <c r="G434" s="30">
        <v>0</v>
      </c>
      <c r="H434" s="39">
        <v>0</v>
      </c>
    </row>
    <row r="435" spans="1:8" hidden="1" x14ac:dyDescent="0.35">
      <c r="A435" s="10" t="s">
        <v>134</v>
      </c>
      <c r="B435" s="11">
        <v>45931</v>
      </c>
      <c r="C435" s="3" t="s">
        <v>57</v>
      </c>
      <c r="D435" s="3" t="s">
        <v>58</v>
      </c>
      <c r="E435" s="3" t="s">
        <v>10</v>
      </c>
      <c r="F435" s="3" t="s">
        <v>8</v>
      </c>
      <c r="G435" s="30">
        <v>0</v>
      </c>
      <c r="H435" s="39">
        <v>0</v>
      </c>
    </row>
    <row r="436" spans="1:8" hidden="1" x14ac:dyDescent="0.35">
      <c r="A436" s="10" t="s">
        <v>134</v>
      </c>
      <c r="B436" s="11">
        <v>45931</v>
      </c>
      <c r="C436" s="3" t="s">
        <v>57</v>
      </c>
      <c r="D436" s="3" t="s">
        <v>58</v>
      </c>
      <c r="E436" s="3" t="s">
        <v>10</v>
      </c>
      <c r="F436" s="3" t="s">
        <v>15</v>
      </c>
      <c r="G436" s="30">
        <v>35019.49</v>
      </c>
      <c r="H436" s="39">
        <v>1100</v>
      </c>
    </row>
    <row r="437" spans="1:8" hidden="1" x14ac:dyDescent="0.35">
      <c r="A437" s="10" t="s">
        <v>134</v>
      </c>
      <c r="B437" s="11">
        <v>45931</v>
      </c>
      <c r="C437" s="3" t="s">
        <v>57</v>
      </c>
      <c r="D437" s="3" t="s">
        <v>58</v>
      </c>
      <c r="E437" s="3" t="s">
        <v>10</v>
      </c>
      <c r="F437" s="3" t="s">
        <v>65</v>
      </c>
      <c r="G437" s="30">
        <v>0</v>
      </c>
      <c r="H437" s="39">
        <v>0</v>
      </c>
    </row>
    <row r="438" spans="1:8" hidden="1" x14ac:dyDescent="0.35">
      <c r="A438" s="3">
        <v>20105</v>
      </c>
      <c r="B438" s="11">
        <v>45931</v>
      </c>
      <c r="C438" s="3" t="s">
        <v>26</v>
      </c>
      <c r="D438" s="3" t="s">
        <v>19</v>
      </c>
      <c r="E438" s="3" t="s">
        <v>13</v>
      </c>
      <c r="F438" s="3" t="s">
        <v>7</v>
      </c>
      <c r="G438" s="30">
        <v>0</v>
      </c>
      <c r="H438" s="39">
        <v>0</v>
      </c>
    </row>
    <row r="439" spans="1:8" hidden="1" x14ac:dyDescent="0.35">
      <c r="A439" s="3">
        <v>20105</v>
      </c>
      <c r="B439" s="11">
        <v>45931</v>
      </c>
      <c r="C439" s="3" t="s">
        <v>26</v>
      </c>
      <c r="D439" s="3" t="s">
        <v>19</v>
      </c>
      <c r="E439" s="3" t="s">
        <v>13</v>
      </c>
      <c r="F439" s="3" t="s">
        <v>8</v>
      </c>
      <c r="G439" s="30">
        <v>0</v>
      </c>
      <c r="H439" s="39">
        <v>0</v>
      </c>
    </row>
    <row r="440" spans="1:8" hidden="1" x14ac:dyDescent="0.35">
      <c r="A440" s="3">
        <v>20105</v>
      </c>
      <c r="B440" s="11">
        <v>45931</v>
      </c>
      <c r="C440" s="3" t="s">
        <v>26</v>
      </c>
      <c r="D440" s="3" t="s">
        <v>19</v>
      </c>
      <c r="E440" s="3" t="s">
        <v>13</v>
      </c>
      <c r="F440" s="3" t="s">
        <v>15</v>
      </c>
      <c r="G440" s="30">
        <v>15310.52</v>
      </c>
      <c r="H440" s="39">
        <v>510</v>
      </c>
    </row>
    <row r="441" spans="1:8" hidden="1" x14ac:dyDescent="0.35">
      <c r="A441" s="3">
        <v>20105</v>
      </c>
      <c r="B441" s="11">
        <v>45931</v>
      </c>
      <c r="C441" s="3" t="s">
        <v>26</v>
      </c>
      <c r="D441" s="3" t="s">
        <v>19</v>
      </c>
      <c r="E441" s="3" t="s">
        <v>13</v>
      </c>
      <c r="F441" s="3" t="s">
        <v>65</v>
      </c>
      <c r="G441" s="30">
        <v>0</v>
      </c>
      <c r="H441" s="39">
        <v>0</v>
      </c>
    </row>
    <row r="442" spans="1:8" hidden="1" x14ac:dyDescent="0.35">
      <c r="A442" s="10" t="s">
        <v>274</v>
      </c>
      <c r="B442" s="11">
        <v>45962</v>
      </c>
      <c r="C442" s="3" t="s">
        <v>48</v>
      </c>
      <c r="D442" s="3" t="s">
        <v>49</v>
      </c>
      <c r="E442" s="3" t="s">
        <v>52</v>
      </c>
      <c r="F442" s="3" t="s">
        <v>7</v>
      </c>
      <c r="G442" s="30">
        <v>0</v>
      </c>
      <c r="H442" s="39">
        <v>0</v>
      </c>
    </row>
    <row r="443" spans="1:8" hidden="1" x14ac:dyDescent="0.35">
      <c r="A443" s="10" t="s">
        <v>274</v>
      </c>
      <c r="B443" s="11">
        <v>45962</v>
      </c>
      <c r="C443" s="3" t="s">
        <v>48</v>
      </c>
      <c r="D443" s="3" t="s">
        <v>49</v>
      </c>
      <c r="E443" s="3" t="s">
        <v>52</v>
      </c>
      <c r="F443" s="3" t="s">
        <v>8</v>
      </c>
      <c r="G443" s="30">
        <v>0</v>
      </c>
      <c r="H443" s="39">
        <v>0</v>
      </c>
    </row>
    <row r="444" spans="1:8" hidden="1" x14ac:dyDescent="0.35">
      <c r="A444" s="10" t="s">
        <v>274</v>
      </c>
      <c r="B444" s="11">
        <v>45962</v>
      </c>
      <c r="C444" s="3" t="s">
        <v>48</v>
      </c>
      <c r="D444" s="3" t="s">
        <v>49</v>
      </c>
      <c r="E444" s="3" t="s">
        <v>52</v>
      </c>
      <c r="F444" s="3" t="s">
        <v>15</v>
      </c>
      <c r="G444" s="30">
        <v>93380.944864864854</v>
      </c>
      <c r="H444" s="39">
        <v>2040</v>
      </c>
    </row>
    <row r="445" spans="1:8" hidden="1" x14ac:dyDescent="0.35">
      <c r="A445" s="10" t="s">
        <v>274</v>
      </c>
      <c r="B445" s="11">
        <v>45962</v>
      </c>
      <c r="C445" s="3" t="s">
        <v>48</v>
      </c>
      <c r="D445" s="3" t="s">
        <v>49</v>
      </c>
      <c r="E445" s="3" t="s">
        <v>52</v>
      </c>
      <c r="F445" s="3" t="s">
        <v>65</v>
      </c>
      <c r="G445" s="30">
        <v>0</v>
      </c>
      <c r="H445" s="39">
        <v>0</v>
      </c>
    </row>
    <row r="446" spans="1:8" hidden="1" x14ac:dyDescent="0.35">
      <c r="A446" s="10" t="s">
        <v>275</v>
      </c>
      <c r="B446" s="11">
        <v>45962</v>
      </c>
      <c r="C446" s="3" t="s">
        <v>48</v>
      </c>
      <c r="D446" s="3" t="s">
        <v>49</v>
      </c>
      <c r="E446" s="3" t="s">
        <v>14</v>
      </c>
      <c r="F446" s="3" t="s">
        <v>7</v>
      </c>
      <c r="G446" s="30">
        <v>0</v>
      </c>
      <c r="H446" s="39">
        <v>0</v>
      </c>
    </row>
    <row r="447" spans="1:8" hidden="1" x14ac:dyDescent="0.35">
      <c r="A447" s="10" t="s">
        <v>275</v>
      </c>
      <c r="B447" s="11">
        <v>45962</v>
      </c>
      <c r="C447" s="3" t="s">
        <v>48</v>
      </c>
      <c r="D447" s="3" t="s">
        <v>49</v>
      </c>
      <c r="E447" s="3" t="s">
        <v>14</v>
      </c>
      <c r="F447" s="3" t="s">
        <v>8</v>
      </c>
      <c r="G447" s="30">
        <v>0</v>
      </c>
      <c r="H447" s="39">
        <v>0</v>
      </c>
    </row>
    <row r="448" spans="1:8" hidden="1" x14ac:dyDescent="0.35">
      <c r="A448" s="10" t="s">
        <v>275</v>
      </c>
      <c r="B448" s="11">
        <v>45962</v>
      </c>
      <c r="C448" s="3" t="s">
        <v>48</v>
      </c>
      <c r="D448" s="3" t="s">
        <v>49</v>
      </c>
      <c r="E448" s="3" t="s">
        <v>14</v>
      </c>
      <c r="F448" s="3" t="s">
        <v>15</v>
      </c>
      <c r="G448" s="30">
        <v>18715.400000000001</v>
      </c>
      <c r="H448" s="39">
        <v>936</v>
      </c>
    </row>
    <row r="449" spans="1:8" hidden="1" x14ac:dyDescent="0.35">
      <c r="A449" s="10" t="s">
        <v>275</v>
      </c>
      <c r="B449" s="11">
        <v>45962</v>
      </c>
      <c r="C449" s="3" t="s">
        <v>48</v>
      </c>
      <c r="D449" s="3" t="s">
        <v>49</v>
      </c>
      <c r="E449" s="3" t="s">
        <v>14</v>
      </c>
      <c r="F449" s="3" t="s">
        <v>65</v>
      </c>
      <c r="G449" s="30">
        <v>0</v>
      </c>
      <c r="H449" s="39">
        <v>0</v>
      </c>
    </row>
    <row r="450" spans="1:8" hidden="1" x14ac:dyDescent="0.35">
      <c r="A450" s="10" t="s">
        <v>25</v>
      </c>
      <c r="B450" s="11">
        <v>45962</v>
      </c>
      <c r="C450" s="3" t="s">
        <v>48</v>
      </c>
      <c r="D450" s="3" t="s">
        <v>49</v>
      </c>
      <c r="E450" s="3" t="s">
        <v>116</v>
      </c>
      <c r="F450" s="3" t="s">
        <v>7</v>
      </c>
      <c r="G450" s="30">
        <v>0</v>
      </c>
      <c r="H450" s="39">
        <v>0</v>
      </c>
    </row>
    <row r="451" spans="1:8" hidden="1" x14ac:dyDescent="0.35">
      <c r="A451" s="10" t="s">
        <v>25</v>
      </c>
      <c r="B451" s="11">
        <v>45962</v>
      </c>
      <c r="C451" s="3" t="s">
        <v>48</v>
      </c>
      <c r="D451" s="3" t="s">
        <v>49</v>
      </c>
      <c r="E451" s="3" t="s">
        <v>116</v>
      </c>
      <c r="F451" s="3" t="s">
        <v>8</v>
      </c>
      <c r="G451" s="30">
        <v>0</v>
      </c>
      <c r="H451" s="39">
        <v>0</v>
      </c>
    </row>
    <row r="452" spans="1:8" hidden="1" x14ac:dyDescent="0.35">
      <c r="A452" s="10" t="s">
        <v>25</v>
      </c>
      <c r="B452" s="11">
        <v>45962</v>
      </c>
      <c r="C452" s="3" t="s">
        <v>48</v>
      </c>
      <c r="D452" s="3" t="s">
        <v>49</v>
      </c>
      <c r="E452" s="3" t="s">
        <v>116</v>
      </c>
      <c r="F452" s="3" t="s">
        <v>15</v>
      </c>
      <c r="G452" s="30">
        <v>0</v>
      </c>
      <c r="H452" s="39">
        <v>0</v>
      </c>
    </row>
    <row r="453" spans="1:8" hidden="1" x14ac:dyDescent="0.35">
      <c r="A453" s="10" t="s">
        <v>25</v>
      </c>
      <c r="B453" s="11">
        <v>45962</v>
      </c>
      <c r="C453" s="3" t="s">
        <v>48</v>
      </c>
      <c r="D453" s="3" t="s">
        <v>49</v>
      </c>
      <c r="E453" s="3" t="s">
        <v>116</v>
      </c>
      <c r="F453" s="3" t="s">
        <v>65</v>
      </c>
      <c r="G453" s="30">
        <v>0</v>
      </c>
      <c r="H453" s="39">
        <v>0</v>
      </c>
    </row>
    <row r="454" spans="1:8" hidden="1" x14ac:dyDescent="0.35">
      <c r="A454" s="10" t="s">
        <v>102</v>
      </c>
      <c r="B454" s="11">
        <v>45962</v>
      </c>
      <c r="C454" s="3" t="s">
        <v>48</v>
      </c>
      <c r="D454" s="3" t="s">
        <v>49</v>
      </c>
      <c r="E454" s="3" t="s">
        <v>51</v>
      </c>
      <c r="F454" s="3" t="s">
        <v>7</v>
      </c>
      <c r="G454" s="30">
        <v>0</v>
      </c>
      <c r="H454" s="39">
        <v>0</v>
      </c>
    </row>
    <row r="455" spans="1:8" hidden="1" x14ac:dyDescent="0.35">
      <c r="A455" s="10" t="s">
        <v>102</v>
      </c>
      <c r="B455" s="11">
        <v>45962</v>
      </c>
      <c r="C455" s="3" t="s">
        <v>48</v>
      </c>
      <c r="D455" s="3" t="s">
        <v>49</v>
      </c>
      <c r="E455" s="3" t="s">
        <v>51</v>
      </c>
      <c r="F455" s="3" t="s">
        <v>8</v>
      </c>
      <c r="G455" s="30">
        <v>0</v>
      </c>
      <c r="H455" s="39">
        <v>0</v>
      </c>
    </row>
    <row r="456" spans="1:8" hidden="1" x14ac:dyDescent="0.35">
      <c r="A456" s="10" t="s">
        <v>102</v>
      </c>
      <c r="B456" s="11">
        <v>45962</v>
      </c>
      <c r="C456" s="3" t="s">
        <v>48</v>
      </c>
      <c r="D456" s="3" t="s">
        <v>49</v>
      </c>
      <c r="E456" s="3" t="s">
        <v>51</v>
      </c>
      <c r="F456" s="3" t="s">
        <v>15</v>
      </c>
      <c r="G456" s="30">
        <v>0</v>
      </c>
      <c r="H456" s="39">
        <v>0</v>
      </c>
    </row>
    <row r="457" spans="1:8" hidden="1" x14ac:dyDescent="0.35">
      <c r="A457" s="10" t="s">
        <v>102</v>
      </c>
      <c r="B457" s="11">
        <v>45962</v>
      </c>
      <c r="C457" s="3" t="s">
        <v>48</v>
      </c>
      <c r="D457" s="3" t="s">
        <v>49</v>
      </c>
      <c r="E457" s="3" t="s">
        <v>51</v>
      </c>
      <c r="F457" s="3" t="s">
        <v>65</v>
      </c>
      <c r="G457" s="30">
        <v>0</v>
      </c>
      <c r="H457" s="39">
        <v>0</v>
      </c>
    </row>
    <row r="458" spans="1:8" hidden="1" x14ac:dyDescent="0.35">
      <c r="A458" s="10" t="s">
        <v>190</v>
      </c>
      <c r="B458" s="11">
        <v>45962</v>
      </c>
      <c r="C458" s="3" t="s">
        <v>22</v>
      </c>
      <c r="D458" s="3" t="s">
        <v>11</v>
      </c>
      <c r="E458" s="3" t="str">
        <f>_xlfn.XLOOKUP(TabReceitas[[#This Row],[ID]],TabCondicoesComerciais[ID],TabCondicoesComerciais[Congênere],"Verificar")</f>
        <v>Rede Sol</v>
      </c>
      <c r="F458" s="3" t="s">
        <v>7</v>
      </c>
      <c r="G458" s="30">
        <v>0</v>
      </c>
      <c r="H458" s="39">
        <v>0</v>
      </c>
    </row>
    <row r="459" spans="1:8" hidden="1" x14ac:dyDescent="0.35">
      <c r="A459" s="10" t="s">
        <v>190</v>
      </c>
      <c r="B459" s="11">
        <v>45962</v>
      </c>
      <c r="C459" s="3" t="s">
        <v>22</v>
      </c>
      <c r="D459" s="3" t="s">
        <v>11</v>
      </c>
      <c r="E459" s="3" t="str">
        <f>_xlfn.XLOOKUP(TabReceitas[[#This Row],[ID]],TabCondicoesComerciais[ID],TabCondicoesComerciais[Congênere],"Verificar")</f>
        <v>Rede Sol</v>
      </c>
      <c r="F459" s="3" t="s">
        <v>8</v>
      </c>
      <c r="G459" s="30">
        <v>0</v>
      </c>
      <c r="H459" s="39">
        <v>0</v>
      </c>
    </row>
    <row r="460" spans="1:8" hidden="1" x14ac:dyDescent="0.35">
      <c r="A460" s="10" t="s">
        <v>190</v>
      </c>
      <c r="B460" s="11">
        <v>45962</v>
      </c>
      <c r="C460" s="3" t="s">
        <v>22</v>
      </c>
      <c r="D460" s="3" t="s">
        <v>11</v>
      </c>
      <c r="E460" s="3" t="str">
        <f>_xlfn.XLOOKUP(TabReceitas[[#This Row],[ID]],TabCondicoesComerciais[ID],TabCondicoesComerciais[Congênere],"Verificar")</f>
        <v>Rede Sol</v>
      </c>
      <c r="F460" s="3" t="s">
        <v>15</v>
      </c>
      <c r="G460" s="30">
        <v>0</v>
      </c>
      <c r="H460" s="39">
        <v>0</v>
      </c>
    </row>
    <row r="461" spans="1:8" hidden="1" x14ac:dyDescent="0.35">
      <c r="A461" s="10" t="s">
        <v>190</v>
      </c>
      <c r="B461" s="11">
        <v>45962</v>
      </c>
      <c r="C461" s="3" t="s">
        <v>22</v>
      </c>
      <c r="D461" s="3" t="s">
        <v>11</v>
      </c>
      <c r="E461" s="3" t="str">
        <f>_xlfn.XLOOKUP(TabReceitas[[#This Row],[ID]],TabCondicoesComerciais[ID],TabCondicoesComerciais[Congênere],"Verificar")</f>
        <v>Rede Sol</v>
      </c>
      <c r="F461" s="3" t="s">
        <v>65</v>
      </c>
      <c r="G461" s="30">
        <v>0</v>
      </c>
      <c r="H461" s="39">
        <v>0</v>
      </c>
    </row>
    <row r="462" spans="1:8" hidden="1" x14ac:dyDescent="0.35">
      <c r="A462" s="10" t="s">
        <v>172</v>
      </c>
      <c r="B462" s="11">
        <v>45962</v>
      </c>
      <c r="C462" s="3" t="s">
        <v>22</v>
      </c>
      <c r="D462" s="3" t="s">
        <v>11</v>
      </c>
      <c r="E462" s="3" t="str">
        <f>_xlfn.XLOOKUP(TabReceitas[[#This Row],[ID]],TabCondicoesComerciais[ID],TabCondicoesComerciais[Congênere],"Verificar")</f>
        <v>Ruff</v>
      </c>
      <c r="F462" s="3" t="s">
        <v>7</v>
      </c>
      <c r="G462" s="30">
        <v>0</v>
      </c>
      <c r="H462" s="39">
        <v>0</v>
      </c>
    </row>
    <row r="463" spans="1:8" hidden="1" x14ac:dyDescent="0.35">
      <c r="A463" s="10" t="s">
        <v>172</v>
      </c>
      <c r="B463" s="11">
        <v>45962</v>
      </c>
      <c r="C463" s="3" t="s">
        <v>22</v>
      </c>
      <c r="D463" s="3" t="s">
        <v>11</v>
      </c>
      <c r="E463" s="3" t="str">
        <f>_xlfn.XLOOKUP(TabReceitas[[#This Row],[ID]],TabCondicoesComerciais[ID],TabCondicoesComerciais[Congênere],"Verificar")</f>
        <v>Ruff</v>
      </c>
      <c r="F463" s="3" t="s">
        <v>8</v>
      </c>
      <c r="G463" s="30">
        <v>0</v>
      </c>
      <c r="H463" s="39">
        <v>0</v>
      </c>
    </row>
    <row r="464" spans="1:8" hidden="1" x14ac:dyDescent="0.35">
      <c r="A464" s="10" t="s">
        <v>172</v>
      </c>
      <c r="B464" s="11">
        <v>45962</v>
      </c>
      <c r="C464" s="3" t="s">
        <v>22</v>
      </c>
      <c r="D464" s="3" t="s">
        <v>11</v>
      </c>
      <c r="E464" s="3" t="str">
        <f>_xlfn.XLOOKUP(TabReceitas[[#This Row],[ID]],TabCondicoesComerciais[ID],TabCondicoesComerciais[Congênere],"Verificar")</f>
        <v>Ruff</v>
      </c>
      <c r="F464" s="3" t="s">
        <v>15</v>
      </c>
      <c r="G464" s="30">
        <v>0</v>
      </c>
      <c r="H464" s="39">
        <v>0</v>
      </c>
    </row>
    <row r="465" spans="1:8" hidden="1" x14ac:dyDescent="0.35">
      <c r="A465" s="10" t="s">
        <v>172</v>
      </c>
      <c r="B465" s="11">
        <v>45962</v>
      </c>
      <c r="C465" s="3" t="s">
        <v>22</v>
      </c>
      <c r="D465" s="3" t="s">
        <v>11</v>
      </c>
      <c r="E465" s="3" t="str">
        <f>_xlfn.XLOOKUP(TabReceitas[[#This Row],[ID]],TabCondicoesComerciais[ID],TabCondicoesComerciais[Congênere],"Verificar")</f>
        <v>Ruff</v>
      </c>
      <c r="F465" s="3" t="s">
        <v>65</v>
      </c>
      <c r="G465" s="30">
        <v>0</v>
      </c>
      <c r="H465" s="39">
        <v>0</v>
      </c>
    </row>
    <row r="466" spans="1:8" hidden="1" x14ac:dyDescent="0.35">
      <c r="A466" s="10" t="s">
        <v>149</v>
      </c>
      <c r="B466" s="11">
        <v>45962</v>
      </c>
      <c r="C466" s="3" t="s">
        <v>23</v>
      </c>
      <c r="D466" s="3" t="s">
        <v>112</v>
      </c>
      <c r="E466" s="3" t="s">
        <v>113</v>
      </c>
      <c r="F466" s="3" t="s">
        <v>7</v>
      </c>
      <c r="G466" s="30">
        <v>0</v>
      </c>
      <c r="H466" s="39">
        <v>0</v>
      </c>
    </row>
    <row r="467" spans="1:8" hidden="1" x14ac:dyDescent="0.35">
      <c r="A467" s="10" t="s">
        <v>149</v>
      </c>
      <c r="B467" s="11">
        <v>45962</v>
      </c>
      <c r="C467" s="3" t="s">
        <v>23</v>
      </c>
      <c r="D467" s="3" t="s">
        <v>112</v>
      </c>
      <c r="E467" s="3" t="s">
        <v>113</v>
      </c>
      <c r="F467" s="3" t="s">
        <v>8</v>
      </c>
      <c r="G467" s="30">
        <v>0</v>
      </c>
      <c r="H467" s="39">
        <v>0</v>
      </c>
    </row>
    <row r="468" spans="1:8" hidden="1" x14ac:dyDescent="0.35">
      <c r="A468" s="10" t="s">
        <v>149</v>
      </c>
      <c r="B468" s="11">
        <v>45962</v>
      </c>
      <c r="C468" s="3" t="s">
        <v>23</v>
      </c>
      <c r="D468" s="3" t="s">
        <v>112</v>
      </c>
      <c r="E468" s="3" t="s">
        <v>113</v>
      </c>
      <c r="F468" s="3" t="s">
        <v>15</v>
      </c>
      <c r="G468" s="30">
        <v>0</v>
      </c>
      <c r="H468" s="39">
        <v>0</v>
      </c>
    </row>
    <row r="469" spans="1:8" hidden="1" x14ac:dyDescent="0.35">
      <c r="A469" s="10" t="s">
        <v>149</v>
      </c>
      <c r="B469" s="11">
        <v>45962</v>
      </c>
      <c r="C469" s="3" t="s">
        <v>23</v>
      </c>
      <c r="D469" s="3" t="s">
        <v>112</v>
      </c>
      <c r="E469" s="3" t="s">
        <v>113</v>
      </c>
      <c r="F469" s="3" t="s">
        <v>65</v>
      </c>
      <c r="G469" s="30">
        <v>0</v>
      </c>
      <c r="H469" s="39">
        <v>0</v>
      </c>
    </row>
    <row r="470" spans="1:8" hidden="1" x14ac:dyDescent="0.35">
      <c r="A470" s="10" t="s">
        <v>263</v>
      </c>
      <c r="B470" s="11">
        <v>45962</v>
      </c>
      <c r="C470" s="3" t="s">
        <v>46</v>
      </c>
      <c r="D470" s="3" t="s">
        <v>87</v>
      </c>
      <c r="E470" s="3" t="s">
        <v>9</v>
      </c>
      <c r="F470" s="3" t="s">
        <v>7</v>
      </c>
      <c r="G470" s="30">
        <v>0</v>
      </c>
      <c r="H470" s="39">
        <v>0</v>
      </c>
    </row>
    <row r="471" spans="1:8" hidden="1" x14ac:dyDescent="0.35">
      <c r="A471" s="10" t="s">
        <v>263</v>
      </c>
      <c r="B471" s="11">
        <v>45962</v>
      </c>
      <c r="C471" s="3" t="s">
        <v>46</v>
      </c>
      <c r="D471" s="3" t="s">
        <v>87</v>
      </c>
      <c r="E471" s="3" t="s">
        <v>9</v>
      </c>
      <c r="F471" s="3" t="s">
        <v>8</v>
      </c>
      <c r="G471" s="30">
        <v>0</v>
      </c>
      <c r="H471" s="39">
        <v>0</v>
      </c>
    </row>
    <row r="472" spans="1:8" hidden="1" x14ac:dyDescent="0.35">
      <c r="A472" s="10" t="s">
        <v>263</v>
      </c>
      <c r="B472" s="11">
        <v>45962</v>
      </c>
      <c r="C472" s="3" t="s">
        <v>46</v>
      </c>
      <c r="D472" s="3" t="s">
        <v>87</v>
      </c>
      <c r="E472" s="3" t="s">
        <v>9</v>
      </c>
      <c r="F472" s="3" t="s">
        <v>15</v>
      </c>
      <c r="G472" s="30">
        <v>65348.32</v>
      </c>
      <c r="H472" s="39">
        <v>1926</v>
      </c>
    </row>
    <row r="473" spans="1:8" hidden="1" x14ac:dyDescent="0.35">
      <c r="A473" s="10" t="s">
        <v>263</v>
      </c>
      <c r="B473" s="11">
        <v>45962</v>
      </c>
      <c r="C473" s="3" t="s">
        <v>46</v>
      </c>
      <c r="D473" s="3" t="s">
        <v>87</v>
      </c>
      <c r="E473" s="3" t="s">
        <v>9</v>
      </c>
      <c r="F473" s="3" t="s">
        <v>65</v>
      </c>
      <c r="G473" s="30">
        <v>0</v>
      </c>
      <c r="H473" s="39">
        <v>0</v>
      </c>
    </row>
    <row r="474" spans="1:8" hidden="1" x14ac:dyDescent="0.35">
      <c r="A474" s="10" t="s">
        <v>264</v>
      </c>
      <c r="B474" s="11">
        <v>45809</v>
      </c>
      <c r="C474" s="3" t="s">
        <v>25</v>
      </c>
      <c r="D474" s="3" t="s">
        <v>12</v>
      </c>
      <c r="E474" s="3" t="s">
        <v>9</v>
      </c>
      <c r="F474" s="3" t="s">
        <v>65</v>
      </c>
      <c r="G474" s="30">
        <v>0</v>
      </c>
      <c r="H474" s="39">
        <v>0</v>
      </c>
    </row>
    <row r="475" spans="1:8" hidden="1" x14ac:dyDescent="0.35">
      <c r="A475" s="10" t="s">
        <v>169</v>
      </c>
      <c r="B475" s="11">
        <v>45809</v>
      </c>
      <c r="C475" s="3" t="s">
        <v>25</v>
      </c>
      <c r="D475" s="3" t="s">
        <v>12</v>
      </c>
      <c r="E475" s="3" t="str">
        <f>_xlfn.XLOOKUP(TabReceitas[[#This Row],[ID]],TabCondicoesComerciais[ID],TabCondicoesComerciais[Congênere],"Verificar")</f>
        <v>Sim Distribuidora</v>
      </c>
      <c r="F475" s="3" t="s">
        <v>7</v>
      </c>
      <c r="G475" s="30">
        <v>0</v>
      </c>
      <c r="H475" s="30">
        <v>0</v>
      </c>
    </row>
    <row r="476" spans="1:8" hidden="1" x14ac:dyDescent="0.35">
      <c r="A476" s="10" t="s">
        <v>169</v>
      </c>
      <c r="B476" s="11">
        <v>45809</v>
      </c>
      <c r="C476" s="3" t="s">
        <v>25</v>
      </c>
      <c r="D476" s="3" t="s">
        <v>12</v>
      </c>
      <c r="E476" s="3" t="str">
        <f>_xlfn.XLOOKUP(TabReceitas[[#This Row],[ID]],TabCondicoesComerciais[ID],TabCondicoesComerciais[Congênere],"Verificar")</f>
        <v>Sim Distribuidora</v>
      </c>
      <c r="F476" s="3" t="s">
        <v>8</v>
      </c>
      <c r="G476" s="30">
        <v>0</v>
      </c>
      <c r="H476" s="30">
        <v>0</v>
      </c>
    </row>
    <row r="477" spans="1:8" hidden="1" x14ac:dyDescent="0.35">
      <c r="A477" s="10" t="s">
        <v>169</v>
      </c>
      <c r="B477" s="11">
        <v>45809</v>
      </c>
      <c r="C477" s="3" t="s">
        <v>25</v>
      </c>
      <c r="D477" s="3" t="s">
        <v>12</v>
      </c>
      <c r="E477" s="3" t="str">
        <f>_xlfn.XLOOKUP(TabReceitas[[#This Row],[ID]],TabCondicoesComerciais[ID],TabCondicoesComerciais[Congênere],"Verificar")</f>
        <v>Sim Distribuidora</v>
      </c>
      <c r="F477" s="3" t="s">
        <v>15</v>
      </c>
      <c r="G477" s="30">
        <v>123240</v>
      </c>
      <c r="H477" s="40">
        <v>4160</v>
      </c>
    </row>
    <row r="478" spans="1:8" hidden="1" x14ac:dyDescent="0.35">
      <c r="A478" s="10" t="s">
        <v>134</v>
      </c>
      <c r="B478" s="11">
        <v>45962</v>
      </c>
      <c r="C478" s="3" t="s">
        <v>57</v>
      </c>
      <c r="D478" s="3" t="s">
        <v>58</v>
      </c>
      <c r="E478" s="3" t="s">
        <v>10</v>
      </c>
      <c r="F478" s="3" t="s">
        <v>7</v>
      </c>
      <c r="G478" s="30">
        <v>0</v>
      </c>
      <c r="H478" s="39">
        <v>0</v>
      </c>
    </row>
    <row r="479" spans="1:8" hidden="1" x14ac:dyDescent="0.35">
      <c r="A479" s="10" t="s">
        <v>134</v>
      </c>
      <c r="B479" s="11">
        <v>45962</v>
      </c>
      <c r="C479" s="3" t="s">
        <v>57</v>
      </c>
      <c r="D479" s="3" t="s">
        <v>58</v>
      </c>
      <c r="E479" s="3" t="s">
        <v>10</v>
      </c>
      <c r="F479" s="3" t="s">
        <v>8</v>
      </c>
      <c r="G479" s="30">
        <v>0</v>
      </c>
      <c r="H479" s="39">
        <v>0</v>
      </c>
    </row>
    <row r="480" spans="1:8" hidden="1" x14ac:dyDescent="0.35">
      <c r="A480" s="10" t="s">
        <v>134</v>
      </c>
      <c r="B480" s="11">
        <v>45962</v>
      </c>
      <c r="C480" s="3" t="s">
        <v>57</v>
      </c>
      <c r="D480" s="3" t="s">
        <v>58</v>
      </c>
      <c r="E480" s="3" t="s">
        <v>10</v>
      </c>
      <c r="F480" s="3" t="s">
        <v>15</v>
      </c>
      <c r="G480" s="30">
        <v>35019.49</v>
      </c>
      <c r="H480" s="39">
        <v>1100</v>
      </c>
    </row>
    <row r="481" spans="1:8" hidden="1" x14ac:dyDescent="0.35">
      <c r="A481" s="10" t="s">
        <v>134</v>
      </c>
      <c r="B481" s="11">
        <v>45962</v>
      </c>
      <c r="C481" s="3" t="s">
        <v>57</v>
      </c>
      <c r="D481" s="3" t="s">
        <v>58</v>
      </c>
      <c r="E481" s="3" t="s">
        <v>10</v>
      </c>
      <c r="F481" s="3" t="s">
        <v>65</v>
      </c>
      <c r="G481" s="30">
        <v>0</v>
      </c>
      <c r="H481" s="39">
        <v>0</v>
      </c>
    </row>
    <row r="482" spans="1:8" hidden="1" x14ac:dyDescent="0.35">
      <c r="A482" s="3">
        <v>20105</v>
      </c>
      <c r="B482" s="11">
        <v>45962</v>
      </c>
      <c r="C482" s="3" t="s">
        <v>26</v>
      </c>
      <c r="D482" s="3" t="s">
        <v>19</v>
      </c>
      <c r="E482" s="3" t="s">
        <v>13</v>
      </c>
      <c r="F482" s="3" t="s">
        <v>7</v>
      </c>
      <c r="G482" s="30">
        <v>0</v>
      </c>
      <c r="H482" s="39">
        <v>0</v>
      </c>
    </row>
    <row r="483" spans="1:8" hidden="1" x14ac:dyDescent="0.35">
      <c r="A483" s="3">
        <v>20105</v>
      </c>
      <c r="B483" s="11">
        <v>45962</v>
      </c>
      <c r="C483" s="3" t="s">
        <v>26</v>
      </c>
      <c r="D483" s="3" t="s">
        <v>19</v>
      </c>
      <c r="E483" s="3" t="s">
        <v>13</v>
      </c>
      <c r="F483" s="3" t="s">
        <v>8</v>
      </c>
      <c r="G483" s="30">
        <v>0</v>
      </c>
      <c r="H483" s="39">
        <v>0</v>
      </c>
    </row>
    <row r="484" spans="1:8" hidden="1" x14ac:dyDescent="0.35">
      <c r="A484" s="3">
        <v>20105</v>
      </c>
      <c r="B484" s="11">
        <v>45962</v>
      </c>
      <c r="C484" s="3" t="s">
        <v>26</v>
      </c>
      <c r="D484" s="3" t="s">
        <v>19</v>
      </c>
      <c r="E484" s="3" t="s">
        <v>13</v>
      </c>
      <c r="F484" s="3" t="s">
        <v>15</v>
      </c>
      <c r="G484" s="30">
        <v>15310.52</v>
      </c>
      <c r="H484" s="39">
        <v>510</v>
      </c>
    </row>
    <row r="485" spans="1:8" hidden="1" x14ac:dyDescent="0.35">
      <c r="A485" s="3">
        <v>20105</v>
      </c>
      <c r="B485" s="11">
        <v>45962</v>
      </c>
      <c r="C485" s="3" t="s">
        <v>26</v>
      </c>
      <c r="D485" s="3" t="s">
        <v>19</v>
      </c>
      <c r="E485" s="3" t="s">
        <v>13</v>
      </c>
      <c r="F485" s="3" t="s">
        <v>65</v>
      </c>
      <c r="G485" s="30">
        <v>0</v>
      </c>
      <c r="H485" s="39">
        <v>0</v>
      </c>
    </row>
    <row r="486" spans="1:8" hidden="1" x14ac:dyDescent="0.35">
      <c r="A486" s="10" t="s">
        <v>274</v>
      </c>
      <c r="B486" s="11">
        <v>45992</v>
      </c>
      <c r="C486" s="3" t="s">
        <v>48</v>
      </c>
      <c r="D486" s="3" t="s">
        <v>49</v>
      </c>
      <c r="E486" s="3" t="s">
        <v>52</v>
      </c>
      <c r="F486" s="3" t="s">
        <v>7</v>
      </c>
      <c r="G486" s="30">
        <v>0</v>
      </c>
      <c r="H486" s="39">
        <v>0</v>
      </c>
    </row>
    <row r="487" spans="1:8" hidden="1" x14ac:dyDescent="0.35">
      <c r="A487" s="10" t="s">
        <v>274</v>
      </c>
      <c r="B487" s="11">
        <v>45992</v>
      </c>
      <c r="C487" s="3" t="s">
        <v>48</v>
      </c>
      <c r="D487" s="3" t="s">
        <v>49</v>
      </c>
      <c r="E487" s="3" t="s">
        <v>52</v>
      </c>
      <c r="F487" s="3" t="s">
        <v>8</v>
      </c>
      <c r="G487" s="30">
        <v>0</v>
      </c>
      <c r="H487" s="39">
        <v>0</v>
      </c>
    </row>
    <row r="488" spans="1:8" hidden="1" x14ac:dyDescent="0.35">
      <c r="A488" s="10" t="s">
        <v>274</v>
      </c>
      <c r="B488" s="11">
        <v>45992</v>
      </c>
      <c r="C488" s="3" t="s">
        <v>48</v>
      </c>
      <c r="D488" s="3" t="s">
        <v>49</v>
      </c>
      <c r="E488" s="3" t="s">
        <v>52</v>
      </c>
      <c r="F488" s="3" t="s">
        <v>15</v>
      </c>
      <c r="G488" s="30">
        <v>93380.944864864854</v>
      </c>
      <c r="H488" s="39">
        <v>2040</v>
      </c>
    </row>
    <row r="489" spans="1:8" hidden="1" x14ac:dyDescent="0.35">
      <c r="A489" s="10" t="s">
        <v>274</v>
      </c>
      <c r="B489" s="11">
        <v>45992</v>
      </c>
      <c r="C489" s="3" t="s">
        <v>48</v>
      </c>
      <c r="D489" s="3" t="s">
        <v>49</v>
      </c>
      <c r="E489" s="3" t="s">
        <v>52</v>
      </c>
      <c r="F489" s="3" t="s">
        <v>65</v>
      </c>
      <c r="G489" s="30">
        <v>0</v>
      </c>
      <c r="H489" s="39">
        <v>0</v>
      </c>
    </row>
    <row r="490" spans="1:8" hidden="1" x14ac:dyDescent="0.35">
      <c r="A490" s="10" t="s">
        <v>275</v>
      </c>
      <c r="B490" s="11">
        <v>45992</v>
      </c>
      <c r="C490" s="3" t="s">
        <v>48</v>
      </c>
      <c r="D490" s="3" t="s">
        <v>49</v>
      </c>
      <c r="E490" s="3" t="s">
        <v>14</v>
      </c>
      <c r="F490" s="3" t="s">
        <v>7</v>
      </c>
      <c r="G490" s="30">
        <v>0</v>
      </c>
      <c r="H490" s="39">
        <v>0</v>
      </c>
    </row>
    <row r="491" spans="1:8" hidden="1" x14ac:dyDescent="0.35">
      <c r="A491" s="10" t="s">
        <v>275</v>
      </c>
      <c r="B491" s="11">
        <v>45992</v>
      </c>
      <c r="C491" s="3" t="s">
        <v>48</v>
      </c>
      <c r="D491" s="3" t="s">
        <v>49</v>
      </c>
      <c r="E491" s="3" t="s">
        <v>14</v>
      </c>
      <c r="F491" s="3" t="s">
        <v>8</v>
      </c>
      <c r="G491" s="30">
        <v>0</v>
      </c>
      <c r="H491" s="39">
        <v>0</v>
      </c>
    </row>
    <row r="492" spans="1:8" hidden="1" x14ac:dyDescent="0.35">
      <c r="A492" s="10" t="s">
        <v>275</v>
      </c>
      <c r="B492" s="11">
        <v>45992</v>
      </c>
      <c r="C492" s="3" t="s">
        <v>48</v>
      </c>
      <c r="D492" s="3" t="s">
        <v>49</v>
      </c>
      <c r="E492" s="3" t="s">
        <v>14</v>
      </c>
      <c r="F492" s="3" t="s">
        <v>15</v>
      </c>
      <c r="G492" s="30">
        <v>18715.400000000001</v>
      </c>
      <c r="H492" s="39">
        <v>936</v>
      </c>
    </row>
    <row r="493" spans="1:8" hidden="1" x14ac:dyDescent="0.35">
      <c r="A493" s="10" t="s">
        <v>275</v>
      </c>
      <c r="B493" s="11">
        <v>45992</v>
      </c>
      <c r="C493" s="3" t="s">
        <v>48</v>
      </c>
      <c r="D493" s="3" t="s">
        <v>49</v>
      </c>
      <c r="E493" s="3" t="s">
        <v>14</v>
      </c>
      <c r="F493" s="3" t="s">
        <v>65</v>
      </c>
      <c r="G493" s="30">
        <v>0</v>
      </c>
      <c r="H493" s="39">
        <v>0</v>
      </c>
    </row>
    <row r="494" spans="1:8" hidden="1" x14ac:dyDescent="0.35">
      <c r="A494" s="10" t="s">
        <v>25</v>
      </c>
      <c r="B494" s="11">
        <v>45992</v>
      </c>
      <c r="C494" s="3" t="s">
        <v>48</v>
      </c>
      <c r="D494" s="3" t="s">
        <v>49</v>
      </c>
      <c r="E494" s="3" t="s">
        <v>116</v>
      </c>
      <c r="F494" s="3" t="s">
        <v>7</v>
      </c>
      <c r="G494" s="30">
        <v>0</v>
      </c>
      <c r="H494" s="39">
        <v>0</v>
      </c>
    </row>
    <row r="495" spans="1:8" hidden="1" x14ac:dyDescent="0.35">
      <c r="A495" s="10" t="s">
        <v>25</v>
      </c>
      <c r="B495" s="11">
        <v>45992</v>
      </c>
      <c r="C495" s="3" t="s">
        <v>48</v>
      </c>
      <c r="D495" s="3" t="s">
        <v>49</v>
      </c>
      <c r="E495" s="3" t="s">
        <v>116</v>
      </c>
      <c r="F495" s="3" t="s">
        <v>8</v>
      </c>
      <c r="G495" s="30">
        <v>0</v>
      </c>
      <c r="H495" s="39">
        <v>0</v>
      </c>
    </row>
    <row r="496" spans="1:8" hidden="1" x14ac:dyDescent="0.35">
      <c r="A496" s="10" t="s">
        <v>25</v>
      </c>
      <c r="B496" s="11">
        <v>45992</v>
      </c>
      <c r="C496" s="3" t="s">
        <v>48</v>
      </c>
      <c r="D496" s="3" t="s">
        <v>49</v>
      </c>
      <c r="E496" s="3" t="s">
        <v>116</v>
      </c>
      <c r="F496" s="3" t="s">
        <v>15</v>
      </c>
      <c r="G496" s="30">
        <v>0</v>
      </c>
      <c r="H496" s="39">
        <v>0</v>
      </c>
    </row>
    <row r="497" spans="1:8" hidden="1" x14ac:dyDescent="0.35">
      <c r="A497" s="10" t="s">
        <v>25</v>
      </c>
      <c r="B497" s="11">
        <v>45992</v>
      </c>
      <c r="C497" s="3" t="s">
        <v>48</v>
      </c>
      <c r="D497" s="3" t="s">
        <v>49</v>
      </c>
      <c r="E497" s="3" t="s">
        <v>116</v>
      </c>
      <c r="F497" s="3" t="s">
        <v>65</v>
      </c>
      <c r="G497" s="30">
        <v>0</v>
      </c>
      <c r="H497" s="39">
        <v>0</v>
      </c>
    </row>
    <row r="498" spans="1:8" hidden="1" x14ac:dyDescent="0.35">
      <c r="A498" s="10" t="s">
        <v>102</v>
      </c>
      <c r="B498" s="11">
        <v>45992</v>
      </c>
      <c r="C498" s="3" t="s">
        <v>48</v>
      </c>
      <c r="D498" s="3" t="s">
        <v>49</v>
      </c>
      <c r="E498" s="3" t="s">
        <v>51</v>
      </c>
      <c r="F498" s="3" t="s">
        <v>7</v>
      </c>
      <c r="G498" s="30">
        <v>0</v>
      </c>
      <c r="H498" s="39">
        <v>0</v>
      </c>
    </row>
    <row r="499" spans="1:8" hidden="1" x14ac:dyDescent="0.35">
      <c r="A499" s="10" t="s">
        <v>102</v>
      </c>
      <c r="B499" s="11">
        <v>45992</v>
      </c>
      <c r="C499" s="3" t="s">
        <v>48</v>
      </c>
      <c r="D499" s="3" t="s">
        <v>49</v>
      </c>
      <c r="E499" s="3" t="s">
        <v>51</v>
      </c>
      <c r="F499" s="3" t="s">
        <v>8</v>
      </c>
      <c r="G499" s="30">
        <v>0</v>
      </c>
      <c r="H499" s="39">
        <v>0</v>
      </c>
    </row>
    <row r="500" spans="1:8" hidden="1" x14ac:dyDescent="0.35">
      <c r="A500" s="10" t="s">
        <v>102</v>
      </c>
      <c r="B500" s="11">
        <v>45992</v>
      </c>
      <c r="C500" s="3" t="s">
        <v>48</v>
      </c>
      <c r="D500" s="3" t="s">
        <v>49</v>
      </c>
      <c r="E500" s="3" t="s">
        <v>51</v>
      </c>
      <c r="F500" s="3" t="s">
        <v>15</v>
      </c>
      <c r="G500" s="30">
        <v>0</v>
      </c>
      <c r="H500" s="39">
        <v>0</v>
      </c>
    </row>
    <row r="501" spans="1:8" hidden="1" x14ac:dyDescent="0.35">
      <c r="A501" s="10" t="s">
        <v>102</v>
      </c>
      <c r="B501" s="11">
        <v>45992</v>
      </c>
      <c r="C501" s="3" t="s">
        <v>48</v>
      </c>
      <c r="D501" s="3" t="s">
        <v>49</v>
      </c>
      <c r="E501" s="3" t="s">
        <v>51</v>
      </c>
      <c r="F501" s="3" t="s">
        <v>65</v>
      </c>
      <c r="G501" s="30">
        <v>0</v>
      </c>
      <c r="H501" s="39">
        <v>0</v>
      </c>
    </row>
    <row r="502" spans="1:8" hidden="1" x14ac:dyDescent="0.35">
      <c r="A502" s="10" t="s">
        <v>190</v>
      </c>
      <c r="B502" s="11">
        <v>45992</v>
      </c>
      <c r="C502" s="3" t="s">
        <v>22</v>
      </c>
      <c r="D502" s="3" t="s">
        <v>11</v>
      </c>
      <c r="E502" s="3" t="str">
        <f>_xlfn.XLOOKUP(TabReceitas[[#This Row],[ID]],TabCondicoesComerciais[ID],TabCondicoesComerciais[Congênere],"Verificar")</f>
        <v>Rede Sol</v>
      </c>
      <c r="F502" s="3" t="s">
        <v>7</v>
      </c>
      <c r="G502" s="30">
        <v>0</v>
      </c>
      <c r="H502" s="39">
        <v>0</v>
      </c>
    </row>
    <row r="503" spans="1:8" hidden="1" x14ac:dyDescent="0.35">
      <c r="A503" s="10" t="s">
        <v>190</v>
      </c>
      <c r="B503" s="11">
        <v>45992</v>
      </c>
      <c r="C503" s="3" t="s">
        <v>22</v>
      </c>
      <c r="D503" s="3" t="s">
        <v>11</v>
      </c>
      <c r="E503" s="3" t="str">
        <f>_xlfn.XLOOKUP(TabReceitas[[#This Row],[ID]],TabCondicoesComerciais[ID],TabCondicoesComerciais[Congênere],"Verificar")</f>
        <v>Rede Sol</v>
      </c>
      <c r="F503" s="3" t="s">
        <v>8</v>
      </c>
      <c r="G503" s="30">
        <v>0</v>
      </c>
      <c r="H503" s="39">
        <v>0</v>
      </c>
    </row>
    <row r="504" spans="1:8" hidden="1" x14ac:dyDescent="0.35">
      <c r="A504" s="10" t="s">
        <v>190</v>
      </c>
      <c r="B504" s="11">
        <v>45992</v>
      </c>
      <c r="C504" s="3" t="s">
        <v>22</v>
      </c>
      <c r="D504" s="3" t="s">
        <v>11</v>
      </c>
      <c r="E504" s="3" t="str">
        <f>_xlfn.XLOOKUP(TabReceitas[[#This Row],[ID]],TabCondicoesComerciais[ID],TabCondicoesComerciais[Congênere],"Verificar")</f>
        <v>Rede Sol</v>
      </c>
      <c r="F504" s="3" t="s">
        <v>15</v>
      </c>
      <c r="G504" s="30">
        <v>0</v>
      </c>
      <c r="H504" s="39">
        <v>0</v>
      </c>
    </row>
    <row r="505" spans="1:8" hidden="1" x14ac:dyDescent="0.35">
      <c r="A505" s="10" t="s">
        <v>190</v>
      </c>
      <c r="B505" s="11">
        <v>45992</v>
      </c>
      <c r="C505" s="3" t="s">
        <v>22</v>
      </c>
      <c r="D505" s="3" t="s">
        <v>11</v>
      </c>
      <c r="E505" s="3" t="str">
        <f>_xlfn.XLOOKUP(TabReceitas[[#This Row],[ID]],TabCondicoesComerciais[ID],TabCondicoesComerciais[Congênere],"Verificar")</f>
        <v>Rede Sol</v>
      </c>
      <c r="F505" s="3" t="s">
        <v>65</v>
      </c>
      <c r="G505" s="30">
        <v>0</v>
      </c>
      <c r="H505" s="39">
        <v>0</v>
      </c>
    </row>
    <row r="506" spans="1:8" hidden="1" x14ac:dyDescent="0.35">
      <c r="A506" s="10" t="s">
        <v>172</v>
      </c>
      <c r="B506" s="11">
        <v>45992</v>
      </c>
      <c r="C506" s="3" t="s">
        <v>22</v>
      </c>
      <c r="D506" s="3" t="s">
        <v>11</v>
      </c>
      <c r="E506" s="3" t="str">
        <f>_xlfn.XLOOKUP(TabReceitas[[#This Row],[ID]],TabCondicoesComerciais[ID],TabCondicoesComerciais[Congênere],"Verificar")</f>
        <v>Ruff</v>
      </c>
      <c r="F506" s="3" t="s">
        <v>7</v>
      </c>
      <c r="G506" s="30">
        <v>0</v>
      </c>
      <c r="H506" s="39">
        <v>0</v>
      </c>
    </row>
    <row r="507" spans="1:8" hidden="1" x14ac:dyDescent="0.35">
      <c r="A507" s="10" t="s">
        <v>172</v>
      </c>
      <c r="B507" s="11">
        <v>45992</v>
      </c>
      <c r="C507" s="3" t="s">
        <v>22</v>
      </c>
      <c r="D507" s="3" t="s">
        <v>11</v>
      </c>
      <c r="E507" s="3" t="str">
        <f>_xlfn.XLOOKUP(TabReceitas[[#This Row],[ID]],TabCondicoesComerciais[ID],TabCondicoesComerciais[Congênere],"Verificar")</f>
        <v>Ruff</v>
      </c>
      <c r="F507" s="3" t="s">
        <v>8</v>
      </c>
      <c r="G507" s="30">
        <v>0</v>
      </c>
      <c r="H507" s="39">
        <v>0</v>
      </c>
    </row>
    <row r="508" spans="1:8" hidden="1" x14ac:dyDescent="0.35">
      <c r="A508" s="10" t="s">
        <v>172</v>
      </c>
      <c r="B508" s="11">
        <v>45992</v>
      </c>
      <c r="C508" s="3" t="s">
        <v>22</v>
      </c>
      <c r="D508" s="3" t="s">
        <v>11</v>
      </c>
      <c r="E508" s="3" t="str">
        <f>_xlfn.XLOOKUP(TabReceitas[[#This Row],[ID]],TabCondicoesComerciais[ID],TabCondicoesComerciais[Congênere],"Verificar")</f>
        <v>Ruff</v>
      </c>
      <c r="F508" s="3" t="s">
        <v>15</v>
      </c>
      <c r="G508" s="30">
        <v>0</v>
      </c>
      <c r="H508" s="39">
        <v>0</v>
      </c>
    </row>
    <row r="509" spans="1:8" hidden="1" x14ac:dyDescent="0.35">
      <c r="A509" s="10" t="s">
        <v>172</v>
      </c>
      <c r="B509" s="11">
        <v>45992</v>
      </c>
      <c r="C509" s="3" t="s">
        <v>22</v>
      </c>
      <c r="D509" s="3" t="s">
        <v>11</v>
      </c>
      <c r="E509" s="3" t="str">
        <f>_xlfn.XLOOKUP(TabReceitas[[#This Row],[ID]],TabCondicoesComerciais[ID],TabCondicoesComerciais[Congênere],"Verificar")</f>
        <v>Ruff</v>
      </c>
      <c r="F509" s="3" t="s">
        <v>65</v>
      </c>
      <c r="G509" s="30">
        <v>0</v>
      </c>
      <c r="H509" s="39">
        <v>0</v>
      </c>
    </row>
    <row r="510" spans="1:8" hidden="1" x14ac:dyDescent="0.35">
      <c r="A510" s="10" t="s">
        <v>149</v>
      </c>
      <c r="B510" s="11">
        <v>45992</v>
      </c>
      <c r="C510" s="3" t="s">
        <v>23</v>
      </c>
      <c r="D510" s="3" t="s">
        <v>112</v>
      </c>
      <c r="E510" s="3" t="s">
        <v>113</v>
      </c>
      <c r="F510" s="3" t="s">
        <v>7</v>
      </c>
      <c r="G510" s="30">
        <v>0</v>
      </c>
      <c r="H510" s="39">
        <v>0</v>
      </c>
    </row>
    <row r="511" spans="1:8" hidden="1" x14ac:dyDescent="0.35">
      <c r="A511" s="10" t="s">
        <v>149</v>
      </c>
      <c r="B511" s="11">
        <v>45992</v>
      </c>
      <c r="C511" s="3" t="s">
        <v>23</v>
      </c>
      <c r="D511" s="3" t="s">
        <v>112</v>
      </c>
      <c r="E511" s="3" t="s">
        <v>113</v>
      </c>
      <c r="F511" s="3" t="s">
        <v>8</v>
      </c>
      <c r="G511" s="30">
        <v>0</v>
      </c>
      <c r="H511" s="39">
        <v>0</v>
      </c>
    </row>
    <row r="512" spans="1:8" hidden="1" x14ac:dyDescent="0.35">
      <c r="A512" s="10" t="s">
        <v>149</v>
      </c>
      <c r="B512" s="11">
        <v>45992</v>
      </c>
      <c r="C512" s="3" t="s">
        <v>23</v>
      </c>
      <c r="D512" s="3" t="s">
        <v>112</v>
      </c>
      <c r="E512" s="3" t="s">
        <v>113</v>
      </c>
      <c r="F512" s="3" t="s">
        <v>15</v>
      </c>
      <c r="G512" s="30">
        <v>0</v>
      </c>
      <c r="H512" s="39">
        <v>0</v>
      </c>
    </row>
    <row r="513" spans="1:8" hidden="1" x14ac:dyDescent="0.35">
      <c r="A513" s="10" t="s">
        <v>149</v>
      </c>
      <c r="B513" s="11">
        <v>45992</v>
      </c>
      <c r="C513" s="3" t="s">
        <v>23</v>
      </c>
      <c r="D513" s="3" t="s">
        <v>112</v>
      </c>
      <c r="E513" s="3" t="s">
        <v>113</v>
      </c>
      <c r="F513" s="3" t="s">
        <v>65</v>
      </c>
      <c r="G513" s="30">
        <v>0</v>
      </c>
      <c r="H513" s="39">
        <v>0</v>
      </c>
    </row>
    <row r="514" spans="1:8" hidden="1" x14ac:dyDescent="0.35">
      <c r="A514" s="10" t="s">
        <v>263</v>
      </c>
      <c r="B514" s="11">
        <v>45992</v>
      </c>
      <c r="C514" s="3" t="s">
        <v>46</v>
      </c>
      <c r="D514" s="3" t="s">
        <v>87</v>
      </c>
      <c r="E514" s="3" t="s">
        <v>9</v>
      </c>
      <c r="F514" s="3" t="s">
        <v>7</v>
      </c>
      <c r="G514" s="30">
        <v>0</v>
      </c>
      <c r="H514" s="39">
        <v>0</v>
      </c>
    </row>
    <row r="515" spans="1:8" hidden="1" x14ac:dyDescent="0.35">
      <c r="A515" s="10" t="s">
        <v>263</v>
      </c>
      <c r="B515" s="11">
        <v>45992</v>
      </c>
      <c r="C515" s="3" t="s">
        <v>46</v>
      </c>
      <c r="D515" s="3" t="s">
        <v>87</v>
      </c>
      <c r="E515" s="3" t="s">
        <v>9</v>
      </c>
      <c r="F515" s="3" t="s">
        <v>8</v>
      </c>
      <c r="G515" s="30">
        <v>0</v>
      </c>
      <c r="H515" s="39">
        <v>0</v>
      </c>
    </row>
    <row r="516" spans="1:8" hidden="1" x14ac:dyDescent="0.35">
      <c r="A516" s="10" t="s">
        <v>263</v>
      </c>
      <c r="B516" s="11">
        <v>45992</v>
      </c>
      <c r="C516" s="3" t="s">
        <v>46</v>
      </c>
      <c r="D516" s="3" t="s">
        <v>87</v>
      </c>
      <c r="E516" s="3" t="s">
        <v>9</v>
      </c>
      <c r="F516" s="3" t="s">
        <v>15</v>
      </c>
      <c r="G516" s="30">
        <v>65348.32</v>
      </c>
      <c r="H516" s="39">
        <v>1926</v>
      </c>
    </row>
    <row r="517" spans="1:8" hidden="1" x14ac:dyDescent="0.35">
      <c r="A517" s="10" t="s">
        <v>263</v>
      </c>
      <c r="B517" s="11">
        <v>45992</v>
      </c>
      <c r="C517" s="3" t="s">
        <v>46</v>
      </c>
      <c r="D517" s="3" t="s">
        <v>87</v>
      </c>
      <c r="E517" s="3" t="s">
        <v>9</v>
      </c>
      <c r="F517" s="3" t="s">
        <v>65</v>
      </c>
      <c r="G517" s="30">
        <v>0</v>
      </c>
      <c r="H517" s="39">
        <v>0</v>
      </c>
    </row>
    <row r="518" spans="1:8" hidden="1" x14ac:dyDescent="0.35">
      <c r="A518" s="10" t="s">
        <v>169</v>
      </c>
      <c r="B518" s="11">
        <v>45809</v>
      </c>
      <c r="C518" s="3" t="s">
        <v>25</v>
      </c>
      <c r="D518" s="3" t="s">
        <v>12</v>
      </c>
      <c r="E518" s="3" t="str">
        <f>_xlfn.XLOOKUP(TabReceitas[[#This Row],[ID]],TabCondicoesComerciais[ID],TabCondicoesComerciais[Congênere],"Verificar")</f>
        <v>Sim Distribuidora</v>
      </c>
      <c r="F518" s="3" t="s">
        <v>65</v>
      </c>
      <c r="G518" s="30">
        <v>0</v>
      </c>
      <c r="H518" s="30">
        <v>0</v>
      </c>
    </row>
    <row r="519" spans="1:8" hidden="1" x14ac:dyDescent="0.35">
      <c r="A519" s="10" t="s">
        <v>264</v>
      </c>
      <c r="B519" s="11">
        <v>45839</v>
      </c>
      <c r="C519" s="3" t="s">
        <v>25</v>
      </c>
      <c r="D519" s="3" t="s">
        <v>12</v>
      </c>
      <c r="E519" s="3" t="s">
        <v>9</v>
      </c>
      <c r="F519" s="3" t="s">
        <v>7</v>
      </c>
      <c r="G519" s="30">
        <v>0</v>
      </c>
      <c r="H519" s="39">
        <v>0</v>
      </c>
    </row>
    <row r="520" spans="1:8" hidden="1" x14ac:dyDescent="0.35">
      <c r="A520" s="10" t="s">
        <v>264</v>
      </c>
      <c r="B520" s="11">
        <v>45839</v>
      </c>
      <c r="C520" s="3" t="s">
        <v>25</v>
      </c>
      <c r="D520" s="3" t="s">
        <v>12</v>
      </c>
      <c r="E520" s="3" t="s">
        <v>9</v>
      </c>
      <c r="F520" s="3" t="s">
        <v>8</v>
      </c>
      <c r="G520" s="30">
        <v>0</v>
      </c>
      <c r="H520" s="39">
        <v>0</v>
      </c>
    </row>
    <row r="521" spans="1:8" hidden="1" x14ac:dyDescent="0.35">
      <c r="A521" s="10" t="s">
        <v>264</v>
      </c>
      <c r="B521" s="11">
        <v>45839</v>
      </c>
      <c r="C521" s="3" t="s">
        <v>25</v>
      </c>
      <c r="D521" s="3" t="s">
        <v>12</v>
      </c>
      <c r="E521" s="3" t="s">
        <v>9</v>
      </c>
      <c r="F521" s="3" t="s">
        <v>15</v>
      </c>
      <c r="G521" s="30">
        <v>165115.51999999999</v>
      </c>
      <c r="H521" s="58">
        <v>5625</v>
      </c>
    </row>
    <row r="522" spans="1:8" hidden="1" x14ac:dyDescent="0.35">
      <c r="A522" s="10" t="s">
        <v>134</v>
      </c>
      <c r="B522" s="11">
        <v>45992</v>
      </c>
      <c r="C522" s="3" t="s">
        <v>57</v>
      </c>
      <c r="D522" s="3" t="s">
        <v>58</v>
      </c>
      <c r="E522" s="3" t="s">
        <v>10</v>
      </c>
      <c r="F522" s="3" t="s">
        <v>7</v>
      </c>
      <c r="G522" s="30">
        <v>0</v>
      </c>
      <c r="H522" s="39">
        <v>0</v>
      </c>
    </row>
    <row r="523" spans="1:8" hidden="1" x14ac:dyDescent="0.35">
      <c r="A523" s="10" t="s">
        <v>134</v>
      </c>
      <c r="B523" s="11">
        <v>45992</v>
      </c>
      <c r="C523" s="3" t="s">
        <v>57</v>
      </c>
      <c r="D523" s="3" t="s">
        <v>58</v>
      </c>
      <c r="E523" s="3" t="s">
        <v>10</v>
      </c>
      <c r="F523" s="3" t="s">
        <v>8</v>
      </c>
      <c r="G523" s="30">
        <v>0</v>
      </c>
      <c r="H523" s="39">
        <v>0</v>
      </c>
    </row>
    <row r="524" spans="1:8" hidden="1" x14ac:dyDescent="0.35">
      <c r="A524" s="10" t="s">
        <v>134</v>
      </c>
      <c r="B524" s="11">
        <v>45992</v>
      </c>
      <c r="C524" s="3" t="s">
        <v>57</v>
      </c>
      <c r="D524" s="3" t="s">
        <v>58</v>
      </c>
      <c r="E524" s="3" t="s">
        <v>10</v>
      </c>
      <c r="F524" s="3" t="s">
        <v>15</v>
      </c>
      <c r="G524" s="30">
        <v>36294.29</v>
      </c>
      <c r="H524" s="39">
        <v>1100</v>
      </c>
    </row>
    <row r="525" spans="1:8" hidden="1" x14ac:dyDescent="0.35">
      <c r="A525" s="10" t="s">
        <v>134</v>
      </c>
      <c r="B525" s="11">
        <v>45992</v>
      </c>
      <c r="C525" s="3" t="s">
        <v>57</v>
      </c>
      <c r="D525" s="3" t="s">
        <v>58</v>
      </c>
      <c r="E525" s="3" t="s">
        <v>10</v>
      </c>
      <c r="F525" s="3" t="s">
        <v>65</v>
      </c>
      <c r="G525" s="30">
        <v>0</v>
      </c>
      <c r="H525" s="39">
        <v>0</v>
      </c>
    </row>
    <row r="526" spans="1:8" hidden="1" x14ac:dyDescent="0.35">
      <c r="A526" s="3">
        <v>20105</v>
      </c>
      <c r="B526" s="11">
        <v>45992</v>
      </c>
      <c r="C526" s="3" t="s">
        <v>26</v>
      </c>
      <c r="D526" s="3" t="s">
        <v>19</v>
      </c>
      <c r="E526" s="3" t="s">
        <v>13</v>
      </c>
      <c r="F526" s="3" t="s">
        <v>7</v>
      </c>
      <c r="G526" s="30">
        <v>0</v>
      </c>
      <c r="H526" s="39">
        <v>0</v>
      </c>
    </row>
    <row r="527" spans="1:8" hidden="1" x14ac:dyDescent="0.35">
      <c r="A527" s="3">
        <v>20105</v>
      </c>
      <c r="B527" s="11">
        <v>45992</v>
      </c>
      <c r="C527" s="3" t="s">
        <v>26</v>
      </c>
      <c r="D527" s="3" t="s">
        <v>19</v>
      </c>
      <c r="E527" s="3" t="s">
        <v>13</v>
      </c>
      <c r="F527" s="3" t="s">
        <v>8</v>
      </c>
      <c r="G527" s="30">
        <v>0</v>
      </c>
      <c r="H527" s="39">
        <v>0</v>
      </c>
    </row>
    <row r="528" spans="1:8" hidden="1" x14ac:dyDescent="0.35">
      <c r="A528" s="3">
        <v>20105</v>
      </c>
      <c r="B528" s="11">
        <v>45992</v>
      </c>
      <c r="C528" s="3" t="s">
        <v>26</v>
      </c>
      <c r="D528" s="3" t="s">
        <v>19</v>
      </c>
      <c r="E528" s="3" t="s">
        <v>13</v>
      </c>
      <c r="F528" s="3" t="s">
        <v>15</v>
      </c>
      <c r="G528" s="30">
        <v>15310.52</v>
      </c>
      <c r="H528" s="39">
        <v>510</v>
      </c>
    </row>
    <row r="529" spans="1:8" hidden="1" x14ac:dyDescent="0.35">
      <c r="A529" s="3">
        <v>20105</v>
      </c>
      <c r="B529" s="11">
        <v>45992</v>
      </c>
      <c r="C529" s="3" t="s">
        <v>26</v>
      </c>
      <c r="D529" s="3" t="s">
        <v>19</v>
      </c>
      <c r="E529" s="3" t="s">
        <v>13</v>
      </c>
      <c r="F529" s="3" t="s">
        <v>65</v>
      </c>
      <c r="G529" s="30">
        <v>0</v>
      </c>
      <c r="H529" s="39">
        <v>0</v>
      </c>
    </row>
    <row r="530" spans="1:8" hidden="1" x14ac:dyDescent="0.35">
      <c r="A530" s="3">
        <v>49206</v>
      </c>
      <c r="B530" s="11">
        <v>45658</v>
      </c>
      <c r="C530" s="3" t="s">
        <v>57</v>
      </c>
      <c r="D530" s="3" t="s">
        <v>58</v>
      </c>
      <c r="E530" s="3" t="s">
        <v>6</v>
      </c>
      <c r="F530" s="3" t="s">
        <v>7</v>
      </c>
      <c r="G530" s="30">
        <v>0</v>
      </c>
      <c r="H530" s="39">
        <v>0</v>
      </c>
    </row>
    <row r="531" spans="1:8" hidden="1" x14ac:dyDescent="0.35">
      <c r="A531" s="3">
        <v>49206</v>
      </c>
      <c r="B531" s="11">
        <v>45658</v>
      </c>
      <c r="C531" s="3" t="s">
        <v>57</v>
      </c>
      <c r="D531" s="3" t="s">
        <v>58</v>
      </c>
      <c r="E531" s="3" t="s">
        <v>6</v>
      </c>
      <c r="F531" s="3" t="s">
        <v>8</v>
      </c>
      <c r="G531" s="30">
        <v>0</v>
      </c>
      <c r="H531" s="39">
        <v>0</v>
      </c>
    </row>
    <row r="532" spans="1:8" hidden="1" x14ac:dyDescent="0.35">
      <c r="A532" s="3">
        <v>49206</v>
      </c>
      <c r="B532" s="11">
        <v>45658</v>
      </c>
      <c r="C532" s="3" t="s">
        <v>57</v>
      </c>
      <c r="D532" s="3" t="s">
        <v>58</v>
      </c>
      <c r="E532" s="3" t="s">
        <v>6</v>
      </c>
      <c r="F532" s="3" t="s">
        <v>15</v>
      </c>
      <c r="G532" s="30">
        <v>0</v>
      </c>
      <c r="H532" s="39">
        <v>0</v>
      </c>
    </row>
    <row r="533" spans="1:8" hidden="1" x14ac:dyDescent="0.35">
      <c r="A533" s="3">
        <v>49206</v>
      </c>
      <c r="B533" s="11">
        <v>45658</v>
      </c>
      <c r="C533" s="3" t="s">
        <v>57</v>
      </c>
      <c r="D533" s="3" t="s">
        <v>58</v>
      </c>
      <c r="E533" s="3" t="s">
        <v>6</v>
      </c>
      <c r="F533" s="3" t="s">
        <v>65</v>
      </c>
      <c r="G533" s="30">
        <v>0</v>
      </c>
      <c r="H533" s="39">
        <v>0</v>
      </c>
    </row>
    <row r="534" spans="1:8" hidden="1" x14ac:dyDescent="0.35">
      <c r="A534" s="3">
        <v>49206</v>
      </c>
      <c r="B534" s="11">
        <v>45689</v>
      </c>
      <c r="C534" s="3" t="s">
        <v>57</v>
      </c>
      <c r="D534" s="3" t="s">
        <v>58</v>
      </c>
      <c r="E534" s="3" t="s">
        <v>6</v>
      </c>
      <c r="F534" s="3" t="s">
        <v>7</v>
      </c>
      <c r="G534" s="30">
        <v>0</v>
      </c>
      <c r="H534" s="39">
        <v>0</v>
      </c>
    </row>
    <row r="535" spans="1:8" hidden="1" x14ac:dyDescent="0.35">
      <c r="A535" s="3">
        <v>49206</v>
      </c>
      <c r="B535" s="11">
        <v>45689</v>
      </c>
      <c r="C535" s="3" t="s">
        <v>57</v>
      </c>
      <c r="D535" s="3" t="s">
        <v>58</v>
      </c>
      <c r="E535" s="3" t="s">
        <v>6</v>
      </c>
      <c r="F535" s="3" t="s">
        <v>8</v>
      </c>
      <c r="G535" s="30">
        <v>0</v>
      </c>
      <c r="H535" s="39">
        <v>0</v>
      </c>
    </row>
    <row r="536" spans="1:8" hidden="1" x14ac:dyDescent="0.35">
      <c r="A536" s="3">
        <v>49206</v>
      </c>
      <c r="B536" s="11">
        <v>45689</v>
      </c>
      <c r="C536" s="3" t="s">
        <v>57</v>
      </c>
      <c r="D536" s="3" t="s">
        <v>58</v>
      </c>
      <c r="E536" s="3" t="s">
        <v>6</v>
      </c>
      <c r="F536" s="3" t="s">
        <v>15</v>
      </c>
      <c r="G536" s="30">
        <v>0</v>
      </c>
      <c r="H536" s="39">
        <v>0</v>
      </c>
    </row>
    <row r="537" spans="1:8" hidden="1" x14ac:dyDescent="0.35">
      <c r="A537" s="3">
        <v>49206</v>
      </c>
      <c r="B537" s="11">
        <v>45689</v>
      </c>
      <c r="C537" s="3" t="s">
        <v>57</v>
      </c>
      <c r="D537" s="3" t="s">
        <v>58</v>
      </c>
      <c r="E537" s="3" t="s">
        <v>6</v>
      </c>
      <c r="F537" s="3" t="s">
        <v>65</v>
      </c>
      <c r="G537" s="30">
        <v>0</v>
      </c>
      <c r="H537" s="39">
        <v>0</v>
      </c>
    </row>
    <row r="538" spans="1:8" hidden="1" x14ac:dyDescent="0.35">
      <c r="A538" s="3">
        <v>49206</v>
      </c>
      <c r="B538" s="11">
        <v>45717</v>
      </c>
      <c r="C538" s="3" t="s">
        <v>57</v>
      </c>
      <c r="D538" s="3" t="s">
        <v>58</v>
      </c>
      <c r="E538" s="3" t="s">
        <v>6</v>
      </c>
      <c r="F538" s="3" t="s">
        <v>7</v>
      </c>
      <c r="G538" s="30">
        <v>0</v>
      </c>
      <c r="H538" s="39">
        <v>0</v>
      </c>
    </row>
    <row r="539" spans="1:8" hidden="1" x14ac:dyDescent="0.35">
      <c r="A539" s="3">
        <v>49206</v>
      </c>
      <c r="B539" s="11">
        <v>45717</v>
      </c>
      <c r="C539" s="3" t="s">
        <v>57</v>
      </c>
      <c r="D539" s="3" t="s">
        <v>58</v>
      </c>
      <c r="E539" s="3" t="s">
        <v>6</v>
      </c>
      <c r="F539" s="3" t="s">
        <v>8</v>
      </c>
      <c r="G539" s="30">
        <v>0</v>
      </c>
      <c r="H539" s="39">
        <v>0</v>
      </c>
    </row>
    <row r="540" spans="1:8" hidden="1" x14ac:dyDescent="0.35">
      <c r="A540" s="3">
        <v>49206</v>
      </c>
      <c r="B540" s="11">
        <v>45717</v>
      </c>
      <c r="C540" s="3" t="s">
        <v>57</v>
      </c>
      <c r="D540" s="3" t="s">
        <v>58</v>
      </c>
      <c r="E540" s="3" t="s">
        <v>6</v>
      </c>
      <c r="F540" s="3" t="s">
        <v>15</v>
      </c>
      <c r="G540" s="30">
        <v>0</v>
      </c>
      <c r="H540" s="39">
        <v>0</v>
      </c>
    </row>
    <row r="541" spans="1:8" hidden="1" x14ac:dyDescent="0.35">
      <c r="A541" s="3">
        <v>49206</v>
      </c>
      <c r="B541" s="11">
        <v>45717</v>
      </c>
      <c r="C541" s="3" t="s">
        <v>57</v>
      </c>
      <c r="D541" s="3" t="s">
        <v>58</v>
      </c>
      <c r="E541" s="3" t="s">
        <v>6</v>
      </c>
      <c r="F541" s="3" t="s">
        <v>65</v>
      </c>
      <c r="G541" s="30">
        <v>0</v>
      </c>
      <c r="H541" s="39">
        <v>0</v>
      </c>
    </row>
    <row r="542" spans="1:8" hidden="1" x14ac:dyDescent="0.35">
      <c r="A542" s="3">
        <v>49206</v>
      </c>
      <c r="B542" s="11">
        <v>45748</v>
      </c>
      <c r="C542" s="3" t="s">
        <v>57</v>
      </c>
      <c r="D542" s="3" t="s">
        <v>58</v>
      </c>
      <c r="E542" s="3" t="s">
        <v>6</v>
      </c>
      <c r="F542" s="3" t="s">
        <v>7</v>
      </c>
      <c r="G542" s="30">
        <v>0</v>
      </c>
      <c r="H542" s="39">
        <v>0</v>
      </c>
    </row>
    <row r="543" spans="1:8" hidden="1" x14ac:dyDescent="0.35">
      <c r="A543" s="3">
        <v>49206</v>
      </c>
      <c r="B543" s="11">
        <v>45748</v>
      </c>
      <c r="C543" s="3" t="s">
        <v>57</v>
      </c>
      <c r="D543" s="3" t="s">
        <v>58</v>
      </c>
      <c r="E543" s="3" t="s">
        <v>6</v>
      </c>
      <c r="F543" s="3" t="s">
        <v>8</v>
      </c>
      <c r="G543" s="30">
        <v>0</v>
      </c>
      <c r="H543" s="39">
        <v>0</v>
      </c>
    </row>
    <row r="544" spans="1:8" hidden="1" x14ac:dyDescent="0.35">
      <c r="A544" s="3">
        <v>49206</v>
      </c>
      <c r="B544" s="11">
        <v>45748</v>
      </c>
      <c r="C544" s="3" t="s">
        <v>57</v>
      </c>
      <c r="D544" s="3" t="s">
        <v>58</v>
      </c>
      <c r="E544" s="3" t="s">
        <v>6</v>
      </c>
      <c r="F544" s="3" t="s">
        <v>15</v>
      </c>
      <c r="G544" s="30">
        <v>0</v>
      </c>
      <c r="H544" s="39">
        <v>0</v>
      </c>
    </row>
    <row r="545" spans="1:8" hidden="1" x14ac:dyDescent="0.35">
      <c r="A545" s="3">
        <v>49206</v>
      </c>
      <c r="B545" s="11">
        <v>45748</v>
      </c>
      <c r="C545" s="3" t="s">
        <v>57</v>
      </c>
      <c r="D545" s="3" t="s">
        <v>58</v>
      </c>
      <c r="E545" s="3" t="s">
        <v>6</v>
      </c>
      <c r="F545" s="3" t="s">
        <v>65</v>
      </c>
      <c r="G545" s="30">
        <v>0</v>
      </c>
      <c r="H545" s="39">
        <v>0</v>
      </c>
    </row>
    <row r="546" spans="1:8" hidden="1" x14ac:dyDescent="0.35">
      <c r="A546" s="3">
        <v>49206</v>
      </c>
      <c r="B546" s="11">
        <v>45778</v>
      </c>
      <c r="C546" s="3" t="s">
        <v>57</v>
      </c>
      <c r="D546" s="3" t="s">
        <v>58</v>
      </c>
      <c r="E546" s="3" t="s">
        <v>6</v>
      </c>
      <c r="F546" s="3" t="s">
        <v>7</v>
      </c>
      <c r="G546" s="30">
        <v>0</v>
      </c>
      <c r="H546" s="39">
        <v>0</v>
      </c>
    </row>
    <row r="547" spans="1:8" hidden="1" x14ac:dyDescent="0.35">
      <c r="A547" s="3">
        <v>49206</v>
      </c>
      <c r="B547" s="11">
        <v>45778</v>
      </c>
      <c r="C547" s="3" t="s">
        <v>57</v>
      </c>
      <c r="D547" s="3" t="s">
        <v>58</v>
      </c>
      <c r="E547" s="3" t="s">
        <v>6</v>
      </c>
      <c r="F547" s="3" t="s">
        <v>8</v>
      </c>
      <c r="G547" s="30">
        <v>0</v>
      </c>
      <c r="H547" s="39">
        <v>0</v>
      </c>
    </row>
    <row r="548" spans="1:8" hidden="1" x14ac:dyDescent="0.35">
      <c r="A548" s="3">
        <v>49206</v>
      </c>
      <c r="B548" s="11">
        <v>45778</v>
      </c>
      <c r="C548" s="3" t="s">
        <v>57</v>
      </c>
      <c r="D548" s="3" t="s">
        <v>58</v>
      </c>
      <c r="E548" s="3" t="s">
        <v>6</v>
      </c>
      <c r="F548" s="3" t="s">
        <v>15</v>
      </c>
      <c r="G548" s="30">
        <v>82153.039999999994</v>
      </c>
      <c r="H548" s="39">
        <v>3300</v>
      </c>
    </row>
    <row r="549" spans="1:8" hidden="1" x14ac:dyDescent="0.35">
      <c r="A549" s="3">
        <v>49206</v>
      </c>
      <c r="B549" s="11">
        <v>45778</v>
      </c>
      <c r="C549" s="3" t="s">
        <v>57</v>
      </c>
      <c r="D549" s="3" t="s">
        <v>58</v>
      </c>
      <c r="E549" s="3" t="s">
        <v>6</v>
      </c>
      <c r="F549" s="3" t="s">
        <v>65</v>
      </c>
      <c r="G549" s="30">
        <v>0</v>
      </c>
      <c r="H549" s="39">
        <v>0</v>
      </c>
    </row>
    <row r="550" spans="1:8" hidden="1" x14ac:dyDescent="0.35">
      <c r="A550" s="3">
        <v>49206</v>
      </c>
      <c r="B550" s="11">
        <v>45809</v>
      </c>
      <c r="C550" s="3" t="s">
        <v>57</v>
      </c>
      <c r="D550" s="3" t="s">
        <v>58</v>
      </c>
      <c r="E550" s="3" t="s">
        <v>6</v>
      </c>
      <c r="F550" s="3" t="s">
        <v>7</v>
      </c>
      <c r="G550" s="30">
        <v>0</v>
      </c>
      <c r="H550" s="39">
        <v>0</v>
      </c>
    </row>
    <row r="551" spans="1:8" hidden="1" x14ac:dyDescent="0.35">
      <c r="A551" s="3">
        <v>49206</v>
      </c>
      <c r="B551" s="11">
        <v>45809</v>
      </c>
      <c r="C551" s="3" t="s">
        <v>57</v>
      </c>
      <c r="D551" s="3" t="s">
        <v>58</v>
      </c>
      <c r="E551" s="3" t="s">
        <v>6</v>
      </c>
      <c r="F551" s="3" t="s">
        <v>8</v>
      </c>
      <c r="G551" s="30">
        <v>0</v>
      </c>
      <c r="H551" s="39">
        <v>0</v>
      </c>
    </row>
    <row r="552" spans="1:8" hidden="1" x14ac:dyDescent="0.35">
      <c r="A552" s="3">
        <v>49206</v>
      </c>
      <c r="B552" s="11">
        <v>45809</v>
      </c>
      <c r="C552" s="3" t="s">
        <v>57</v>
      </c>
      <c r="D552" s="3" t="s">
        <v>58</v>
      </c>
      <c r="E552" s="3" t="s">
        <v>6</v>
      </c>
      <c r="F552" s="3" t="s">
        <v>15</v>
      </c>
      <c r="G552" s="30">
        <v>82153.039999999994</v>
      </c>
      <c r="H552" s="39">
        <v>3300</v>
      </c>
    </row>
    <row r="553" spans="1:8" hidden="1" x14ac:dyDescent="0.35">
      <c r="A553" s="3">
        <v>49206</v>
      </c>
      <c r="B553" s="11">
        <v>45809</v>
      </c>
      <c r="C553" s="3" t="s">
        <v>57</v>
      </c>
      <c r="D553" s="3" t="s">
        <v>58</v>
      </c>
      <c r="E553" s="3" t="s">
        <v>6</v>
      </c>
      <c r="F553" s="3" t="s">
        <v>65</v>
      </c>
      <c r="G553" s="30">
        <v>0</v>
      </c>
      <c r="H553" s="39">
        <v>0</v>
      </c>
    </row>
    <row r="554" spans="1:8" hidden="1" x14ac:dyDescent="0.35">
      <c r="A554" s="3">
        <v>49206</v>
      </c>
      <c r="B554" s="11">
        <v>45839</v>
      </c>
      <c r="C554" s="3" t="s">
        <v>57</v>
      </c>
      <c r="D554" s="3" t="s">
        <v>58</v>
      </c>
      <c r="E554" s="3" t="s">
        <v>6</v>
      </c>
      <c r="F554" s="3" t="s">
        <v>7</v>
      </c>
      <c r="G554" s="30">
        <v>0</v>
      </c>
      <c r="H554" s="39">
        <v>0</v>
      </c>
    </row>
    <row r="555" spans="1:8" hidden="1" x14ac:dyDescent="0.35">
      <c r="A555" s="3">
        <v>49206</v>
      </c>
      <c r="B555" s="11">
        <v>45839</v>
      </c>
      <c r="C555" s="3" t="s">
        <v>57</v>
      </c>
      <c r="D555" s="3" t="s">
        <v>58</v>
      </c>
      <c r="E555" s="3" t="s">
        <v>6</v>
      </c>
      <c r="F555" s="3" t="s">
        <v>8</v>
      </c>
      <c r="G555" s="30">
        <v>0</v>
      </c>
      <c r="H555" s="39">
        <v>0</v>
      </c>
    </row>
    <row r="556" spans="1:8" hidden="1" x14ac:dyDescent="0.35">
      <c r="A556" s="3">
        <v>49206</v>
      </c>
      <c r="B556" s="11">
        <v>45839</v>
      </c>
      <c r="C556" s="3" t="s">
        <v>57</v>
      </c>
      <c r="D556" s="3" t="s">
        <v>58</v>
      </c>
      <c r="E556" s="3" t="s">
        <v>6</v>
      </c>
      <c r="F556" s="3" t="s">
        <v>15</v>
      </c>
      <c r="G556" s="30">
        <v>82153.039999999994</v>
      </c>
      <c r="H556" s="63">
        <v>3300</v>
      </c>
    </row>
    <row r="557" spans="1:8" hidden="1" x14ac:dyDescent="0.35">
      <c r="A557" s="3">
        <v>49206</v>
      </c>
      <c r="B557" s="11">
        <v>45839</v>
      </c>
      <c r="C557" s="3" t="s">
        <v>57</v>
      </c>
      <c r="D557" s="3" t="s">
        <v>58</v>
      </c>
      <c r="E557" s="3" t="s">
        <v>6</v>
      </c>
      <c r="F557" s="3" t="s">
        <v>65</v>
      </c>
      <c r="G557" s="30">
        <v>0</v>
      </c>
      <c r="H557" s="39">
        <v>0</v>
      </c>
    </row>
    <row r="558" spans="1:8" hidden="1" x14ac:dyDescent="0.35">
      <c r="A558" s="3">
        <v>49206</v>
      </c>
      <c r="B558" s="11">
        <v>45870</v>
      </c>
      <c r="C558" s="3" t="s">
        <v>57</v>
      </c>
      <c r="D558" s="3" t="s">
        <v>58</v>
      </c>
      <c r="E558" s="3" t="s">
        <v>6</v>
      </c>
      <c r="F558" s="3" t="s">
        <v>7</v>
      </c>
      <c r="G558" s="30">
        <v>0</v>
      </c>
      <c r="H558" s="39">
        <v>0</v>
      </c>
    </row>
    <row r="559" spans="1:8" hidden="1" x14ac:dyDescent="0.35">
      <c r="A559" s="3">
        <v>49206</v>
      </c>
      <c r="B559" s="11">
        <v>45870</v>
      </c>
      <c r="C559" s="3" t="s">
        <v>57</v>
      </c>
      <c r="D559" s="3" t="s">
        <v>58</v>
      </c>
      <c r="E559" s="3" t="s">
        <v>6</v>
      </c>
      <c r="F559" s="3" t="s">
        <v>8</v>
      </c>
      <c r="G559" s="30">
        <v>0</v>
      </c>
      <c r="H559" s="39">
        <v>0</v>
      </c>
    </row>
    <row r="560" spans="1:8" hidden="1" x14ac:dyDescent="0.35">
      <c r="A560" s="3">
        <v>49206</v>
      </c>
      <c r="B560" s="11">
        <v>45870</v>
      </c>
      <c r="C560" s="3" t="s">
        <v>57</v>
      </c>
      <c r="D560" s="3" t="s">
        <v>58</v>
      </c>
      <c r="E560" s="3" t="s">
        <v>6</v>
      </c>
      <c r="F560" s="3" t="s">
        <v>15</v>
      </c>
      <c r="G560" s="30">
        <v>82153.039999999994</v>
      </c>
      <c r="H560" s="39">
        <v>3300</v>
      </c>
    </row>
    <row r="561" spans="1:8" hidden="1" x14ac:dyDescent="0.35">
      <c r="A561" s="3">
        <v>49206</v>
      </c>
      <c r="B561" s="11">
        <v>45870</v>
      </c>
      <c r="C561" s="3" t="s">
        <v>57</v>
      </c>
      <c r="D561" s="3" t="s">
        <v>58</v>
      </c>
      <c r="E561" s="3" t="s">
        <v>6</v>
      </c>
      <c r="F561" s="3" t="s">
        <v>65</v>
      </c>
      <c r="G561" s="30">
        <v>0</v>
      </c>
      <c r="H561" s="39">
        <v>0</v>
      </c>
    </row>
    <row r="562" spans="1:8" hidden="1" x14ac:dyDescent="0.35">
      <c r="A562" s="3">
        <v>49206</v>
      </c>
      <c r="B562" s="11">
        <v>45901</v>
      </c>
      <c r="C562" s="3" t="s">
        <v>57</v>
      </c>
      <c r="D562" s="3" t="s">
        <v>58</v>
      </c>
      <c r="E562" s="3" t="s">
        <v>6</v>
      </c>
      <c r="F562" s="3" t="s">
        <v>7</v>
      </c>
      <c r="G562" s="30">
        <v>0</v>
      </c>
      <c r="H562" s="39">
        <v>0</v>
      </c>
    </row>
    <row r="563" spans="1:8" hidden="1" x14ac:dyDescent="0.35">
      <c r="A563" s="3">
        <v>49206</v>
      </c>
      <c r="B563" s="11">
        <v>45901</v>
      </c>
      <c r="C563" s="3" t="s">
        <v>57</v>
      </c>
      <c r="D563" s="3" t="s">
        <v>58</v>
      </c>
      <c r="E563" s="3" t="s">
        <v>6</v>
      </c>
      <c r="F563" s="3" t="s">
        <v>8</v>
      </c>
      <c r="G563" s="30">
        <v>0</v>
      </c>
      <c r="H563" s="39">
        <v>0</v>
      </c>
    </row>
    <row r="564" spans="1:8" hidden="1" x14ac:dyDescent="0.35">
      <c r="A564" s="3">
        <v>49206</v>
      </c>
      <c r="B564" s="11">
        <v>45901</v>
      </c>
      <c r="C564" s="3" t="s">
        <v>57</v>
      </c>
      <c r="D564" s="3" t="s">
        <v>58</v>
      </c>
      <c r="E564" s="3" t="s">
        <v>6</v>
      </c>
      <c r="F564" s="3" t="s">
        <v>15</v>
      </c>
      <c r="G564" s="30">
        <v>82153.039999999994</v>
      </c>
      <c r="H564" s="39">
        <v>3300</v>
      </c>
    </row>
    <row r="565" spans="1:8" hidden="1" x14ac:dyDescent="0.35">
      <c r="A565" s="3">
        <v>49206</v>
      </c>
      <c r="B565" s="11">
        <v>45901</v>
      </c>
      <c r="C565" s="3" t="s">
        <v>57</v>
      </c>
      <c r="D565" s="3" t="s">
        <v>58</v>
      </c>
      <c r="E565" s="3" t="s">
        <v>6</v>
      </c>
      <c r="F565" s="3" t="s">
        <v>65</v>
      </c>
      <c r="G565" s="30">
        <v>0</v>
      </c>
      <c r="H565" s="39">
        <v>0</v>
      </c>
    </row>
    <row r="566" spans="1:8" hidden="1" x14ac:dyDescent="0.35">
      <c r="A566" s="3">
        <v>49206</v>
      </c>
      <c r="B566" s="11">
        <v>45931</v>
      </c>
      <c r="C566" s="3" t="s">
        <v>57</v>
      </c>
      <c r="D566" s="3" t="s">
        <v>58</v>
      </c>
      <c r="E566" s="3" t="s">
        <v>6</v>
      </c>
      <c r="F566" s="3" t="s">
        <v>7</v>
      </c>
      <c r="G566" s="30">
        <v>0</v>
      </c>
      <c r="H566" s="39">
        <v>0</v>
      </c>
    </row>
    <row r="567" spans="1:8" hidden="1" x14ac:dyDescent="0.35">
      <c r="A567" s="3">
        <v>49206</v>
      </c>
      <c r="B567" s="11">
        <v>45931</v>
      </c>
      <c r="C567" s="3" t="s">
        <v>57</v>
      </c>
      <c r="D567" s="3" t="s">
        <v>58</v>
      </c>
      <c r="E567" s="3" t="s">
        <v>6</v>
      </c>
      <c r="F567" s="3" t="s">
        <v>8</v>
      </c>
      <c r="G567" s="30">
        <v>0</v>
      </c>
      <c r="H567" s="39">
        <v>0</v>
      </c>
    </row>
    <row r="568" spans="1:8" hidden="1" x14ac:dyDescent="0.35">
      <c r="A568" s="3">
        <v>49206</v>
      </c>
      <c r="B568" s="11">
        <v>45931</v>
      </c>
      <c r="C568" s="3" t="s">
        <v>57</v>
      </c>
      <c r="D568" s="3" t="s">
        <v>58</v>
      </c>
      <c r="E568" s="3" t="s">
        <v>6</v>
      </c>
      <c r="F568" s="3" t="s">
        <v>15</v>
      </c>
      <c r="G568" s="30">
        <v>82153.039999999994</v>
      </c>
      <c r="H568" s="39">
        <v>3300</v>
      </c>
    </row>
    <row r="569" spans="1:8" hidden="1" x14ac:dyDescent="0.35">
      <c r="A569" s="3">
        <v>49206</v>
      </c>
      <c r="B569" s="11">
        <v>45931</v>
      </c>
      <c r="C569" s="3" t="s">
        <v>57</v>
      </c>
      <c r="D569" s="3" t="s">
        <v>58</v>
      </c>
      <c r="E569" s="3" t="s">
        <v>6</v>
      </c>
      <c r="F569" s="3" t="s">
        <v>65</v>
      </c>
      <c r="G569" s="30">
        <v>0</v>
      </c>
      <c r="H569" s="39">
        <v>0</v>
      </c>
    </row>
    <row r="570" spans="1:8" hidden="1" x14ac:dyDescent="0.35">
      <c r="A570" s="3">
        <v>49206</v>
      </c>
      <c r="B570" s="11">
        <v>45962</v>
      </c>
      <c r="C570" s="3" t="s">
        <v>57</v>
      </c>
      <c r="D570" s="3" t="s">
        <v>58</v>
      </c>
      <c r="E570" s="3" t="s">
        <v>6</v>
      </c>
      <c r="F570" s="3" t="s">
        <v>7</v>
      </c>
      <c r="G570" s="30">
        <v>0</v>
      </c>
      <c r="H570" s="39">
        <v>0</v>
      </c>
    </row>
    <row r="571" spans="1:8" hidden="1" x14ac:dyDescent="0.35">
      <c r="A571" s="3">
        <v>49206</v>
      </c>
      <c r="B571" s="11">
        <v>45962</v>
      </c>
      <c r="C571" s="3" t="s">
        <v>57</v>
      </c>
      <c r="D571" s="3" t="s">
        <v>58</v>
      </c>
      <c r="E571" s="3" t="s">
        <v>6</v>
      </c>
      <c r="F571" s="3" t="s">
        <v>8</v>
      </c>
      <c r="G571" s="30">
        <v>0</v>
      </c>
      <c r="H571" s="39">
        <v>0</v>
      </c>
    </row>
    <row r="572" spans="1:8" hidden="1" x14ac:dyDescent="0.35">
      <c r="A572" s="3">
        <v>49206</v>
      </c>
      <c r="B572" s="11">
        <v>45962</v>
      </c>
      <c r="C572" s="3" t="s">
        <v>57</v>
      </c>
      <c r="D572" s="3" t="s">
        <v>58</v>
      </c>
      <c r="E572" s="3" t="s">
        <v>6</v>
      </c>
      <c r="F572" s="3" t="s">
        <v>15</v>
      </c>
      <c r="G572" s="30">
        <v>82153.039999999994</v>
      </c>
      <c r="H572" s="39">
        <v>3300</v>
      </c>
    </row>
    <row r="573" spans="1:8" hidden="1" x14ac:dyDescent="0.35">
      <c r="A573" s="3">
        <v>49206</v>
      </c>
      <c r="B573" s="11">
        <v>45962</v>
      </c>
      <c r="C573" s="3" t="s">
        <v>57</v>
      </c>
      <c r="D573" s="3" t="s">
        <v>58</v>
      </c>
      <c r="E573" s="3" t="s">
        <v>6</v>
      </c>
      <c r="F573" s="3" t="s">
        <v>65</v>
      </c>
      <c r="G573" s="30">
        <v>0</v>
      </c>
      <c r="H573" s="39">
        <v>0</v>
      </c>
    </row>
    <row r="574" spans="1:8" hidden="1" x14ac:dyDescent="0.35">
      <c r="A574" s="3">
        <v>49206</v>
      </c>
      <c r="B574" s="11">
        <v>45992</v>
      </c>
      <c r="C574" s="3" t="s">
        <v>57</v>
      </c>
      <c r="D574" s="3" t="s">
        <v>58</v>
      </c>
      <c r="E574" s="3" t="s">
        <v>6</v>
      </c>
      <c r="F574" s="3" t="s">
        <v>7</v>
      </c>
      <c r="G574" s="30">
        <v>0</v>
      </c>
      <c r="H574" s="39">
        <v>0</v>
      </c>
    </row>
    <row r="575" spans="1:8" hidden="1" x14ac:dyDescent="0.35">
      <c r="A575" s="3">
        <v>49206</v>
      </c>
      <c r="B575" s="11">
        <v>45992</v>
      </c>
      <c r="C575" s="3" t="s">
        <v>57</v>
      </c>
      <c r="D575" s="3" t="s">
        <v>58</v>
      </c>
      <c r="E575" s="3" t="s">
        <v>6</v>
      </c>
      <c r="F575" s="3" t="s">
        <v>8</v>
      </c>
      <c r="G575" s="30">
        <v>0</v>
      </c>
      <c r="H575" s="39">
        <v>0</v>
      </c>
    </row>
    <row r="576" spans="1:8" hidden="1" x14ac:dyDescent="0.35">
      <c r="A576" s="3">
        <v>49206</v>
      </c>
      <c r="B576" s="11">
        <v>45992</v>
      </c>
      <c r="C576" s="3" t="s">
        <v>57</v>
      </c>
      <c r="D576" s="3" t="s">
        <v>58</v>
      </c>
      <c r="E576" s="3" t="s">
        <v>6</v>
      </c>
      <c r="F576" s="3" t="s">
        <v>15</v>
      </c>
      <c r="G576" s="30">
        <v>82153.039999999994</v>
      </c>
      <c r="H576" s="39">
        <v>3300</v>
      </c>
    </row>
    <row r="577" spans="1:8" hidden="1" x14ac:dyDescent="0.35">
      <c r="A577" s="3">
        <v>49206</v>
      </c>
      <c r="B577" s="11">
        <v>45992</v>
      </c>
      <c r="C577" s="3" t="s">
        <v>57</v>
      </c>
      <c r="D577" s="3" t="s">
        <v>58</v>
      </c>
      <c r="E577" s="3" t="s">
        <v>6</v>
      </c>
      <c r="F577" s="3" t="s">
        <v>65</v>
      </c>
      <c r="G577" s="30">
        <v>0</v>
      </c>
      <c r="H577" s="39">
        <v>0</v>
      </c>
    </row>
    <row r="578" spans="1:8" hidden="1" x14ac:dyDescent="0.35">
      <c r="A578" s="10" t="s">
        <v>264</v>
      </c>
      <c r="B578" s="11">
        <v>45839</v>
      </c>
      <c r="C578" s="3" t="s">
        <v>25</v>
      </c>
      <c r="D578" s="3" t="s">
        <v>12</v>
      </c>
      <c r="E578" s="3" t="s">
        <v>9</v>
      </c>
      <c r="F578" s="3" t="s">
        <v>65</v>
      </c>
      <c r="G578" s="30">
        <v>0</v>
      </c>
      <c r="H578" s="39">
        <v>0</v>
      </c>
    </row>
    <row r="579" spans="1:8" hidden="1" x14ac:dyDescent="0.35">
      <c r="A579" s="10" t="s">
        <v>264</v>
      </c>
      <c r="B579" s="11">
        <v>45870</v>
      </c>
      <c r="C579" s="3" t="s">
        <v>25</v>
      </c>
      <c r="D579" s="3" t="s">
        <v>12</v>
      </c>
      <c r="E579" s="3" t="s">
        <v>9</v>
      </c>
      <c r="F579" s="3" t="s">
        <v>7</v>
      </c>
      <c r="G579" s="30">
        <v>0</v>
      </c>
      <c r="H579" s="39">
        <v>0</v>
      </c>
    </row>
    <row r="580" spans="1:8" hidden="1" x14ac:dyDescent="0.35">
      <c r="A580" s="10" t="s">
        <v>264</v>
      </c>
      <c r="B580" s="11">
        <v>45870</v>
      </c>
      <c r="C580" s="3" t="s">
        <v>25</v>
      </c>
      <c r="D580" s="3" t="s">
        <v>12</v>
      </c>
      <c r="E580" s="3" t="s">
        <v>9</v>
      </c>
      <c r="F580" s="3" t="s">
        <v>8</v>
      </c>
      <c r="G580" s="30">
        <v>0</v>
      </c>
      <c r="H580" s="39">
        <v>0</v>
      </c>
    </row>
    <row r="581" spans="1:8" hidden="1" x14ac:dyDescent="0.35">
      <c r="A581" s="10" t="s">
        <v>264</v>
      </c>
      <c r="B581" s="11">
        <v>45870</v>
      </c>
      <c r="C581" s="3" t="s">
        <v>25</v>
      </c>
      <c r="D581" s="3" t="s">
        <v>12</v>
      </c>
      <c r="E581" s="3" t="s">
        <v>9</v>
      </c>
      <c r="F581" s="3" t="s">
        <v>15</v>
      </c>
      <c r="G581" s="30">
        <v>165115.51999999999</v>
      </c>
      <c r="H581" s="39">
        <v>5625</v>
      </c>
    </row>
    <row r="582" spans="1:8" hidden="1" x14ac:dyDescent="0.35">
      <c r="A582" s="10" t="s">
        <v>264</v>
      </c>
      <c r="B582" s="11">
        <v>45870</v>
      </c>
      <c r="C582" s="3" t="s">
        <v>25</v>
      </c>
      <c r="D582" s="3" t="s">
        <v>12</v>
      </c>
      <c r="E582" s="3" t="s">
        <v>9</v>
      </c>
      <c r="F582" s="3" t="s">
        <v>65</v>
      </c>
      <c r="G582" s="30">
        <v>0</v>
      </c>
      <c r="H582" s="39">
        <v>0</v>
      </c>
    </row>
    <row r="583" spans="1:8" hidden="1" x14ac:dyDescent="0.35">
      <c r="A583" s="10" t="s">
        <v>264</v>
      </c>
      <c r="B583" s="11">
        <v>45901</v>
      </c>
      <c r="C583" s="3" t="s">
        <v>25</v>
      </c>
      <c r="D583" s="3" t="s">
        <v>12</v>
      </c>
      <c r="E583" s="3" t="s">
        <v>9</v>
      </c>
      <c r="F583" s="3" t="s">
        <v>7</v>
      </c>
      <c r="G583" s="30">
        <v>0</v>
      </c>
      <c r="H583" s="39">
        <v>0</v>
      </c>
    </row>
    <row r="584" spans="1:8" hidden="1" x14ac:dyDescent="0.35">
      <c r="A584" s="10" t="s">
        <v>264</v>
      </c>
      <c r="B584" s="11">
        <v>45901</v>
      </c>
      <c r="C584" s="3" t="s">
        <v>25</v>
      </c>
      <c r="D584" s="3" t="s">
        <v>12</v>
      </c>
      <c r="E584" s="3" t="s">
        <v>9</v>
      </c>
      <c r="F584" s="3" t="s">
        <v>8</v>
      </c>
      <c r="G584" s="30">
        <v>0</v>
      </c>
      <c r="H584" s="39">
        <v>0</v>
      </c>
    </row>
    <row r="585" spans="1:8" hidden="1" x14ac:dyDescent="0.35">
      <c r="A585" s="10" t="s">
        <v>264</v>
      </c>
      <c r="B585" s="11">
        <v>45901</v>
      </c>
      <c r="C585" s="3" t="s">
        <v>25</v>
      </c>
      <c r="D585" s="3" t="s">
        <v>12</v>
      </c>
      <c r="E585" s="3" t="s">
        <v>9</v>
      </c>
      <c r="F585" s="3" t="s">
        <v>15</v>
      </c>
      <c r="G585" s="30">
        <v>165115.51999999999</v>
      </c>
      <c r="H585" s="39">
        <v>5625</v>
      </c>
    </row>
    <row r="586" spans="1:8" hidden="1" x14ac:dyDescent="0.35">
      <c r="A586" s="10" t="s">
        <v>264</v>
      </c>
      <c r="B586" s="11">
        <v>45901</v>
      </c>
      <c r="C586" s="3" t="s">
        <v>25</v>
      </c>
      <c r="D586" s="3" t="s">
        <v>12</v>
      </c>
      <c r="E586" s="3" t="s">
        <v>9</v>
      </c>
      <c r="F586" s="3" t="s">
        <v>65</v>
      </c>
      <c r="G586" s="30">
        <v>0</v>
      </c>
      <c r="H586" s="39">
        <v>0</v>
      </c>
    </row>
    <row r="587" spans="1:8" hidden="1" x14ac:dyDescent="0.35">
      <c r="A587" s="10" t="s">
        <v>264</v>
      </c>
      <c r="B587" s="11">
        <v>45931</v>
      </c>
      <c r="C587" s="3" t="s">
        <v>25</v>
      </c>
      <c r="D587" s="3" t="s">
        <v>12</v>
      </c>
      <c r="E587" s="3" t="s">
        <v>9</v>
      </c>
      <c r="F587" s="3" t="s">
        <v>7</v>
      </c>
      <c r="G587" s="30">
        <v>0</v>
      </c>
      <c r="H587" s="39">
        <v>0</v>
      </c>
    </row>
    <row r="588" spans="1:8" hidden="1" x14ac:dyDescent="0.35">
      <c r="A588" s="10" t="s">
        <v>264</v>
      </c>
      <c r="B588" s="11">
        <v>45931</v>
      </c>
      <c r="C588" s="3" t="s">
        <v>25</v>
      </c>
      <c r="D588" s="3" t="s">
        <v>12</v>
      </c>
      <c r="E588" s="3" t="s">
        <v>9</v>
      </c>
      <c r="F588" s="3" t="s">
        <v>8</v>
      </c>
      <c r="G588" s="30">
        <v>0</v>
      </c>
      <c r="H588" s="39">
        <v>0</v>
      </c>
    </row>
    <row r="589" spans="1:8" hidden="1" x14ac:dyDescent="0.35">
      <c r="A589" s="10" t="s">
        <v>264</v>
      </c>
      <c r="B589" s="11">
        <v>45931</v>
      </c>
      <c r="C589" s="3" t="s">
        <v>25</v>
      </c>
      <c r="D589" s="3" t="s">
        <v>12</v>
      </c>
      <c r="E589" s="3" t="s">
        <v>9</v>
      </c>
      <c r="F589" s="3" t="s">
        <v>15</v>
      </c>
      <c r="G589" s="30">
        <v>165115.51999999999</v>
      </c>
      <c r="H589" s="39">
        <v>5625</v>
      </c>
    </row>
    <row r="590" spans="1:8" hidden="1" x14ac:dyDescent="0.35">
      <c r="A590" s="10" t="s">
        <v>264</v>
      </c>
      <c r="B590" s="11">
        <v>45931</v>
      </c>
      <c r="C590" s="3">
        <v>16</v>
      </c>
      <c r="D590" s="3" t="s">
        <v>12</v>
      </c>
      <c r="E590" s="3" t="s">
        <v>9</v>
      </c>
      <c r="F590" s="3" t="s">
        <v>65</v>
      </c>
      <c r="G590" s="30">
        <v>0</v>
      </c>
      <c r="H590" s="39">
        <v>0</v>
      </c>
    </row>
    <row r="591" spans="1:8" hidden="1" x14ac:dyDescent="0.35">
      <c r="A591" s="10" t="s">
        <v>264</v>
      </c>
      <c r="B591" s="11">
        <v>45962</v>
      </c>
      <c r="C591" s="3" t="s">
        <v>25</v>
      </c>
      <c r="D591" s="3" t="s">
        <v>12</v>
      </c>
      <c r="E591" s="3" t="s">
        <v>9</v>
      </c>
      <c r="F591" s="3" t="s">
        <v>7</v>
      </c>
      <c r="G591" s="30">
        <v>0</v>
      </c>
      <c r="H591" s="39">
        <v>0</v>
      </c>
    </row>
    <row r="592" spans="1:8" hidden="1" x14ac:dyDescent="0.35">
      <c r="A592" s="10" t="s">
        <v>264</v>
      </c>
      <c r="B592" s="11">
        <v>45962</v>
      </c>
      <c r="C592" s="3" t="s">
        <v>25</v>
      </c>
      <c r="D592" s="3" t="s">
        <v>12</v>
      </c>
      <c r="E592" s="3" t="s">
        <v>9</v>
      </c>
      <c r="F592" s="3" t="s">
        <v>8</v>
      </c>
      <c r="G592" s="30">
        <v>0</v>
      </c>
      <c r="H592" s="39">
        <v>0</v>
      </c>
    </row>
    <row r="593" spans="1:8" hidden="1" x14ac:dyDescent="0.35">
      <c r="A593" s="10" t="s">
        <v>264</v>
      </c>
      <c r="B593" s="11">
        <v>45962</v>
      </c>
      <c r="C593" s="3" t="s">
        <v>25</v>
      </c>
      <c r="D593" s="3" t="s">
        <v>12</v>
      </c>
      <c r="E593" s="3" t="s">
        <v>9</v>
      </c>
      <c r="F593" s="3" t="s">
        <v>15</v>
      </c>
      <c r="G593" s="30">
        <v>165115.51999999999</v>
      </c>
      <c r="H593" s="39">
        <v>5625</v>
      </c>
    </row>
    <row r="594" spans="1:8" hidden="1" x14ac:dyDescent="0.35">
      <c r="A594" s="10" t="s">
        <v>264</v>
      </c>
      <c r="B594" s="11">
        <v>45962</v>
      </c>
      <c r="C594" s="3" t="s">
        <v>25</v>
      </c>
      <c r="D594" s="3" t="s">
        <v>12</v>
      </c>
      <c r="E594" s="3" t="s">
        <v>9</v>
      </c>
      <c r="F594" s="3" t="s">
        <v>65</v>
      </c>
      <c r="G594" s="30">
        <v>0</v>
      </c>
      <c r="H594" s="39">
        <v>0</v>
      </c>
    </row>
    <row r="595" spans="1:8" hidden="1" x14ac:dyDescent="0.35">
      <c r="A595" s="10" t="s">
        <v>264</v>
      </c>
      <c r="B595" s="11">
        <v>45992</v>
      </c>
      <c r="C595" s="3" t="s">
        <v>25</v>
      </c>
      <c r="D595" s="3" t="s">
        <v>12</v>
      </c>
      <c r="E595" s="3" t="s">
        <v>9</v>
      </c>
      <c r="F595" s="3" t="s">
        <v>7</v>
      </c>
      <c r="G595" s="30">
        <v>0</v>
      </c>
      <c r="H595" s="39">
        <v>0</v>
      </c>
    </row>
    <row r="596" spans="1:8" hidden="1" x14ac:dyDescent="0.35">
      <c r="A596" s="10" t="s">
        <v>264</v>
      </c>
      <c r="B596" s="11">
        <v>45992</v>
      </c>
      <c r="C596" s="3" t="s">
        <v>25</v>
      </c>
      <c r="D596" s="3" t="s">
        <v>12</v>
      </c>
      <c r="E596" s="3" t="s">
        <v>9</v>
      </c>
      <c r="F596" s="3" t="s">
        <v>8</v>
      </c>
      <c r="G596" s="30">
        <v>0</v>
      </c>
      <c r="H596" s="39">
        <v>0</v>
      </c>
    </row>
    <row r="597" spans="1:8" hidden="1" x14ac:dyDescent="0.35">
      <c r="A597" s="10" t="s">
        <v>264</v>
      </c>
      <c r="B597" s="11">
        <v>45992</v>
      </c>
      <c r="C597" s="3" t="s">
        <v>25</v>
      </c>
      <c r="D597" s="3" t="s">
        <v>12</v>
      </c>
      <c r="E597" s="3" t="s">
        <v>9</v>
      </c>
      <c r="F597" s="3" t="s">
        <v>15</v>
      </c>
      <c r="G597" s="30">
        <v>165115.51999999999</v>
      </c>
      <c r="H597" s="39">
        <v>5625</v>
      </c>
    </row>
    <row r="598" spans="1:8" hidden="1" x14ac:dyDescent="0.35">
      <c r="A598" s="10" t="s">
        <v>264</v>
      </c>
      <c r="B598" s="11">
        <v>45992</v>
      </c>
      <c r="C598" s="3" t="s">
        <v>25</v>
      </c>
      <c r="D598" s="3" t="s">
        <v>12</v>
      </c>
      <c r="E598" s="3" t="s">
        <v>9</v>
      </c>
      <c r="F598" s="3" t="s">
        <v>65</v>
      </c>
      <c r="G598" s="30">
        <v>0</v>
      </c>
      <c r="H598" s="39">
        <v>0</v>
      </c>
    </row>
    <row r="599" spans="1:8" hidden="1" x14ac:dyDescent="0.35">
      <c r="A599" s="10" t="s">
        <v>169</v>
      </c>
      <c r="B599" s="11">
        <v>45839</v>
      </c>
      <c r="C599" s="3" t="s">
        <v>25</v>
      </c>
      <c r="D599" s="3" t="s">
        <v>12</v>
      </c>
      <c r="E599" s="3" t="str">
        <f>_xlfn.XLOOKUP(TabReceitas[[#This Row],[ID]],TabCondicoesComerciais[ID],TabCondicoesComerciais[Congênere],"Verificar")</f>
        <v>Sim Distribuidora</v>
      </c>
      <c r="F599" s="3" t="s">
        <v>7</v>
      </c>
      <c r="G599" s="30">
        <v>0</v>
      </c>
      <c r="H599" s="30">
        <v>0</v>
      </c>
    </row>
    <row r="600" spans="1:8" hidden="1" x14ac:dyDescent="0.35">
      <c r="A600" s="10" t="s">
        <v>169</v>
      </c>
      <c r="B600" s="11">
        <v>45839</v>
      </c>
      <c r="C600" s="3" t="s">
        <v>25</v>
      </c>
      <c r="D600" s="3" t="s">
        <v>12</v>
      </c>
      <c r="E600" s="3" t="str">
        <f>_xlfn.XLOOKUP(TabReceitas[[#This Row],[ID]],TabCondicoesComerciais[ID],TabCondicoesComerciais[Congênere],"Verificar")</f>
        <v>Sim Distribuidora</v>
      </c>
      <c r="F600" s="3" t="s">
        <v>8</v>
      </c>
      <c r="G600" s="30">
        <v>0</v>
      </c>
      <c r="H600" s="30">
        <v>0</v>
      </c>
    </row>
    <row r="601" spans="1:8" hidden="1" x14ac:dyDescent="0.35">
      <c r="A601" s="10" t="s">
        <v>169</v>
      </c>
      <c r="B601" s="11">
        <v>45839</v>
      </c>
      <c r="C601" s="3" t="s">
        <v>25</v>
      </c>
      <c r="D601" s="3" t="s">
        <v>12</v>
      </c>
      <c r="E601" s="3" t="str">
        <f>_xlfn.XLOOKUP(TabReceitas[[#This Row],[ID]],TabCondicoesComerciais[ID],TabCondicoesComerciais[Congênere],"Verificar")</f>
        <v>Sim Distribuidora</v>
      </c>
      <c r="F601" s="3" t="s">
        <v>15</v>
      </c>
      <c r="G601" s="30">
        <v>123240</v>
      </c>
      <c r="H601" s="40">
        <v>4160</v>
      </c>
    </row>
    <row r="602" spans="1:8" hidden="1" x14ac:dyDescent="0.35">
      <c r="A602" s="10" t="s">
        <v>169</v>
      </c>
      <c r="B602" s="11">
        <v>45839</v>
      </c>
      <c r="C602" s="3" t="s">
        <v>25</v>
      </c>
      <c r="D602" s="3" t="s">
        <v>12</v>
      </c>
      <c r="E602" s="3" t="str">
        <f>_xlfn.XLOOKUP(TabReceitas[[#This Row],[ID]],TabCondicoesComerciais[ID],TabCondicoesComerciais[Congênere],"Verificar")</f>
        <v>Sim Distribuidora</v>
      </c>
      <c r="F602" s="3" t="s">
        <v>65</v>
      </c>
      <c r="G602" s="30">
        <v>0</v>
      </c>
      <c r="H602" s="30">
        <v>0</v>
      </c>
    </row>
    <row r="603" spans="1:8" hidden="1" x14ac:dyDescent="0.35">
      <c r="A603" s="10" t="s">
        <v>169</v>
      </c>
      <c r="B603" s="11">
        <v>45870</v>
      </c>
      <c r="C603" s="3" t="s">
        <v>25</v>
      </c>
      <c r="D603" s="3" t="s">
        <v>12</v>
      </c>
      <c r="E603" s="3" t="str">
        <f>_xlfn.XLOOKUP(TabReceitas[[#This Row],[ID]],TabCondicoesComerciais[ID],TabCondicoesComerciais[Congênere],"Verificar")</f>
        <v>Sim Distribuidora</v>
      </c>
      <c r="F603" s="3" t="s">
        <v>7</v>
      </c>
      <c r="G603" s="30">
        <v>0</v>
      </c>
      <c r="H603" s="30">
        <v>0</v>
      </c>
    </row>
    <row r="604" spans="1:8" hidden="1" x14ac:dyDescent="0.35">
      <c r="A604" s="10" t="s">
        <v>169</v>
      </c>
      <c r="B604" s="11">
        <v>45870</v>
      </c>
      <c r="C604" s="3" t="s">
        <v>25</v>
      </c>
      <c r="D604" s="3" t="s">
        <v>12</v>
      </c>
      <c r="E604" s="3" t="str">
        <f>_xlfn.XLOOKUP(TabReceitas[[#This Row],[ID]],TabCondicoesComerciais[ID],TabCondicoesComerciais[Congênere],"Verificar")</f>
        <v>Sim Distribuidora</v>
      </c>
      <c r="F604" s="3" t="s">
        <v>8</v>
      </c>
      <c r="G604" s="30">
        <v>0</v>
      </c>
      <c r="H604" s="30">
        <v>0</v>
      </c>
    </row>
    <row r="605" spans="1:8" hidden="1" x14ac:dyDescent="0.35">
      <c r="A605" s="10" t="s">
        <v>169</v>
      </c>
      <c r="B605" s="11">
        <v>45870</v>
      </c>
      <c r="C605" s="3" t="s">
        <v>25</v>
      </c>
      <c r="D605" s="3" t="s">
        <v>12</v>
      </c>
      <c r="E605" s="3" t="str">
        <f>_xlfn.XLOOKUP(TabReceitas[[#This Row],[ID]],TabCondicoesComerciais[ID],TabCondicoesComerciais[Congênere],"Verificar")</f>
        <v>Sim Distribuidora</v>
      </c>
      <c r="F605" s="3" t="s">
        <v>15</v>
      </c>
      <c r="G605" s="30">
        <v>123240</v>
      </c>
      <c r="H605" s="40">
        <v>4160</v>
      </c>
    </row>
    <row r="606" spans="1:8" hidden="1" x14ac:dyDescent="0.35">
      <c r="A606" s="10" t="s">
        <v>169</v>
      </c>
      <c r="B606" s="11">
        <v>45870</v>
      </c>
      <c r="C606" s="3" t="s">
        <v>25</v>
      </c>
      <c r="D606" s="3" t="s">
        <v>12</v>
      </c>
      <c r="E606" s="3" t="str">
        <f>_xlfn.XLOOKUP(TabReceitas[[#This Row],[ID]],TabCondicoesComerciais[ID],TabCondicoesComerciais[Congênere],"Verificar")</f>
        <v>Sim Distribuidora</v>
      </c>
      <c r="F606" s="3" t="s">
        <v>65</v>
      </c>
      <c r="G606" s="30">
        <v>0</v>
      </c>
      <c r="H606" s="30">
        <v>0</v>
      </c>
    </row>
    <row r="607" spans="1:8" hidden="1" x14ac:dyDescent="0.35">
      <c r="A607" s="10" t="s">
        <v>169</v>
      </c>
      <c r="B607" s="11">
        <v>45901</v>
      </c>
      <c r="C607" s="3" t="s">
        <v>25</v>
      </c>
      <c r="D607" s="3" t="s">
        <v>12</v>
      </c>
      <c r="E607" s="3" t="str">
        <f>_xlfn.XLOOKUP(TabReceitas[[#This Row],[ID]],TabCondicoesComerciais[ID],TabCondicoesComerciais[Congênere],"Verificar")</f>
        <v>Sim Distribuidora</v>
      </c>
      <c r="F607" s="3" t="s">
        <v>7</v>
      </c>
      <c r="G607" s="30">
        <v>0</v>
      </c>
      <c r="H607" s="30">
        <v>0</v>
      </c>
    </row>
    <row r="608" spans="1:8" hidden="1" x14ac:dyDescent="0.35">
      <c r="A608" s="10" t="s">
        <v>169</v>
      </c>
      <c r="B608" s="11">
        <v>45901</v>
      </c>
      <c r="C608" s="3" t="s">
        <v>25</v>
      </c>
      <c r="D608" s="3" t="s">
        <v>12</v>
      </c>
      <c r="E608" s="3" t="str">
        <f>_xlfn.XLOOKUP(TabReceitas[[#This Row],[ID]],TabCondicoesComerciais[ID],TabCondicoesComerciais[Congênere],"Verificar")</f>
        <v>Sim Distribuidora</v>
      </c>
      <c r="F608" s="3" t="s">
        <v>8</v>
      </c>
      <c r="G608" s="30">
        <v>0</v>
      </c>
      <c r="H608" s="30">
        <v>0</v>
      </c>
    </row>
    <row r="609" spans="1:8" hidden="1" x14ac:dyDescent="0.35">
      <c r="A609" s="10" t="s">
        <v>169</v>
      </c>
      <c r="B609" s="11">
        <v>45901</v>
      </c>
      <c r="C609" s="3" t="s">
        <v>25</v>
      </c>
      <c r="D609" s="3" t="s">
        <v>12</v>
      </c>
      <c r="E609" s="3" t="str">
        <f>_xlfn.XLOOKUP(TabReceitas[[#This Row],[ID]],TabCondicoesComerciais[ID],TabCondicoesComerciais[Congênere],"Verificar")</f>
        <v>Sim Distribuidora</v>
      </c>
      <c r="F609" s="3" t="s">
        <v>15</v>
      </c>
      <c r="G609" s="57">
        <v>123240</v>
      </c>
      <c r="H609" s="40">
        <v>4160</v>
      </c>
    </row>
    <row r="610" spans="1:8" hidden="1" x14ac:dyDescent="0.35">
      <c r="A610" s="10" t="s">
        <v>169</v>
      </c>
      <c r="B610" s="11">
        <v>45901</v>
      </c>
      <c r="C610" s="3" t="s">
        <v>25</v>
      </c>
      <c r="D610" s="3" t="s">
        <v>12</v>
      </c>
      <c r="E610" s="3" t="str">
        <f>_xlfn.XLOOKUP(TabReceitas[[#This Row],[ID]],TabCondicoesComerciais[ID],TabCondicoesComerciais[Congênere],"Verificar")</f>
        <v>Sim Distribuidora</v>
      </c>
      <c r="F610" s="3" t="s">
        <v>65</v>
      </c>
      <c r="G610" s="30">
        <v>0</v>
      </c>
      <c r="H610" s="30">
        <v>0</v>
      </c>
    </row>
    <row r="611" spans="1:8" hidden="1" x14ac:dyDescent="0.35">
      <c r="A611" s="10" t="s">
        <v>169</v>
      </c>
      <c r="B611" s="11">
        <v>45931</v>
      </c>
      <c r="C611" s="3" t="s">
        <v>25</v>
      </c>
      <c r="D611" s="3" t="s">
        <v>12</v>
      </c>
      <c r="E611" s="3" t="str">
        <f>_xlfn.XLOOKUP(TabReceitas[[#This Row],[ID]],TabCondicoesComerciais[ID],TabCondicoesComerciais[Congênere],"Verificar")</f>
        <v>Sim Distribuidora</v>
      </c>
      <c r="F611" s="3" t="s">
        <v>7</v>
      </c>
      <c r="G611" s="30">
        <v>0</v>
      </c>
      <c r="H611" s="30">
        <v>0</v>
      </c>
    </row>
    <row r="612" spans="1:8" hidden="1" x14ac:dyDescent="0.35">
      <c r="A612" s="10" t="s">
        <v>169</v>
      </c>
      <c r="B612" s="11">
        <v>45931</v>
      </c>
      <c r="C612" s="3" t="s">
        <v>25</v>
      </c>
      <c r="D612" s="3" t="s">
        <v>12</v>
      </c>
      <c r="E612" s="3" t="str">
        <f>_xlfn.XLOOKUP(TabReceitas[[#This Row],[ID]],TabCondicoesComerciais[ID],TabCondicoesComerciais[Congênere],"Verificar")</f>
        <v>Sim Distribuidora</v>
      </c>
      <c r="F612" s="3" t="s">
        <v>8</v>
      </c>
      <c r="G612" s="30">
        <v>0</v>
      </c>
      <c r="H612" s="30">
        <v>0</v>
      </c>
    </row>
    <row r="613" spans="1:8" hidden="1" x14ac:dyDescent="0.35">
      <c r="A613" s="10" t="s">
        <v>169</v>
      </c>
      <c r="B613" s="11">
        <v>45931</v>
      </c>
      <c r="C613" s="3" t="s">
        <v>25</v>
      </c>
      <c r="D613" s="3" t="s">
        <v>12</v>
      </c>
      <c r="E613" s="3" t="str">
        <f>_xlfn.XLOOKUP(TabReceitas[[#This Row],[ID]],TabCondicoesComerciais[ID],TabCondicoesComerciais[Congênere],"Verificar")</f>
        <v>Sim Distribuidora</v>
      </c>
      <c r="F613" s="3" t="s">
        <v>15</v>
      </c>
      <c r="G613" s="30">
        <v>123240</v>
      </c>
      <c r="H613" s="40">
        <v>4160</v>
      </c>
    </row>
    <row r="614" spans="1:8" hidden="1" x14ac:dyDescent="0.35">
      <c r="A614" s="10" t="s">
        <v>169</v>
      </c>
      <c r="B614" s="11">
        <v>45931</v>
      </c>
      <c r="C614" s="3" t="s">
        <v>25</v>
      </c>
      <c r="D614" s="3" t="s">
        <v>12</v>
      </c>
      <c r="E614" s="3" t="str">
        <f>_xlfn.XLOOKUP(TabReceitas[[#This Row],[ID]],TabCondicoesComerciais[ID],TabCondicoesComerciais[Congênere],"Verificar")</f>
        <v>Sim Distribuidora</v>
      </c>
      <c r="F614" s="3" t="s">
        <v>65</v>
      </c>
      <c r="G614" s="30">
        <v>0</v>
      </c>
      <c r="H614" s="30">
        <v>0</v>
      </c>
    </row>
    <row r="615" spans="1:8" hidden="1" x14ac:dyDescent="0.35">
      <c r="A615" s="10" t="s">
        <v>169</v>
      </c>
      <c r="B615" s="11">
        <v>45962</v>
      </c>
      <c r="C615" s="3" t="s">
        <v>25</v>
      </c>
      <c r="D615" s="3" t="s">
        <v>12</v>
      </c>
      <c r="E615" s="3" t="str">
        <f>_xlfn.XLOOKUP(TabReceitas[[#This Row],[ID]],TabCondicoesComerciais[ID],TabCondicoesComerciais[Congênere],"Verificar")</f>
        <v>Sim Distribuidora</v>
      </c>
      <c r="F615" s="3" t="s">
        <v>7</v>
      </c>
      <c r="G615" s="30">
        <v>0</v>
      </c>
      <c r="H615" s="30">
        <v>0</v>
      </c>
    </row>
    <row r="616" spans="1:8" hidden="1" x14ac:dyDescent="0.35">
      <c r="A616" s="10" t="s">
        <v>169</v>
      </c>
      <c r="B616" s="11">
        <v>45962</v>
      </c>
      <c r="C616" s="3" t="s">
        <v>25</v>
      </c>
      <c r="D616" s="3" t="s">
        <v>12</v>
      </c>
      <c r="E616" s="3" t="str">
        <f>_xlfn.XLOOKUP(TabReceitas[[#This Row],[ID]],TabCondicoesComerciais[ID],TabCondicoesComerciais[Congênere],"Verificar")</f>
        <v>Sim Distribuidora</v>
      </c>
      <c r="F616" s="3" t="s">
        <v>8</v>
      </c>
      <c r="G616" s="30">
        <v>0</v>
      </c>
      <c r="H616" s="30">
        <v>0</v>
      </c>
    </row>
    <row r="617" spans="1:8" hidden="1" x14ac:dyDescent="0.35">
      <c r="A617" s="10" t="s">
        <v>169</v>
      </c>
      <c r="B617" s="11">
        <v>45962</v>
      </c>
      <c r="C617" s="3" t="s">
        <v>25</v>
      </c>
      <c r="D617" s="3" t="s">
        <v>12</v>
      </c>
      <c r="E617" s="3" t="str">
        <f>_xlfn.XLOOKUP(TabReceitas[[#This Row],[ID]],TabCondicoesComerciais[ID],TabCondicoesComerciais[Congênere],"Verificar")</f>
        <v>Sim Distribuidora</v>
      </c>
      <c r="F617" s="3" t="s">
        <v>15</v>
      </c>
      <c r="G617" s="30">
        <v>123240</v>
      </c>
      <c r="H617" s="40">
        <v>4160</v>
      </c>
    </row>
    <row r="618" spans="1:8" hidden="1" x14ac:dyDescent="0.35">
      <c r="A618" s="10" t="s">
        <v>169</v>
      </c>
      <c r="B618" s="11">
        <v>45962</v>
      </c>
      <c r="C618" s="3" t="s">
        <v>25</v>
      </c>
      <c r="D618" s="3" t="s">
        <v>12</v>
      </c>
      <c r="E618" s="3" t="str">
        <f>_xlfn.XLOOKUP(TabReceitas[[#This Row],[ID]],TabCondicoesComerciais[ID],TabCondicoesComerciais[Congênere],"Verificar")</f>
        <v>Sim Distribuidora</v>
      </c>
      <c r="F618" s="3" t="s">
        <v>65</v>
      </c>
      <c r="G618" s="30">
        <v>0</v>
      </c>
      <c r="H618" s="30">
        <v>0</v>
      </c>
    </row>
    <row r="619" spans="1:8" hidden="1" x14ac:dyDescent="0.35">
      <c r="A619" s="10" t="s">
        <v>169</v>
      </c>
      <c r="B619" s="11">
        <v>45992</v>
      </c>
      <c r="C619" s="3" t="s">
        <v>25</v>
      </c>
      <c r="D619" s="3" t="s">
        <v>12</v>
      </c>
      <c r="E619" s="3" t="str">
        <f>_xlfn.XLOOKUP(TabReceitas[[#This Row],[ID]],TabCondicoesComerciais[ID],TabCondicoesComerciais[Congênere],"Verificar")</f>
        <v>Sim Distribuidora</v>
      </c>
      <c r="F619" s="3" t="s">
        <v>7</v>
      </c>
      <c r="G619" s="30">
        <v>0</v>
      </c>
      <c r="H619" s="30">
        <v>0</v>
      </c>
    </row>
    <row r="620" spans="1:8" hidden="1" x14ac:dyDescent="0.35">
      <c r="A620" s="10" t="s">
        <v>169</v>
      </c>
      <c r="B620" s="11">
        <v>45992</v>
      </c>
      <c r="C620" s="3" t="s">
        <v>25</v>
      </c>
      <c r="D620" s="3" t="s">
        <v>12</v>
      </c>
      <c r="E620" s="3" t="str">
        <f>_xlfn.XLOOKUP(TabReceitas[[#This Row],[ID]],TabCondicoesComerciais[ID],TabCondicoesComerciais[Congênere],"Verificar")</f>
        <v>Sim Distribuidora</v>
      </c>
      <c r="F620" s="3" t="s">
        <v>8</v>
      </c>
      <c r="G620" s="30">
        <v>0</v>
      </c>
      <c r="H620" s="30">
        <v>0</v>
      </c>
    </row>
    <row r="621" spans="1:8" hidden="1" x14ac:dyDescent="0.35">
      <c r="A621" s="10" t="s">
        <v>169</v>
      </c>
      <c r="B621" s="11">
        <v>45992</v>
      </c>
      <c r="C621" s="3" t="s">
        <v>25</v>
      </c>
      <c r="D621" s="3" t="s">
        <v>12</v>
      </c>
      <c r="E621" s="3" t="str">
        <f>_xlfn.XLOOKUP(TabReceitas[[#This Row],[ID]],TabCondicoesComerciais[ID],TabCondicoesComerciais[Congênere],"Verificar")</f>
        <v>Sim Distribuidora</v>
      </c>
      <c r="F621" s="3" t="s">
        <v>15</v>
      </c>
      <c r="G621" s="30">
        <v>123240</v>
      </c>
      <c r="H621" s="40">
        <v>4160</v>
      </c>
    </row>
    <row r="622" spans="1:8" hidden="1" x14ac:dyDescent="0.35">
      <c r="A622" s="10" t="s">
        <v>169</v>
      </c>
      <c r="B622" s="11">
        <v>45992</v>
      </c>
      <c r="C622" s="3" t="s">
        <v>25</v>
      </c>
      <c r="D622" s="3" t="s">
        <v>12</v>
      </c>
      <c r="E622" s="3" t="str">
        <f>_xlfn.XLOOKUP(TabReceitas[[#This Row],[ID]],TabCondicoesComerciais[ID],TabCondicoesComerciais[Congênere],"Verificar")</f>
        <v>Sim Distribuidora</v>
      </c>
      <c r="F622" s="3" t="s">
        <v>65</v>
      </c>
      <c r="G622" s="30">
        <v>0</v>
      </c>
      <c r="H622" s="30">
        <v>0</v>
      </c>
    </row>
    <row r="623" spans="1:8" hidden="1" x14ac:dyDescent="0.35">
      <c r="A623" s="10" t="s">
        <v>200</v>
      </c>
      <c r="B623" s="11">
        <v>45658</v>
      </c>
      <c r="C623" s="3" t="str">
        <f>_xlfn.XLOOKUP(TabReceitas[[#This Row],[ID]],TabCondicoesComerciais[ID],TabCondicoesComerciais[Nº Filial],0)</f>
        <v>16</v>
      </c>
      <c r="D623" s="3" t="s">
        <v>12</v>
      </c>
      <c r="E623" s="3" t="str">
        <f>_xlfn.XLOOKUP(TabReceitas[[#This Row],[ID]],TabCondicoesComerciais[ID],TabCondicoesComerciais[Congênere],"Verificar")</f>
        <v>Ipiranga</v>
      </c>
      <c r="F623" s="3" t="s">
        <v>7</v>
      </c>
      <c r="G623" s="30">
        <v>0</v>
      </c>
      <c r="H623" s="30">
        <v>0</v>
      </c>
    </row>
    <row r="624" spans="1:8" hidden="1" x14ac:dyDescent="0.35">
      <c r="A624" s="10" t="s">
        <v>200</v>
      </c>
      <c r="B624" s="11">
        <v>45658</v>
      </c>
      <c r="C624" s="3" t="str">
        <f>_xlfn.XLOOKUP(TabReceitas[[#This Row],[ID]],TabCondicoesComerciais[ID],TabCondicoesComerciais[Nº Filial],0)</f>
        <v>16</v>
      </c>
      <c r="D624" s="3" t="s">
        <v>12</v>
      </c>
      <c r="E624" s="3" t="str">
        <f>_xlfn.XLOOKUP(TabReceitas[[#This Row],[ID]],TabCondicoesComerciais[ID],TabCondicoesComerciais[Congênere],"Verificar")</f>
        <v>Ipiranga</v>
      </c>
      <c r="F624" s="3" t="s">
        <v>8</v>
      </c>
      <c r="G624" s="30">
        <v>0</v>
      </c>
      <c r="H624" s="30">
        <v>0</v>
      </c>
    </row>
    <row r="625" spans="1:8" hidden="1" x14ac:dyDescent="0.35">
      <c r="A625" s="10" t="s">
        <v>200</v>
      </c>
      <c r="B625" s="11">
        <v>45658</v>
      </c>
      <c r="C625" s="3" t="str">
        <f>_xlfn.XLOOKUP(TabReceitas[[#This Row],[ID]],TabCondicoesComerciais[ID],TabCondicoesComerciais[Nº Filial],0)</f>
        <v>16</v>
      </c>
      <c r="D625" s="3" t="s">
        <v>12</v>
      </c>
      <c r="E625" s="3" t="str">
        <f>_xlfn.XLOOKUP(TabReceitas[[#This Row],[ID]],TabCondicoesComerciais[ID],TabCondicoesComerciais[Congênere],"Verificar")</f>
        <v>Ipiranga</v>
      </c>
      <c r="F625" s="3" t="s">
        <v>15</v>
      </c>
      <c r="G625" s="30">
        <v>0</v>
      </c>
      <c r="H625" s="30">
        <v>0</v>
      </c>
    </row>
    <row r="626" spans="1:8" hidden="1" x14ac:dyDescent="0.35">
      <c r="A626" s="10" t="s">
        <v>200</v>
      </c>
      <c r="B626" s="11">
        <v>45658</v>
      </c>
      <c r="C626" s="3" t="str">
        <f>_xlfn.XLOOKUP(TabReceitas[[#This Row],[ID]],TabCondicoesComerciais[ID],TabCondicoesComerciais[Nº Filial],0)</f>
        <v>16</v>
      </c>
      <c r="D626" s="3" t="s">
        <v>12</v>
      </c>
      <c r="E626" s="3" t="str">
        <f>_xlfn.XLOOKUP(TabReceitas[[#This Row],[ID]],TabCondicoesComerciais[ID],TabCondicoesComerciais[Congênere],"Verificar")</f>
        <v>Ipiranga</v>
      </c>
      <c r="F626" s="3" t="s">
        <v>65</v>
      </c>
      <c r="G626" s="30">
        <v>0</v>
      </c>
      <c r="H626" s="30">
        <v>0</v>
      </c>
    </row>
    <row r="627" spans="1:8" hidden="1" x14ac:dyDescent="0.35">
      <c r="A627" s="10" t="s">
        <v>200</v>
      </c>
      <c r="B627" s="11">
        <v>45689</v>
      </c>
      <c r="C627" s="3" t="str">
        <f>_xlfn.XLOOKUP(TabReceitas[[#This Row],[ID]],TabCondicoesComerciais[ID],TabCondicoesComerciais[Nº Filial],0)</f>
        <v>16</v>
      </c>
      <c r="D627" s="3" t="s">
        <v>12</v>
      </c>
      <c r="E627" s="3" t="str">
        <f>_xlfn.XLOOKUP(TabReceitas[[#This Row],[ID]],TabCondicoesComerciais[ID],TabCondicoesComerciais[Congênere],"Verificar")</f>
        <v>Ipiranga</v>
      </c>
      <c r="F627" s="3" t="s">
        <v>7</v>
      </c>
      <c r="G627" s="30">
        <v>0</v>
      </c>
      <c r="H627" s="30">
        <v>0</v>
      </c>
    </row>
    <row r="628" spans="1:8" hidden="1" x14ac:dyDescent="0.35">
      <c r="A628" s="10" t="s">
        <v>200</v>
      </c>
      <c r="B628" s="11">
        <v>45689</v>
      </c>
      <c r="C628" s="3" t="str">
        <f>_xlfn.XLOOKUP(TabReceitas[[#This Row],[ID]],TabCondicoesComerciais[ID],TabCondicoesComerciais[Nº Filial],0)</f>
        <v>16</v>
      </c>
      <c r="D628" s="3" t="s">
        <v>12</v>
      </c>
      <c r="E628" s="3" t="str">
        <f>_xlfn.XLOOKUP(TabReceitas[[#This Row],[ID]],TabCondicoesComerciais[ID],TabCondicoesComerciais[Congênere],"Verificar")</f>
        <v>Ipiranga</v>
      </c>
      <c r="F628" s="3" t="s">
        <v>8</v>
      </c>
      <c r="G628" s="30">
        <v>0</v>
      </c>
      <c r="H628" s="30">
        <v>0</v>
      </c>
    </row>
    <row r="629" spans="1:8" hidden="1" x14ac:dyDescent="0.35">
      <c r="A629" s="10" t="s">
        <v>200</v>
      </c>
      <c r="B629" s="11">
        <v>45689</v>
      </c>
      <c r="C629" s="3" t="str">
        <f>_xlfn.XLOOKUP(TabReceitas[[#This Row],[ID]],TabCondicoesComerciais[ID],TabCondicoesComerciais[Nº Filial],0)</f>
        <v>16</v>
      </c>
      <c r="D629" s="3" t="s">
        <v>12</v>
      </c>
      <c r="E629" s="3" t="str">
        <f>_xlfn.XLOOKUP(TabReceitas[[#This Row],[ID]],TabCondicoesComerciais[ID],TabCondicoesComerciais[Congênere],"Verificar")</f>
        <v>Ipiranga</v>
      </c>
      <c r="F629" s="3" t="s">
        <v>15</v>
      </c>
      <c r="G629" s="30">
        <v>0</v>
      </c>
      <c r="H629" s="30">
        <v>0</v>
      </c>
    </row>
    <row r="630" spans="1:8" hidden="1" x14ac:dyDescent="0.35">
      <c r="A630" s="10" t="s">
        <v>200</v>
      </c>
      <c r="B630" s="11">
        <v>45689</v>
      </c>
      <c r="C630" s="3" t="str">
        <f>_xlfn.XLOOKUP(TabReceitas[[#This Row],[ID]],TabCondicoesComerciais[ID],TabCondicoesComerciais[Nº Filial],0)</f>
        <v>16</v>
      </c>
      <c r="D630" s="3" t="s">
        <v>12</v>
      </c>
      <c r="E630" s="3" t="str">
        <f>_xlfn.XLOOKUP(TabReceitas[[#This Row],[ID]],TabCondicoesComerciais[ID],TabCondicoesComerciais[Congênere],"Verificar")</f>
        <v>Ipiranga</v>
      </c>
      <c r="F630" s="3" t="s">
        <v>65</v>
      </c>
      <c r="G630" s="30">
        <v>0</v>
      </c>
      <c r="H630" s="30">
        <v>0</v>
      </c>
    </row>
    <row r="631" spans="1:8" hidden="1" x14ac:dyDescent="0.35">
      <c r="A631" s="10" t="s">
        <v>200</v>
      </c>
      <c r="B631" s="11">
        <v>45717</v>
      </c>
      <c r="C631" s="3" t="str">
        <f>_xlfn.XLOOKUP(TabReceitas[[#This Row],[ID]],TabCondicoesComerciais[ID],TabCondicoesComerciais[Nº Filial],0)</f>
        <v>16</v>
      </c>
      <c r="D631" s="3" t="s">
        <v>12</v>
      </c>
      <c r="E631" s="3" t="str">
        <f>_xlfn.XLOOKUP(TabReceitas[[#This Row],[ID]],TabCondicoesComerciais[ID],TabCondicoesComerciais[Congênere],"Verificar")</f>
        <v>Ipiranga</v>
      </c>
      <c r="F631" s="3" t="s">
        <v>7</v>
      </c>
      <c r="G631" s="30">
        <v>0</v>
      </c>
      <c r="H631" s="30">
        <v>0</v>
      </c>
    </row>
    <row r="632" spans="1:8" hidden="1" x14ac:dyDescent="0.35">
      <c r="A632" s="10" t="s">
        <v>200</v>
      </c>
      <c r="B632" s="11">
        <v>45717</v>
      </c>
      <c r="C632" s="3" t="str">
        <f>_xlfn.XLOOKUP(TabReceitas[[#This Row],[ID]],TabCondicoesComerciais[ID],TabCondicoesComerciais[Nº Filial],0)</f>
        <v>16</v>
      </c>
      <c r="D632" s="3" t="s">
        <v>12</v>
      </c>
      <c r="E632" s="3" t="str">
        <f>_xlfn.XLOOKUP(TabReceitas[[#This Row],[ID]],TabCondicoesComerciais[ID],TabCondicoesComerciais[Congênere],"Verificar")</f>
        <v>Ipiranga</v>
      </c>
      <c r="F632" s="3" t="s">
        <v>8</v>
      </c>
      <c r="G632" s="30">
        <v>0</v>
      </c>
      <c r="H632" s="30">
        <v>0</v>
      </c>
    </row>
    <row r="633" spans="1:8" hidden="1" x14ac:dyDescent="0.35">
      <c r="A633" s="10" t="s">
        <v>200</v>
      </c>
      <c r="B633" s="11">
        <v>45717</v>
      </c>
      <c r="C633" s="3" t="str">
        <f>_xlfn.XLOOKUP(TabReceitas[[#This Row],[ID]],TabCondicoesComerciais[ID],TabCondicoesComerciais[Nº Filial],0)</f>
        <v>16</v>
      </c>
      <c r="D633" s="3" t="s">
        <v>12</v>
      </c>
      <c r="E633" s="3" t="str">
        <f>_xlfn.XLOOKUP(TabReceitas[[#This Row],[ID]],TabCondicoesComerciais[ID],TabCondicoesComerciais[Congênere],"Verificar")</f>
        <v>Ipiranga</v>
      </c>
      <c r="F633" s="3" t="s">
        <v>15</v>
      </c>
      <c r="G633" s="30">
        <v>0</v>
      </c>
      <c r="H633" s="30">
        <v>0</v>
      </c>
    </row>
    <row r="634" spans="1:8" hidden="1" x14ac:dyDescent="0.35">
      <c r="A634" s="10" t="s">
        <v>200</v>
      </c>
      <c r="B634" s="11">
        <v>45717</v>
      </c>
      <c r="C634" s="3" t="str">
        <f>_xlfn.XLOOKUP(TabReceitas[[#This Row],[ID]],TabCondicoesComerciais[ID],TabCondicoesComerciais[Nº Filial],0)</f>
        <v>16</v>
      </c>
      <c r="D634" s="3" t="s">
        <v>12</v>
      </c>
      <c r="E634" s="3" t="str">
        <f>_xlfn.XLOOKUP(TabReceitas[[#This Row],[ID]],TabCondicoesComerciais[ID],TabCondicoesComerciais[Congênere],"Verificar")</f>
        <v>Ipiranga</v>
      </c>
      <c r="F634" s="3" t="s">
        <v>65</v>
      </c>
      <c r="G634" s="30">
        <v>0</v>
      </c>
      <c r="H634" s="30">
        <v>0</v>
      </c>
    </row>
    <row r="635" spans="1:8" hidden="1" x14ac:dyDescent="0.35">
      <c r="A635" s="10" t="s">
        <v>200</v>
      </c>
      <c r="B635" s="11">
        <v>45748</v>
      </c>
      <c r="C635" s="3" t="str">
        <f>_xlfn.XLOOKUP(TabReceitas[[#This Row],[ID]],TabCondicoesComerciais[ID],TabCondicoesComerciais[Nº Filial],0)</f>
        <v>16</v>
      </c>
      <c r="D635" s="3" t="s">
        <v>12</v>
      </c>
      <c r="E635" s="3" t="str">
        <f>_xlfn.XLOOKUP(TabReceitas[[#This Row],[ID]],TabCondicoesComerciais[ID],TabCondicoesComerciais[Congênere],"Verificar")</f>
        <v>Ipiranga</v>
      </c>
      <c r="F635" s="3" t="s">
        <v>7</v>
      </c>
      <c r="G635" s="30">
        <v>0</v>
      </c>
      <c r="H635" s="30">
        <v>0</v>
      </c>
    </row>
    <row r="636" spans="1:8" hidden="1" x14ac:dyDescent="0.35">
      <c r="A636" s="10" t="s">
        <v>200</v>
      </c>
      <c r="B636" s="11">
        <v>45748</v>
      </c>
      <c r="C636" s="3" t="str">
        <f>_xlfn.XLOOKUP(TabReceitas[[#This Row],[ID]],TabCondicoesComerciais[ID],TabCondicoesComerciais[Nº Filial],0)</f>
        <v>16</v>
      </c>
      <c r="D636" s="3" t="s">
        <v>12</v>
      </c>
      <c r="E636" s="3" t="str">
        <f>_xlfn.XLOOKUP(TabReceitas[[#This Row],[ID]],TabCondicoesComerciais[ID],TabCondicoesComerciais[Congênere],"Verificar")</f>
        <v>Ipiranga</v>
      </c>
      <c r="F636" s="3" t="s">
        <v>8</v>
      </c>
      <c r="G636" s="30">
        <v>0</v>
      </c>
      <c r="H636" s="30">
        <v>0</v>
      </c>
    </row>
    <row r="637" spans="1:8" hidden="1" x14ac:dyDescent="0.35">
      <c r="A637" s="10" t="s">
        <v>200</v>
      </c>
      <c r="B637" s="11">
        <v>45748</v>
      </c>
      <c r="C637" s="3" t="str">
        <f>_xlfn.XLOOKUP(TabReceitas[[#This Row],[ID]],TabCondicoesComerciais[ID],TabCondicoesComerciais[Nº Filial],0)</f>
        <v>16</v>
      </c>
      <c r="D637" s="3" t="s">
        <v>12</v>
      </c>
      <c r="E637" s="3" t="str">
        <f>_xlfn.XLOOKUP(TabReceitas[[#This Row],[ID]],TabCondicoesComerciais[ID],TabCondicoesComerciais[Congênere],"Verificar")</f>
        <v>Ipiranga</v>
      </c>
      <c r="F637" s="3" t="s">
        <v>15</v>
      </c>
      <c r="G637" s="30">
        <v>0</v>
      </c>
      <c r="H637" s="30">
        <v>0</v>
      </c>
    </row>
    <row r="638" spans="1:8" hidden="1" x14ac:dyDescent="0.35">
      <c r="A638" s="10" t="s">
        <v>200</v>
      </c>
      <c r="B638" s="11">
        <v>45748</v>
      </c>
      <c r="C638" s="3" t="str">
        <f>_xlfn.XLOOKUP(TabReceitas[[#This Row],[ID]],TabCondicoesComerciais[ID],TabCondicoesComerciais[Nº Filial],0)</f>
        <v>16</v>
      </c>
      <c r="D638" s="3" t="s">
        <v>12</v>
      </c>
      <c r="E638" s="3" t="str">
        <f>_xlfn.XLOOKUP(TabReceitas[[#This Row],[ID]],TabCondicoesComerciais[ID],TabCondicoesComerciais[Congênere],"Verificar")</f>
        <v>Ipiranga</v>
      </c>
      <c r="F638" s="3" t="s">
        <v>65</v>
      </c>
      <c r="G638" s="30">
        <v>0</v>
      </c>
      <c r="H638" s="30">
        <v>0</v>
      </c>
    </row>
    <row r="639" spans="1:8" hidden="1" x14ac:dyDescent="0.35">
      <c r="A639" s="10" t="s">
        <v>200</v>
      </c>
      <c r="B639" s="11">
        <v>45778</v>
      </c>
      <c r="C639" s="3" t="str">
        <f>_xlfn.XLOOKUP(TabReceitas[[#This Row],[ID]],TabCondicoesComerciais[ID],TabCondicoesComerciais[Nº Filial],0)</f>
        <v>16</v>
      </c>
      <c r="D639" s="3" t="s">
        <v>12</v>
      </c>
      <c r="E639" s="3" t="str">
        <f>_xlfn.XLOOKUP(TabReceitas[[#This Row],[ID]],TabCondicoesComerciais[ID],TabCondicoesComerciais[Congênere],"Verificar")</f>
        <v>Ipiranga</v>
      </c>
      <c r="F639" s="3" t="s">
        <v>7</v>
      </c>
      <c r="G639" s="30">
        <v>0</v>
      </c>
      <c r="H639" s="30">
        <v>0</v>
      </c>
    </row>
    <row r="640" spans="1:8" hidden="1" x14ac:dyDescent="0.35">
      <c r="A640" s="10" t="s">
        <v>200</v>
      </c>
      <c r="B640" s="11">
        <v>45778</v>
      </c>
      <c r="C640" s="3" t="str">
        <f>_xlfn.XLOOKUP(TabReceitas[[#This Row],[ID]],TabCondicoesComerciais[ID],TabCondicoesComerciais[Nº Filial],0)</f>
        <v>16</v>
      </c>
      <c r="D640" s="3" t="s">
        <v>12</v>
      </c>
      <c r="E640" s="3" t="str">
        <f>_xlfn.XLOOKUP(TabReceitas[[#This Row],[ID]],TabCondicoesComerciais[ID],TabCondicoesComerciais[Congênere],"Verificar")</f>
        <v>Ipiranga</v>
      </c>
      <c r="F640" s="3" t="s">
        <v>8</v>
      </c>
      <c r="G640" s="30">
        <v>0</v>
      </c>
      <c r="H640" s="30">
        <v>0</v>
      </c>
    </row>
    <row r="641" spans="1:8" hidden="1" x14ac:dyDescent="0.35">
      <c r="A641" s="10" t="s">
        <v>200</v>
      </c>
      <c r="B641" s="11">
        <v>45778</v>
      </c>
      <c r="C641" s="3" t="str">
        <f>_xlfn.XLOOKUP(TabReceitas[[#This Row],[ID]],TabCondicoesComerciais[ID],TabCondicoesComerciais[Nº Filial],0)</f>
        <v>16</v>
      </c>
      <c r="D641" s="3" t="s">
        <v>12</v>
      </c>
      <c r="E641" s="3" t="str">
        <f>_xlfn.XLOOKUP(TabReceitas[[#This Row],[ID]],TabCondicoesComerciais[ID],TabCondicoesComerciais[Congênere],"Verificar")</f>
        <v>Ipiranga</v>
      </c>
      <c r="F641" s="3" t="s">
        <v>15</v>
      </c>
      <c r="G641" s="30">
        <v>0</v>
      </c>
      <c r="H641" s="40">
        <v>0</v>
      </c>
    </row>
    <row r="642" spans="1:8" hidden="1" x14ac:dyDescent="0.35">
      <c r="A642" s="10" t="s">
        <v>200</v>
      </c>
      <c r="B642" s="11">
        <v>45778</v>
      </c>
      <c r="C642" s="3" t="str">
        <f>_xlfn.XLOOKUP(TabReceitas[[#This Row],[ID]],TabCondicoesComerciais[ID],TabCondicoesComerciais[Nº Filial],0)</f>
        <v>16</v>
      </c>
      <c r="D642" s="3" t="s">
        <v>12</v>
      </c>
      <c r="E642" s="3" t="str">
        <f>_xlfn.XLOOKUP(TabReceitas[[#This Row],[ID]],TabCondicoesComerciais[ID],TabCondicoesComerciais[Congênere],"Verificar")</f>
        <v>Ipiranga</v>
      </c>
      <c r="F642" s="3" t="s">
        <v>65</v>
      </c>
      <c r="G642" s="30">
        <v>0</v>
      </c>
      <c r="H642" s="30">
        <v>0</v>
      </c>
    </row>
    <row r="643" spans="1:8" hidden="1" x14ac:dyDescent="0.35">
      <c r="A643" s="10" t="s">
        <v>200</v>
      </c>
      <c r="B643" s="11">
        <v>45809</v>
      </c>
      <c r="C643" s="3" t="str">
        <f>_xlfn.XLOOKUP(TabReceitas[[#This Row],[ID]],TabCondicoesComerciais[ID],TabCondicoesComerciais[Nº Filial],0)</f>
        <v>16</v>
      </c>
      <c r="D643" s="3" t="s">
        <v>12</v>
      </c>
      <c r="E643" s="3" t="str">
        <f>_xlfn.XLOOKUP(TabReceitas[[#This Row],[ID]],TabCondicoesComerciais[ID],TabCondicoesComerciais[Congênere],"Verificar")</f>
        <v>Ipiranga</v>
      </c>
      <c r="F643" s="3" t="s">
        <v>7</v>
      </c>
      <c r="G643" s="30">
        <v>0</v>
      </c>
      <c r="H643" s="30">
        <v>0</v>
      </c>
    </row>
    <row r="644" spans="1:8" hidden="1" x14ac:dyDescent="0.35">
      <c r="A644" s="10" t="s">
        <v>200</v>
      </c>
      <c r="B644" s="11">
        <v>45809</v>
      </c>
      <c r="C644" s="3" t="str">
        <f>_xlfn.XLOOKUP(TabReceitas[[#This Row],[ID]],TabCondicoesComerciais[ID],TabCondicoesComerciais[Nº Filial],0)</f>
        <v>16</v>
      </c>
      <c r="D644" s="3" t="s">
        <v>12</v>
      </c>
      <c r="E644" s="3" t="str">
        <f>_xlfn.XLOOKUP(TabReceitas[[#This Row],[ID]],TabCondicoesComerciais[ID],TabCondicoesComerciais[Congênere],"Verificar")</f>
        <v>Ipiranga</v>
      </c>
      <c r="F644" s="3" t="s">
        <v>8</v>
      </c>
      <c r="G644" s="30">
        <v>0</v>
      </c>
      <c r="H644" s="30">
        <v>0</v>
      </c>
    </row>
    <row r="645" spans="1:8" hidden="1" x14ac:dyDescent="0.35">
      <c r="A645" s="10" t="s">
        <v>200</v>
      </c>
      <c r="B645" s="11">
        <v>45809</v>
      </c>
      <c r="C645" s="3" t="str">
        <f>_xlfn.XLOOKUP(TabReceitas[[#This Row],[ID]],TabCondicoesComerciais[ID],TabCondicoesComerciais[Nº Filial],0)</f>
        <v>16</v>
      </c>
      <c r="D645" s="3" t="s">
        <v>12</v>
      </c>
      <c r="E645" s="3" t="str">
        <f>_xlfn.XLOOKUP(TabReceitas[[#This Row],[ID]],TabCondicoesComerciais[ID],TabCondicoesComerciais[Congênere],"Verificar")</f>
        <v>Ipiranga</v>
      </c>
      <c r="F645" s="3" t="s">
        <v>15</v>
      </c>
      <c r="G645" s="30">
        <v>0</v>
      </c>
      <c r="H645" s="40">
        <v>0</v>
      </c>
    </row>
    <row r="646" spans="1:8" hidden="1" x14ac:dyDescent="0.35">
      <c r="A646" s="10" t="s">
        <v>200</v>
      </c>
      <c r="B646" s="11">
        <v>45809</v>
      </c>
      <c r="C646" s="3" t="str">
        <f>_xlfn.XLOOKUP(TabReceitas[[#This Row],[ID]],TabCondicoesComerciais[ID],TabCondicoesComerciais[Nº Filial],0)</f>
        <v>16</v>
      </c>
      <c r="D646" s="3" t="s">
        <v>12</v>
      </c>
      <c r="E646" s="3" t="str">
        <f>_xlfn.XLOOKUP(TabReceitas[[#This Row],[ID]],TabCondicoesComerciais[ID],TabCondicoesComerciais[Congênere],"Verificar")</f>
        <v>Ipiranga</v>
      </c>
      <c r="F646" s="3" t="s">
        <v>65</v>
      </c>
      <c r="G646" s="30">
        <v>0</v>
      </c>
      <c r="H646" s="30">
        <v>0</v>
      </c>
    </row>
    <row r="647" spans="1:8" hidden="1" x14ac:dyDescent="0.35">
      <c r="A647" s="10" t="s">
        <v>200</v>
      </c>
      <c r="B647" s="11">
        <v>45839</v>
      </c>
      <c r="C647" s="3" t="str">
        <f>_xlfn.XLOOKUP(TabReceitas[[#This Row],[ID]],TabCondicoesComerciais[ID],TabCondicoesComerciais[Nº Filial],0)</f>
        <v>16</v>
      </c>
      <c r="D647" s="3" t="s">
        <v>12</v>
      </c>
      <c r="E647" s="3" t="str">
        <f>_xlfn.XLOOKUP(TabReceitas[[#This Row],[ID]],TabCondicoesComerciais[ID],TabCondicoesComerciais[Congênere],"Verificar")</f>
        <v>Ipiranga</v>
      </c>
      <c r="F647" s="3" t="s">
        <v>7</v>
      </c>
      <c r="G647" s="30">
        <v>0</v>
      </c>
      <c r="H647" s="30">
        <v>0</v>
      </c>
    </row>
    <row r="648" spans="1:8" hidden="1" x14ac:dyDescent="0.35">
      <c r="A648" s="10" t="s">
        <v>200</v>
      </c>
      <c r="B648" s="11">
        <v>45839</v>
      </c>
      <c r="C648" s="3" t="str">
        <f>_xlfn.XLOOKUP(TabReceitas[[#This Row],[ID]],TabCondicoesComerciais[ID],TabCondicoesComerciais[Nº Filial],0)</f>
        <v>16</v>
      </c>
      <c r="D648" s="3" t="s">
        <v>12</v>
      </c>
      <c r="E648" s="3" t="str">
        <f>_xlfn.XLOOKUP(TabReceitas[[#This Row],[ID]],TabCondicoesComerciais[ID],TabCondicoesComerciais[Congênere],"Verificar")</f>
        <v>Ipiranga</v>
      </c>
      <c r="F648" s="3" t="s">
        <v>8</v>
      </c>
      <c r="G648" s="30">
        <v>0</v>
      </c>
      <c r="H648" s="30">
        <v>0</v>
      </c>
    </row>
    <row r="649" spans="1:8" hidden="1" x14ac:dyDescent="0.35">
      <c r="A649" s="10" t="s">
        <v>200</v>
      </c>
      <c r="B649" s="11">
        <v>45839</v>
      </c>
      <c r="C649" s="3" t="str">
        <f>_xlfn.XLOOKUP(TabReceitas[[#This Row],[ID]],TabCondicoesComerciais[ID],TabCondicoesComerciais[Nº Filial],0)</f>
        <v>16</v>
      </c>
      <c r="D649" s="3" t="s">
        <v>12</v>
      </c>
      <c r="E649" s="3" t="str">
        <f>_xlfn.XLOOKUP(TabReceitas[[#This Row],[ID]],TabCondicoesComerciais[ID],TabCondicoesComerciais[Congênere],"Verificar")</f>
        <v>Ipiranga</v>
      </c>
      <c r="F649" s="3" t="s">
        <v>15</v>
      </c>
      <c r="G649" s="30">
        <v>0</v>
      </c>
      <c r="H649" s="40">
        <v>0</v>
      </c>
    </row>
    <row r="650" spans="1:8" hidden="1" x14ac:dyDescent="0.35">
      <c r="A650" s="10" t="s">
        <v>200</v>
      </c>
      <c r="B650" s="11">
        <v>45839</v>
      </c>
      <c r="C650" s="3" t="str">
        <f>_xlfn.XLOOKUP(TabReceitas[[#This Row],[ID]],TabCondicoesComerciais[ID],TabCondicoesComerciais[Nº Filial],0)</f>
        <v>16</v>
      </c>
      <c r="D650" s="3" t="s">
        <v>12</v>
      </c>
      <c r="E650" s="3" t="str">
        <f>_xlfn.XLOOKUP(TabReceitas[[#This Row],[ID]],TabCondicoesComerciais[ID],TabCondicoesComerciais[Congênere],"Verificar")</f>
        <v>Ipiranga</v>
      </c>
      <c r="F650" s="3" t="s">
        <v>65</v>
      </c>
      <c r="G650" s="30">
        <v>0</v>
      </c>
      <c r="H650" s="30">
        <v>0</v>
      </c>
    </row>
    <row r="651" spans="1:8" hidden="1" x14ac:dyDescent="0.35">
      <c r="A651" s="10" t="s">
        <v>200</v>
      </c>
      <c r="B651" s="11">
        <v>45870</v>
      </c>
      <c r="C651" s="3" t="str">
        <f>_xlfn.XLOOKUP(TabReceitas[[#This Row],[ID]],TabCondicoesComerciais[ID],TabCondicoesComerciais[Nº Filial],0)</f>
        <v>16</v>
      </c>
      <c r="D651" s="3" t="s">
        <v>12</v>
      </c>
      <c r="E651" s="3" t="str">
        <f>_xlfn.XLOOKUP(TabReceitas[[#This Row],[ID]],TabCondicoesComerciais[ID],TabCondicoesComerciais[Congênere],"Verificar")</f>
        <v>Ipiranga</v>
      </c>
      <c r="F651" s="3" t="s">
        <v>7</v>
      </c>
      <c r="G651" s="30">
        <v>0</v>
      </c>
      <c r="H651" s="30">
        <v>0</v>
      </c>
    </row>
    <row r="652" spans="1:8" hidden="1" x14ac:dyDescent="0.35">
      <c r="A652" s="10" t="s">
        <v>200</v>
      </c>
      <c r="B652" s="11">
        <v>45870</v>
      </c>
      <c r="C652" s="3" t="str">
        <f>_xlfn.XLOOKUP(TabReceitas[[#This Row],[ID]],TabCondicoesComerciais[ID],TabCondicoesComerciais[Nº Filial],0)</f>
        <v>16</v>
      </c>
      <c r="D652" s="3" t="s">
        <v>12</v>
      </c>
      <c r="E652" s="3" t="str">
        <f>_xlfn.XLOOKUP(TabReceitas[[#This Row],[ID]],TabCondicoesComerciais[ID],TabCondicoesComerciais[Congênere],"Verificar")</f>
        <v>Ipiranga</v>
      </c>
      <c r="F652" s="3" t="s">
        <v>8</v>
      </c>
      <c r="G652" s="30">
        <v>0</v>
      </c>
      <c r="H652" s="30">
        <v>0</v>
      </c>
    </row>
    <row r="653" spans="1:8" hidden="1" x14ac:dyDescent="0.35">
      <c r="A653" s="10" t="s">
        <v>200</v>
      </c>
      <c r="B653" s="11">
        <v>45870</v>
      </c>
      <c r="C653" s="3" t="str">
        <f>_xlfn.XLOOKUP(TabReceitas[[#This Row],[ID]],TabCondicoesComerciais[ID],TabCondicoesComerciais[Nº Filial],0)</f>
        <v>16</v>
      </c>
      <c r="D653" s="3" t="s">
        <v>12</v>
      </c>
      <c r="E653" s="3" t="str">
        <f>_xlfn.XLOOKUP(TabReceitas[[#This Row],[ID]],TabCondicoesComerciais[ID],TabCondicoesComerciais[Congênere],"Verificar")</f>
        <v>Ipiranga</v>
      </c>
      <c r="F653" s="3" t="s">
        <v>15</v>
      </c>
      <c r="G653" s="30">
        <v>0</v>
      </c>
      <c r="H653" s="40">
        <v>0</v>
      </c>
    </row>
    <row r="654" spans="1:8" hidden="1" x14ac:dyDescent="0.35">
      <c r="A654" s="10" t="s">
        <v>200</v>
      </c>
      <c r="B654" s="11">
        <v>45870</v>
      </c>
      <c r="C654" s="3" t="str">
        <f>_xlfn.XLOOKUP(TabReceitas[[#This Row],[ID]],TabCondicoesComerciais[ID],TabCondicoesComerciais[Nº Filial],0)</f>
        <v>16</v>
      </c>
      <c r="D654" s="3" t="s">
        <v>12</v>
      </c>
      <c r="E654" s="3" t="str">
        <f>_xlfn.XLOOKUP(TabReceitas[[#This Row],[ID]],TabCondicoesComerciais[ID],TabCondicoesComerciais[Congênere],"Verificar")</f>
        <v>Ipiranga</v>
      </c>
      <c r="F654" s="3" t="s">
        <v>65</v>
      </c>
      <c r="G654" s="30">
        <v>0</v>
      </c>
      <c r="H654" s="30">
        <v>0</v>
      </c>
    </row>
    <row r="655" spans="1:8" hidden="1" x14ac:dyDescent="0.35">
      <c r="A655" s="10" t="s">
        <v>200</v>
      </c>
      <c r="B655" s="11">
        <v>45901</v>
      </c>
      <c r="C655" s="3" t="str">
        <f>_xlfn.XLOOKUP(TabReceitas[[#This Row],[ID]],TabCondicoesComerciais[ID],TabCondicoesComerciais[Nº Filial],0)</f>
        <v>16</v>
      </c>
      <c r="D655" s="3" t="s">
        <v>12</v>
      </c>
      <c r="E655" s="3" t="str">
        <f>_xlfn.XLOOKUP(TabReceitas[[#This Row],[ID]],TabCondicoesComerciais[ID],TabCondicoesComerciais[Congênere],"Verificar")</f>
        <v>Ipiranga</v>
      </c>
      <c r="F655" s="3" t="s">
        <v>7</v>
      </c>
      <c r="G655" s="30">
        <v>0</v>
      </c>
      <c r="H655" s="30">
        <v>0</v>
      </c>
    </row>
    <row r="656" spans="1:8" hidden="1" x14ac:dyDescent="0.35">
      <c r="A656" s="10" t="s">
        <v>200</v>
      </c>
      <c r="B656" s="11">
        <v>45901</v>
      </c>
      <c r="C656" s="3" t="str">
        <f>_xlfn.XLOOKUP(TabReceitas[[#This Row],[ID]],TabCondicoesComerciais[ID],TabCondicoesComerciais[Nº Filial],0)</f>
        <v>16</v>
      </c>
      <c r="D656" s="3" t="s">
        <v>12</v>
      </c>
      <c r="E656" s="3" t="str">
        <f>_xlfn.XLOOKUP(TabReceitas[[#This Row],[ID]],TabCondicoesComerciais[ID],TabCondicoesComerciais[Congênere],"Verificar")</f>
        <v>Ipiranga</v>
      </c>
      <c r="F656" s="3" t="s">
        <v>8</v>
      </c>
      <c r="G656" s="30">
        <v>0</v>
      </c>
      <c r="H656" s="30">
        <v>0</v>
      </c>
    </row>
    <row r="657" spans="1:8" hidden="1" x14ac:dyDescent="0.35">
      <c r="A657" s="10" t="s">
        <v>200</v>
      </c>
      <c r="B657" s="11">
        <v>45901</v>
      </c>
      <c r="C657" s="3" t="str">
        <f>_xlfn.XLOOKUP(TabReceitas[[#This Row],[ID]],TabCondicoesComerciais[ID],TabCondicoesComerciais[Nº Filial],0)</f>
        <v>16</v>
      </c>
      <c r="D657" s="3" t="s">
        <v>12</v>
      </c>
      <c r="E657" s="3" t="str">
        <f>_xlfn.XLOOKUP(TabReceitas[[#This Row],[ID]],TabCondicoesComerciais[ID],TabCondicoesComerciais[Congênere],"Verificar")</f>
        <v>Ipiranga</v>
      </c>
      <c r="F657" s="3" t="s">
        <v>15</v>
      </c>
      <c r="G657" s="30">
        <v>0</v>
      </c>
      <c r="H657" s="40">
        <v>0</v>
      </c>
    </row>
    <row r="658" spans="1:8" hidden="1" x14ac:dyDescent="0.35">
      <c r="A658" s="10" t="s">
        <v>200</v>
      </c>
      <c r="B658" s="11">
        <v>45901</v>
      </c>
      <c r="C658" s="3" t="str">
        <f>_xlfn.XLOOKUP(TabReceitas[[#This Row],[ID]],TabCondicoesComerciais[ID],TabCondicoesComerciais[Nº Filial],0)</f>
        <v>16</v>
      </c>
      <c r="D658" s="3" t="s">
        <v>12</v>
      </c>
      <c r="E658" s="3" t="str">
        <f>_xlfn.XLOOKUP(TabReceitas[[#This Row],[ID]],TabCondicoesComerciais[ID],TabCondicoesComerciais[Congênere],"Verificar")</f>
        <v>Ipiranga</v>
      </c>
      <c r="F658" s="3" t="s">
        <v>65</v>
      </c>
      <c r="G658" s="30">
        <v>0</v>
      </c>
      <c r="H658" s="30">
        <v>0</v>
      </c>
    </row>
    <row r="659" spans="1:8" hidden="1" x14ac:dyDescent="0.35">
      <c r="A659" s="10" t="s">
        <v>200</v>
      </c>
      <c r="B659" s="11">
        <v>45931</v>
      </c>
      <c r="C659" s="3" t="str">
        <f>_xlfn.XLOOKUP(TabReceitas[[#This Row],[ID]],TabCondicoesComerciais[ID],TabCondicoesComerciais[Nº Filial],0)</f>
        <v>16</v>
      </c>
      <c r="D659" s="3" t="s">
        <v>12</v>
      </c>
      <c r="E659" s="3" t="str">
        <f>_xlfn.XLOOKUP(TabReceitas[[#This Row],[ID]],TabCondicoesComerciais[ID],TabCondicoesComerciais[Congênere],"Verificar")</f>
        <v>Ipiranga</v>
      </c>
      <c r="F659" s="3" t="s">
        <v>7</v>
      </c>
      <c r="G659" s="30">
        <v>0</v>
      </c>
      <c r="H659" s="30">
        <v>0</v>
      </c>
    </row>
    <row r="660" spans="1:8" hidden="1" x14ac:dyDescent="0.35">
      <c r="A660" s="10" t="s">
        <v>200</v>
      </c>
      <c r="B660" s="11">
        <v>45931</v>
      </c>
      <c r="C660" s="3" t="str">
        <f>_xlfn.XLOOKUP(TabReceitas[[#This Row],[ID]],TabCondicoesComerciais[ID],TabCondicoesComerciais[Nº Filial],0)</f>
        <v>16</v>
      </c>
      <c r="D660" s="3" t="s">
        <v>12</v>
      </c>
      <c r="E660" s="3" t="str">
        <f>_xlfn.XLOOKUP(TabReceitas[[#This Row],[ID]],TabCondicoesComerciais[ID],TabCondicoesComerciais[Congênere],"Verificar")</f>
        <v>Ipiranga</v>
      </c>
      <c r="F660" s="3" t="s">
        <v>8</v>
      </c>
      <c r="G660" s="30">
        <v>0</v>
      </c>
      <c r="H660" s="30">
        <v>0</v>
      </c>
    </row>
    <row r="661" spans="1:8" hidden="1" x14ac:dyDescent="0.35">
      <c r="A661" s="10" t="s">
        <v>200</v>
      </c>
      <c r="B661" s="11">
        <v>45931</v>
      </c>
      <c r="C661" s="3" t="str">
        <f>_xlfn.XLOOKUP(TabReceitas[[#This Row],[ID]],TabCondicoesComerciais[ID],TabCondicoesComerciais[Nº Filial],0)</f>
        <v>16</v>
      </c>
      <c r="D661" s="3" t="s">
        <v>12</v>
      </c>
      <c r="E661" s="3" t="str">
        <f>_xlfn.XLOOKUP(TabReceitas[[#This Row],[ID]],TabCondicoesComerciais[ID],TabCondicoesComerciais[Congênere],"Verificar")</f>
        <v>Ipiranga</v>
      </c>
      <c r="F661" s="3" t="s">
        <v>15</v>
      </c>
      <c r="G661" s="30">
        <v>0</v>
      </c>
      <c r="H661" s="40">
        <v>0</v>
      </c>
    </row>
    <row r="662" spans="1:8" hidden="1" x14ac:dyDescent="0.35">
      <c r="A662" s="10" t="s">
        <v>200</v>
      </c>
      <c r="B662" s="11">
        <v>45931</v>
      </c>
      <c r="C662" s="3" t="str">
        <f>_xlfn.XLOOKUP(TabReceitas[[#This Row],[ID]],TabCondicoesComerciais[ID],TabCondicoesComerciais[Nº Filial],0)</f>
        <v>16</v>
      </c>
      <c r="D662" s="3" t="s">
        <v>12</v>
      </c>
      <c r="E662" s="3" t="str">
        <f>_xlfn.XLOOKUP(TabReceitas[[#This Row],[ID]],TabCondicoesComerciais[ID],TabCondicoesComerciais[Congênere],"Verificar")</f>
        <v>Ipiranga</v>
      </c>
      <c r="F662" s="3" t="s">
        <v>65</v>
      </c>
      <c r="G662" s="30">
        <v>0</v>
      </c>
      <c r="H662" s="30">
        <v>0</v>
      </c>
    </row>
    <row r="663" spans="1:8" hidden="1" x14ac:dyDescent="0.35">
      <c r="A663" s="10" t="s">
        <v>200</v>
      </c>
      <c r="B663" s="11">
        <v>45962</v>
      </c>
      <c r="C663" s="3" t="str">
        <f>_xlfn.XLOOKUP(TabReceitas[[#This Row],[ID]],TabCondicoesComerciais[ID],TabCondicoesComerciais[Nº Filial],0)</f>
        <v>16</v>
      </c>
      <c r="D663" s="3" t="s">
        <v>12</v>
      </c>
      <c r="E663" s="3" t="str">
        <f>_xlfn.XLOOKUP(TabReceitas[[#This Row],[ID]],TabCondicoesComerciais[ID],TabCondicoesComerciais[Congênere],"Verificar")</f>
        <v>Ipiranga</v>
      </c>
      <c r="F663" s="3" t="s">
        <v>7</v>
      </c>
      <c r="G663" s="30">
        <v>0</v>
      </c>
      <c r="H663" s="30">
        <v>0</v>
      </c>
    </row>
    <row r="664" spans="1:8" hidden="1" x14ac:dyDescent="0.35">
      <c r="A664" s="10" t="s">
        <v>200</v>
      </c>
      <c r="B664" s="11">
        <v>45962</v>
      </c>
      <c r="C664" s="3" t="str">
        <f>_xlfn.XLOOKUP(TabReceitas[[#This Row],[ID]],TabCondicoesComerciais[ID],TabCondicoesComerciais[Nº Filial],0)</f>
        <v>16</v>
      </c>
      <c r="D664" s="3" t="s">
        <v>12</v>
      </c>
      <c r="E664" s="3" t="str">
        <f>_xlfn.XLOOKUP(TabReceitas[[#This Row],[ID]],TabCondicoesComerciais[ID],TabCondicoesComerciais[Congênere],"Verificar")</f>
        <v>Ipiranga</v>
      </c>
      <c r="F664" s="3" t="s">
        <v>8</v>
      </c>
      <c r="G664" s="30">
        <v>0</v>
      </c>
      <c r="H664" s="30">
        <v>0</v>
      </c>
    </row>
    <row r="665" spans="1:8" hidden="1" x14ac:dyDescent="0.35">
      <c r="A665" s="10" t="s">
        <v>200</v>
      </c>
      <c r="B665" s="11">
        <v>45962</v>
      </c>
      <c r="C665" s="3" t="str">
        <f>_xlfn.XLOOKUP(TabReceitas[[#This Row],[ID]],TabCondicoesComerciais[ID],TabCondicoesComerciais[Nº Filial],0)</f>
        <v>16</v>
      </c>
      <c r="D665" s="3" t="s">
        <v>12</v>
      </c>
      <c r="E665" s="3" t="str">
        <f>_xlfn.XLOOKUP(TabReceitas[[#This Row],[ID]],TabCondicoesComerciais[ID],TabCondicoesComerciais[Congênere],"Verificar")</f>
        <v>Ipiranga</v>
      </c>
      <c r="F665" s="3" t="s">
        <v>15</v>
      </c>
      <c r="G665" s="30">
        <v>0</v>
      </c>
      <c r="H665" s="40">
        <v>0</v>
      </c>
    </row>
    <row r="666" spans="1:8" hidden="1" x14ac:dyDescent="0.35">
      <c r="A666" s="10" t="s">
        <v>200</v>
      </c>
      <c r="B666" s="11">
        <v>45962</v>
      </c>
      <c r="C666" s="3" t="str">
        <f>_xlfn.XLOOKUP(TabReceitas[[#This Row],[ID]],TabCondicoesComerciais[ID],TabCondicoesComerciais[Nº Filial],0)</f>
        <v>16</v>
      </c>
      <c r="D666" s="3" t="s">
        <v>12</v>
      </c>
      <c r="E666" s="3" t="str">
        <f>_xlfn.XLOOKUP(TabReceitas[[#This Row],[ID]],TabCondicoesComerciais[ID],TabCondicoesComerciais[Congênere],"Verificar")</f>
        <v>Ipiranga</v>
      </c>
      <c r="F666" s="3" t="s">
        <v>65</v>
      </c>
      <c r="G666" s="30">
        <v>0</v>
      </c>
      <c r="H666" s="30">
        <v>0</v>
      </c>
    </row>
    <row r="667" spans="1:8" hidden="1" x14ac:dyDescent="0.35">
      <c r="A667" s="10" t="s">
        <v>200</v>
      </c>
      <c r="B667" s="11">
        <v>45992</v>
      </c>
      <c r="C667" s="3" t="str">
        <f>_xlfn.XLOOKUP(TabReceitas[[#This Row],[ID]],TabCondicoesComerciais[ID],TabCondicoesComerciais[Nº Filial],0)</f>
        <v>16</v>
      </c>
      <c r="D667" s="3" t="s">
        <v>12</v>
      </c>
      <c r="E667" s="3" t="str">
        <f>_xlfn.XLOOKUP(TabReceitas[[#This Row],[ID]],TabCondicoesComerciais[ID],TabCondicoesComerciais[Congênere],"Verificar")</f>
        <v>Ipiranga</v>
      </c>
      <c r="F667" s="3" t="s">
        <v>7</v>
      </c>
      <c r="G667" s="30">
        <v>0</v>
      </c>
      <c r="H667" s="30">
        <v>0</v>
      </c>
    </row>
    <row r="668" spans="1:8" hidden="1" x14ac:dyDescent="0.35">
      <c r="A668" s="10" t="s">
        <v>200</v>
      </c>
      <c r="B668" s="11">
        <v>45992</v>
      </c>
      <c r="C668" s="3" t="str">
        <f>_xlfn.XLOOKUP(TabReceitas[[#This Row],[ID]],TabCondicoesComerciais[ID],TabCondicoesComerciais[Nº Filial],0)</f>
        <v>16</v>
      </c>
      <c r="D668" s="3" t="s">
        <v>12</v>
      </c>
      <c r="E668" s="3" t="str">
        <f>_xlfn.XLOOKUP(TabReceitas[[#This Row],[ID]],TabCondicoesComerciais[ID],TabCondicoesComerciais[Congênere],"Verificar")</f>
        <v>Ipiranga</v>
      </c>
      <c r="F668" s="3" t="s">
        <v>8</v>
      </c>
      <c r="G668" s="30">
        <v>0</v>
      </c>
      <c r="H668" s="30">
        <v>0</v>
      </c>
    </row>
    <row r="669" spans="1:8" hidden="1" x14ac:dyDescent="0.35">
      <c r="A669" s="10" t="s">
        <v>200</v>
      </c>
      <c r="B669" s="11">
        <v>45992</v>
      </c>
      <c r="C669" s="3" t="str">
        <f>_xlfn.XLOOKUP(TabReceitas[[#This Row],[ID]],TabCondicoesComerciais[ID],TabCondicoesComerciais[Nº Filial],0)</f>
        <v>16</v>
      </c>
      <c r="D669" s="3" t="s">
        <v>12</v>
      </c>
      <c r="E669" s="3" t="str">
        <f>_xlfn.XLOOKUP(TabReceitas[[#This Row],[ID]],TabCondicoesComerciais[ID],TabCondicoesComerciais[Congênere],"Verificar")</f>
        <v>Ipiranga</v>
      </c>
      <c r="F669" s="3" t="s">
        <v>15</v>
      </c>
      <c r="G669" s="30">
        <v>0</v>
      </c>
      <c r="H669" s="40">
        <v>0</v>
      </c>
    </row>
    <row r="670" spans="1:8" hidden="1" x14ac:dyDescent="0.35">
      <c r="A670" s="10" t="s">
        <v>200</v>
      </c>
      <c r="B670" s="11">
        <v>45992</v>
      </c>
      <c r="C670" s="3" t="str">
        <f>_xlfn.XLOOKUP(TabReceitas[[#This Row],[ID]],TabCondicoesComerciais[ID],TabCondicoesComerciais[Nº Filial],0)</f>
        <v>16</v>
      </c>
      <c r="D670" s="3" t="s">
        <v>12</v>
      </c>
      <c r="E670" s="3" t="str">
        <f>_xlfn.XLOOKUP(TabReceitas[[#This Row],[ID]],TabCondicoesComerciais[ID],TabCondicoesComerciais[Congênere],"Verificar")</f>
        <v>Ipiranga</v>
      </c>
      <c r="F670" s="3" t="s">
        <v>65</v>
      </c>
      <c r="G670" s="30">
        <v>0</v>
      </c>
      <c r="H670" s="30">
        <v>0</v>
      </c>
    </row>
    <row r="671" spans="1:8" hidden="1" x14ac:dyDescent="0.35">
      <c r="A671" s="10" t="s">
        <v>208</v>
      </c>
      <c r="B671" s="11">
        <v>45778</v>
      </c>
      <c r="C671" s="3" t="s">
        <v>22</v>
      </c>
      <c r="D671" s="3" t="s">
        <v>11</v>
      </c>
      <c r="E671" s="3" t="str">
        <f>_xlfn.XLOOKUP(TabReceitas[[#This Row],[ID]],TabCondicoesComerciais[ID],TabCondicoesComerciais[Congênere],"Verificar")</f>
        <v>Rdp</v>
      </c>
      <c r="F671" s="3" t="s">
        <v>7</v>
      </c>
      <c r="G671" s="30">
        <v>0</v>
      </c>
      <c r="H671" s="39">
        <v>0</v>
      </c>
    </row>
    <row r="672" spans="1:8" hidden="1" x14ac:dyDescent="0.35">
      <c r="A672" s="10" t="s">
        <v>208</v>
      </c>
      <c r="B672" s="11">
        <v>45778</v>
      </c>
      <c r="C672" s="3" t="s">
        <v>22</v>
      </c>
      <c r="D672" s="3" t="s">
        <v>11</v>
      </c>
      <c r="E672" s="3" t="str">
        <f>_xlfn.XLOOKUP(TabReceitas[[#This Row],[ID]],TabCondicoesComerciais[ID],TabCondicoesComerciais[Congênere],"Verificar")</f>
        <v>Rdp</v>
      </c>
      <c r="F672" s="3" t="s">
        <v>8</v>
      </c>
      <c r="G672" s="30">
        <v>0</v>
      </c>
      <c r="H672" s="39">
        <v>0</v>
      </c>
    </row>
    <row r="673" spans="1:8" hidden="1" x14ac:dyDescent="0.35">
      <c r="A673" s="10" t="s">
        <v>208</v>
      </c>
      <c r="B673" s="11">
        <v>45778</v>
      </c>
      <c r="C673" s="3" t="s">
        <v>22</v>
      </c>
      <c r="D673" s="3" t="s">
        <v>11</v>
      </c>
      <c r="E673" s="3" t="str">
        <f>_xlfn.XLOOKUP(TabReceitas[[#This Row],[ID]],TabCondicoesComerciais[ID],TabCondicoesComerciais[Congênere],"Verificar")</f>
        <v>Rdp</v>
      </c>
      <c r="F673" s="3" t="s">
        <v>15</v>
      </c>
      <c r="G673" s="30">
        <v>45394.74</v>
      </c>
      <c r="H673" s="39">
        <v>1875</v>
      </c>
    </row>
    <row r="674" spans="1:8" hidden="1" x14ac:dyDescent="0.35">
      <c r="A674" s="10" t="s">
        <v>208</v>
      </c>
      <c r="B674" s="11">
        <v>45778</v>
      </c>
      <c r="C674" s="3" t="s">
        <v>22</v>
      </c>
      <c r="D674" s="3" t="s">
        <v>11</v>
      </c>
      <c r="E674" s="3" t="str">
        <f>_xlfn.XLOOKUP(TabReceitas[[#This Row],[ID]],TabCondicoesComerciais[ID],TabCondicoesComerciais[Congênere],"Verificar")</f>
        <v>Rdp</v>
      </c>
      <c r="F674" s="3" t="s">
        <v>65</v>
      </c>
      <c r="G674" s="30">
        <v>0</v>
      </c>
      <c r="H674" s="39">
        <v>0</v>
      </c>
    </row>
    <row r="675" spans="1:8" hidden="1" x14ac:dyDescent="0.35">
      <c r="A675" s="10" t="s">
        <v>208</v>
      </c>
      <c r="B675" s="11">
        <v>45809</v>
      </c>
      <c r="C675" s="3" t="s">
        <v>22</v>
      </c>
      <c r="D675" s="3" t="s">
        <v>11</v>
      </c>
      <c r="E675" s="3" t="str">
        <f>_xlfn.XLOOKUP(TabReceitas[[#This Row],[ID]],TabCondicoesComerciais[ID],TabCondicoesComerciais[Congênere],"Verificar")</f>
        <v>Rdp</v>
      </c>
      <c r="F675" s="3" t="s">
        <v>7</v>
      </c>
      <c r="G675" s="30">
        <v>0</v>
      </c>
      <c r="H675" s="39">
        <v>0</v>
      </c>
    </row>
    <row r="676" spans="1:8" hidden="1" x14ac:dyDescent="0.35">
      <c r="A676" s="10" t="s">
        <v>208</v>
      </c>
      <c r="B676" s="11">
        <v>45809</v>
      </c>
      <c r="C676" s="3" t="s">
        <v>22</v>
      </c>
      <c r="D676" s="3" t="s">
        <v>11</v>
      </c>
      <c r="E676" s="3" t="str">
        <f>_xlfn.XLOOKUP(TabReceitas[[#This Row],[ID]],TabCondicoesComerciais[ID],TabCondicoesComerciais[Congênere],"Verificar")</f>
        <v>Rdp</v>
      </c>
      <c r="F676" s="3" t="s">
        <v>8</v>
      </c>
      <c r="G676" s="30">
        <v>0</v>
      </c>
      <c r="H676" s="39">
        <v>0</v>
      </c>
    </row>
    <row r="677" spans="1:8" hidden="1" x14ac:dyDescent="0.35">
      <c r="A677" s="10" t="s">
        <v>208</v>
      </c>
      <c r="B677" s="11">
        <v>45809</v>
      </c>
      <c r="C677" s="3" t="s">
        <v>22</v>
      </c>
      <c r="D677" s="3" t="s">
        <v>11</v>
      </c>
      <c r="E677" s="3" t="str">
        <f>_xlfn.XLOOKUP(TabReceitas[[#This Row],[ID]],TabCondicoesComerciais[ID],TabCondicoesComerciais[Congênere],"Verificar")</f>
        <v>Rdp</v>
      </c>
      <c r="F677" s="3" t="s">
        <v>15</v>
      </c>
      <c r="G677" s="30">
        <v>47210.53</v>
      </c>
      <c r="H677" s="39">
        <v>1875</v>
      </c>
    </row>
    <row r="678" spans="1:8" hidden="1" x14ac:dyDescent="0.35">
      <c r="A678" s="10" t="s">
        <v>208</v>
      </c>
      <c r="B678" s="11">
        <v>45809</v>
      </c>
      <c r="C678" s="3" t="s">
        <v>22</v>
      </c>
      <c r="D678" s="3" t="s">
        <v>11</v>
      </c>
      <c r="E678" s="3" t="str">
        <f>_xlfn.XLOOKUP(TabReceitas[[#This Row],[ID]],TabCondicoesComerciais[ID],TabCondicoesComerciais[Congênere],"Verificar")</f>
        <v>Rdp</v>
      </c>
      <c r="F678" s="3" t="s">
        <v>65</v>
      </c>
      <c r="G678" s="30">
        <v>0</v>
      </c>
      <c r="H678" s="39">
        <v>0</v>
      </c>
    </row>
    <row r="679" spans="1:8" hidden="1" x14ac:dyDescent="0.35">
      <c r="A679" s="10" t="s">
        <v>208</v>
      </c>
      <c r="B679" s="11">
        <v>45839</v>
      </c>
      <c r="C679" s="3" t="s">
        <v>22</v>
      </c>
      <c r="D679" s="3" t="s">
        <v>11</v>
      </c>
      <c r="E679" s="3" t="str">
        <f>_xlfn.XLOOKUP(TabReceitas[[#This Row],[ID]],TabCondicoesComerciais[ID],TabCondicoesComerciais[Congênere],"Verificar")</f>
        <v>Rdp</v>
      </c>
      <c r="F679" s="3" t="s">
        <v>7</v>
      </c>
      <c r="G679" s="30">
        <v>0</v>
      </c>
      <c r="H679" s="39">
        <v>0</v>
      </c>
    </row>
    <row r="680" spans="1:8" hidden="1" x14ac:dyDescent="0.35">
      <c r="A680" s="10" t="s">
        <v>208</v>
      </c>
      <c r="B680" s="11">
        <v>45839</v>
      </c>
      <c r="C680" s="3" t="s">
        <v>22</v>
      </c>
      <c r="D680" s="3" t="s">
        <v>11</v>
      </c>
      <c r="E680" s="3" t="str">
        <f>_xlfn.XLOOKUP(TabReceitas[[#This Row],[ID]],TabCondicoesComerciais[ID],TabCondicoesComerciais[Congênere],"Verificar")</f>
        <v>Rdp</v>
      </c>
      <c r="F680" s="3" t="s">
        <v>8</v>
      </c>
      <c r="G680" s="30">
        <v>0</v>
      </c>
      <c r="H680" s="39">
        <v>0</v>
      </c>
    </row>
    <row r="681" spans="1:8" hidden="1" x14ac:dyDescent="0.35">
      <c r="A681" s="10" t="s">
        <v>208</v>
      </c>
      <c r="B681" s="11">
        <v>45839</v>
      </c>
      <c r="C681" s="3" t="s">
        <v>22</v>
      </c>
      <c r="D681" s="3" t="s">
        <v>11</v>
      </c>
      <c r="E681" s="3" t="str">
        <f>_xlfn.XLOOKUP(TabReceitas[[#This Row],[ID]],TabCondicoesComerciais[ID],TabCondicoesComerciais[Congênere],"Verificar")</f>
        <v>Rdp</v>
      </c>
      <c r="F681" s="3" t="s">
        <v>15</v>
      </c>
      <c r="G681" s="30">
        <v>47210.53</v>
      </c>
      <c r="H681" s="39">
        <v>1875</v>
      </c>
    </row>
    <row r="682" spans="1:8" hidden="1" x14ac:dyDescent="0.35">
      <c r="A682" s="10" t="s">
        <v>208</v>
      </c>
      <c r="B682" s="11">
        <v>45839</v>
      </c>
      <c r="C682" s="3" t="s">
        <v>22</v>
      </c>
      <c r="D682" s="3" t="s">
        <v>11</v>
      </c>
      <c r="E682" s="3" t="str">
        <f>_xlfn.XLOOKUP(TabReceitas[[#This Row],[ID]],TabCondicoesComerciais[ID],TabCondicoesComerciais[Congênere],"Verificar")</f>
        <v>Rdp</v>
      </c>
      <c r="F682" s="3" t="s">
        <v>65</v>
      </c>
      <c r="G682" s="30">
        <v>0</v>
      </c>
      <c r="H682" s="39">
        <v>0</v>
      </c>
    </row>
    <row r="683" spans="1:8" hidden="1" x14ac:dyDescent="0.35">
      <c r="A683" s="10" t="s">
        <v>208</v>
      </c>
      <c r="B683" s="11">
        <v>45870</v>
      </c>
      <c r="C683" s="3" t="s">
        <v>22</v>
      </c>
      <c r="D683" s="3" t="s">
        <v>11</v>
      </c>
      <c r="E683" s="3" t="str">
        <f>_xlfn.XLOOKUP(TabReceitas[[#This Row],[ID]],TabCondicoesComerciais[ID],TabCondicoesComerciais[Congênere],"Verificar")</f>
        <v>Rdp</v>
      </c>
      <c r="F683" s="3" t="s">
        <v>7</v>
      </c>
      <c r="G683" s="30">
        <v>0</v>
      </c>
      <c r="H683" s="39">
        <v>0</v>
      </c>
    </row>
    <row r="684" spans="1:8" hidden="1" x14ac:dyDescent="0.35">
      <c r="A684" s="10" t="s">
        <v>208</v>
      </c>
      <c r="B684" s="11">
        <v>45870</v>
      </c>
      <c r="C684" s="3" t="s">
        <v>22</v>
      </c>
      <c r="D684" s="3" t="s">
        <v>11</v>
      </c>
      <c r="E684" s="3" t="str">
        <f>_xlfn.XLOOKUP(TabReceitas[[#This Row],[ID]],TabCondicoesComerciais[ID],TabCondicoesComerciais[Congênere],"Verificar")</f>
        <v>Rdp</v>
      </c>
      <c r="F684" s="3" t="s">
        <v>8</v>
      </c>
      <c r="G684" s="30">
        <v>0</v>
      </c>
      <c r="H684" s="39">
        <v>0</v>
      </c>
    </row>
    <row r="685" spans="1:8" hidden="1" x14ac:dyDescent="0.35">
      <c r="A685" s="10" t="s">
        <v>208</v>
      </c>
      <c r="B685" s="11">
        <v>45870</v>
      </c>
      <c r="C685" s="3" t="s">
        <v>22</v>
      </c>
      <c r="D685" s="3" t="s">
        <v>11</v>
      </c>
      <c r="E685" s="3" t="str">
        <f>_xlfn.XLOOKUP(TabReceitas[[#This Row],[ID]],TabCondicoesComerciais[ID],TabCondicoesComerciais[Congênere],"Verificar")</f>
        <v>Rdp</v>
      </c>
      <c r="F685" s="3" t="s">
        <v>15</v>
      </c>
      <c r="G685" s="57">
        <v>47210.53</v>
      </c>
      <c r="H685" s="39">
        <v>1875</v>
      </c>
    </row>
    <row r="686" spans="1:8" hidden="1" x14ac:dyDescent="0.35">
      <c r="A686" s="10" t="s">
        <v>208</v>
      </c>
      <c r="B686" s="11">
        <v>45870</v>
      </c>
      <c r="C686" s="3" t="s">
        <v>22</v>
      </c>
      <c r="D686" s="3" t="s">
        <v>11</v>
      </c>
      <c r="E686" s="3" t="str">
        <f>_xlfn.XLOOKUP(TabReceitas[[#This Row],[ID]],TabCondicoesComerciais[ID],TabCondicoesComerciais[Congênere],"Verificar")</f>
        <v>Rdp</v>
      </c>
      <c r="F686" s="3" t="s">
        <v>65</v>
      </c>
      <c r="G686" s="30">
        <v>0</v>
      </c>
      <c r="H686" s="39">
        <v>0</v>
      </c>
    </row>
    <row r="687" spans="1:8" hidden="1" x14ac:dyDescent="0.35">
      <c r="A687" s="10" t="s">
        <v>208</v>
      </c>
      <c r="B687" s="11">
        <v>45901</v>
      </c>
      <c r="C687" s="3" t="s">
        <v>22</v>
      </c>
      <c r="D687" s="3" t="s">
        <v>11</v>
      </c>
      <c r="E687" s="3" t="str">
        <f>_xlfn.XLOOKUP(TabReceitas[[#This Row],[ID]],TabCondicoesComerciais[ID],TabCondicoesComerciais[Congênere],"Verificar")</f>
        <v>Rdp</v>
      </c>
      <c r="F687" s="3" t="s">
        <v>7</v>
      </c>
      <c r="G687" s="30">
        <v>0</v>
      </c>
      <c r="H687" s="39">
        <v>0</v>
      </c>
    </row>
    <row r="688" spans="1:8" hidden="1" x14ac:dyDescent="0.35">
      <c r="A688" s="10" t="s">
        <v>208</v>
      </c>
      <c r="B688" s="11">
        <v>45901</v>
      </c>
      <c r="C688" s="3" t="s">
        <v>22</v>
      </c>
      <c r="D688" s="3" t="s">
        <v>11</v>
      </c>
      <c r="E688" s="3" t="str">
        <f>_xlfn.XLOOKUP(TabReceitas[[#This Row],[ID]],TabCondicoesComerciais[ID],TabCondicoesComerciais[Congênere],"Verificar")</f>
        <v>Rdp</v>
      </c>
      <c r="F688" s="3" t="s">
        <v>8</v>
      </c>
      <c r="G688" s="30">
        <v>0</v>
      </c>
      <c r="H688" s="39">
        <v>0</v>
      </c>
    </row>
    <row r="689" spans="1:8" hidden="1" x14ac:dyDescent="0.35">
      <c r="A689" s="10" t="s">
        <v>208</v>
      </c>
      <c r="B689" s="11">
        <v>45901</v>
      </c>
      <c r="C689" s="3" t="s">
        <v>22</v>
      </c>
      <c r="D689" s="3" t="s">
        <v>11</v>
      </c>
      <c r="E689" s="3" t="str">
        <f>_xlfn.XLOOKUP(TabReceitas[[#This Row],[ID]],TabCondicoesComerciais[ID],TabCondicoesComerciais[Congênere],"Verificar")</f>
        <v>Rdp</v>
      </c>
      <c r="F689" s="3" t="s">
        <v>15</v>
      </c>
      <c r="G689" s="30">
        <v>47210.53</v>
      </c>
      <c r="H689" s="58">
        <v>1875</v>
      </c>
    </row>
    <row r="690" spans="1:8" hidden="1" x14ac:dyDescent="0.35">
      <c r="A690" s="10" t="s">
        <v>208</v>
      </c>
      <c r="B690" s="11">
        <v>45901</v>
      </c>
      <c r="C690" s="3" t="s">
        <v>22</v>
      </c>
      <c r="D690" s="3" t="s">
        <v>11</v>
      </c>
      <c r="E690" s="3" t="str">
        <f>_xlfn.XLOOKUP(TabReceitas[[#This Row],[ID]],TabCondicoesComerciais[ID],TabCondicoesComerciais[Congênere],"Verificar")</f>
        <v>Rdp</v>
      </c>
      <c r="F690" s="3" t="s">
        <v>65</v>
      </c>
      <c r="G690" s="30">
        <v>0</v>
      </c>
      <c r="H690" s="39">
        <v>0</v>
      </c>
    </row>
    <row r="691" spans="1:8" hidden="1" x14ac:dyDescent="0.35">
      <c r="A691" s="10" t="s">
        <v>208</v>
      </c>
      <c r="B691" s="11">
        <v>45931</v>
      </c>
      <c r="C691" s="3" t="s">
        <v>22</v>
      </c>
      <c r="D691" s="3" t="s">
        <v>11</v>
      </c>
      <c r="E691" s="3" t="str">
        <f>_xlfn.XLOOKUP(TabReceitas[[#This Row],[ID]],TabCondicoesComerciais[ID],TabCondicoesComerciais[Congênere],"Verificar")</f>
        <v>Rdp</v>
      </c>
      <c r="F691" s="3" t="s">
        <v>7</v>
      </c>
      <c r="G691" s="30">
        <v>0</v>
      </c>
      <c r="H691" s="39">
        <v>0</v>
      </c>
    </row>
    <row r="692" spans="1:8" hidden="1" x14ac:dyDescent="0.35">
      <c r="A692" s="10" t="s">
        <v>208</v>
      </c>
      <c r="B692" s="11">
        <v>45931</v>
      </c>
      <c r="C692" s="3" t="s">
        <v>22</v>
      </c>
      <c r="D692" s="3" t="s">
        <v>11</v>
      </c>
      <c r="E692" s="3" t="str">
        <f>_xlfn.XLOOKUP(TabReceitas[[#This Row],[ID]],TabCondicoesComerciais[ID],TabCondicoesComerciais[Congênere],"Verificar")</f>
        <v>Rdp</v>
      </c>
      <c r="F692" s="3" t="s">
        <v>8</v>
      </c>
      <c r="G692" s="30">
        <v>0</v>
      </c>
      <c r="H692" s="39">
        <v>0</v>
      </c>
    </row>
    <row r="693" spans="1:8" hidden="1" x14ac:dyDescent="0.35">
      <c r="A693" s="10" t="s">
        <v>208</v>
      </c>
      <c r="B693" s="11">
        <v>45931</v>
      </c>
      <c r="C693" s="3" t="s">
        <v>22</v>
      </c>
      <c r="D693" s="3" t="s">
        <v>11</v>
      </c>
      <c r="E693" s="3" t="str">
        <f>_xlfn.XLOOKUP(TabReceitas[[#This Row],[ID]],TabCondicoesComerciais[ID],TabCondicoesComerciais[Congênere],"Verificar")</f>
        <v>Rdp</v>
      </c>
      <c r="F693" s="3" t="s">
        <v>15</v>
      </c>
      <c r="G693" s="30">
        <v>47210.53</v>
      </c>
      <c r="H693" s="39">
        <v>1875</v>
      </c>
    </row>
    <row r="694" spans="1:8" hidden="1" x14ac:dyDescent="0.35">
      <c r="A694" s="10" t="s">
        <v>208</v>
      </c>
      <c r="B694" s="11">
        <v>45931</v>
      </c>
      <c r="C694" s="3" t="s">
        <v>22</v>
      </c>
      <c r="D694" s="3" t="s">
        <v>11</v>
      </c>
      <c r="E694" s="3" t="str">
        <f>_xlfn.XLOOKUP(TabReceitas[[#This Row],[ID]],TabCondicoesComerciais[ID],TabCondicoesComerciais[Congênere],"Verificar")</f>
        <v>Rdp</v>
      </c>
      <c r="F694" s="3" t="s">
        <v>65</v>
      </c>
      <c r="G694" s="30">
        <v>0</v>
      </c>
      <c r="H694" s="39">
        <v>0</v>
      </c>
    </row>
    <row r="695" spans="1:8" hidden="1" x14ac:dyDescent="0.35">
      <c r="A695" s="10" t="s">
        <v>208</v>
      </c>
      <c r="B695" s="11">
        <v>45962</v>
      </c>
      <c r="C695" s="3" t="s">
        <v>22</v>
      </c>
      <c r="D695" s="3" t="s">
        <v>11</v>
      </c>
      <c r="E695" s="3" t="str">
        <f>_xlfn.XLOOKUP(TabReceitas[[#This Row],[ID]],TabCondicoesComerciais[ID],TabCondicoesComerciais[Congênere],"Verificar")</f>
        <v>Rdp</v>
      </c>
      <c r="F695" s="3" t="s">
        <v>7</v>
      </c>
      <c r="G695" s="30">
        <v>0</v>
      </c>
      <c r="H695" s="39">
        <v>0</v>
      </c>
    </row>
    <row r="696" spans="1:8" hidden="1" x14ac:dyDescent="0.35">
      <c r="A696" s="10" t="s">
        <v>208</v>
      </c>
      <c r="B696" s="11">
        <v>45962</v>
      </c>
      <c r="C696" s="3" t="s">
        <v>22</v>
      </c>
      <c r="D696" s="3" t="s">
        <v>11</v>
      </c>
      <c r="E696" s="3" t="str">
        <f>_xlfn.XLOOKUP(TabReceitas[[#This Row],[ID]],TabCondicoesComerciais[ID],TabCondicoesComerciais[Congênere],"Verificar")</f>
        <v>Rdp</v>
      </c>
      <c r="F696" s="3" t="s">
        <v>8</v>
      </c>
      <c r="G696" s="30">
        <v>0</v>
      </c>
      <c r="H696" s="39">
        <v>0</v>
      </c>
    </row>
    <row r="697" spans="1:8" hidden="1" x14ac:dyDescent="0.35">
      <c r="A697" s="10" t="s">
        <v>208</v>
      </c>
      <c r="B697" s="11">
        <v>45962</v>
      </c>
      <c r="C697" s="3" t="s">
        <v>22</v>
      </c>
      <c r="D697" s="3" t="s">
        <v>11</v>
      </c>
      <c r="E697" s="3" t="str">
        <f>_xlfn.XLOOKUP(TabReceitas[[#This Row],[ID]],TabCondicoesComerciais[ID],TabCondicoesComerciais[Congênere],"Verificar")</f>
        <v>Rdp</v>
      </c>
      <c r="F697" s="3" t="s">
        <v>15</v>
      </c>
      <c r="G697" s="30">
        <v>47210.53</v>
      </c>
      <c r="H697" s="39">
        <v>1875</v>
      </c>
    </row>
    <row r="698" spans="1:8" hidden="1" x14ac:dyDescent="0.35">
      <c r="A698" s="10" t="s">
        <v>208</v>
      </c>
      <c r="B698" s="11">
        <v>45962</v>
      </c>
      <c r="C698" s="3" t="s">
        <v>22</v>
      </c>
      <c r="D698" s="3" t="s">
        <v>11</v>
      </c>
      <c r="E698" s="3" t="str">
        <f>_xlfn.XLOOKUP(TabReceitas[[#This Row],[ID]],TabCondicoesComerciais[ID],TabCondicoesComerciais[Congênere],"Verificar")</f>
        <v>Rdp</v>
      </c>
      <c r="F698" s="3" t="s">
        <v>65</v>
      </c>
      <c r="G698" s="30">
        <v>0</v>
      </c>
      <c r="H698" s="39">
        <v>0</v>
      </c>
    </row>
    <row r="699" spans="1:8" hidden="1" x14ac:dyDescent="0.35">
      <c r="A699" s="10" t="s">
        <v>208</v>
      </c>
      <c r="B699" s="11">
        <v>45992</v>
      </c>
      <c r="C699" s="3" t="s">
        <v>22</v>
      </c>
      <c r="D699" s="3" t="s">
        <v>11</v>
      </c>
      <c r="E699" s="3" t="str">
        <f>_xlfn.XLOOKUP(TabReceitas[[#This Row],[ID]],TabCondicoesComerciais[ID],TabCondicoesComerciais[Congênere],"Verificar")</f>
        <v>Rdp</v>
      </c>
      <c r="F699" s="3" t="s">
        <v>7</v>
      </c>
      <c r="G699" s="30">
        <v>0</v>
      </c>
      <c r="H699" s="39">
        <v>0</v>
      </c>
    </row>
    <row r="700" spans="1:8" hidden="1" x14ac:dyDescent="0.35">
      <c r="A700" s="10" t="s">
        <v>208</v>
      </c>
      <c r="B700" s="11">
        <v>45992</v>
      </c>
      <c r="C700" s="3" t="s">
        <v>22</v>
      </c>
      <c r="D700" s="3" t="s">
        <v>11</v>
      </c>
      <c r="E700" s="3" t="str">
        <f>_xlfn.XLOOKUP(TabReceitas[[#This Row],[ID]],TabCondicoesComerciais[ID],TabCondicoesComerciais[Congênere],"Verificar")</f>
        <v>Rdp</v>
      </c>
      <c r="F700" s="3" t="s">
        <v>8</v>
      </c>
      <c r="G700" s="30">
        <v>0</v>
      </c>
      <c r="H700" s="39">
        <v>0</v>
      </c>
    </row>
    <row r="701" spans="1:8" hidden="1" x14ac:dyDescent="0.35">
      <c r="A701" s="10" t="s">
        <v>208</v>
      </c>
      <c r="B701" s="11">
        <v>45992</v>
      </c>
      <c r="C701" s="3" t="s">
        <v>22</v>
      </c>
      <c r="D701" s="3" t="s">
        <v>11</v>
      </c>
      <c r="E701" s="3" t="str">
        <f>_xlfn.XLOOKUP(TabReceitas[[#This Row],[ID]],TabCondicoesComerciais[ID],TabCondicoesComerciais[Congênere],"Verificar")</f>
        <v>Rdp</v>
      </c>
      <c r="F701" s="3" t="s">
        <v>15</v>
      </c>
      <c r="G701" s="30">
        <v>47210.53</v>
      </c>
      <c r="H701" s="39">
        <v>1875</v>
      </c>
    </row>
    <row r="702" spans="1:8" hidden="1" x14ac:dyDescent="0.35">
      <c r="A702" s="10" t="s">
        <v>208</v>
      </c>
      <c r="B702" s="11">
        <v>45992</v>
      </c>
      <c r="C702" s="3" t="s">
        <v>22</v>
      </c>
      <c r="D702" s="3" t="s">
        <v>11</v>
      </c>
      <c r="E702" s="3" t="str">
        <f>_xlfn.XLOOKUP(TabReceitas[[#This Row],[ID]],TabCondicoesComerciais[ID],TabCondicoesComerciais[Congênere],"Verificar")</f>
        <v>Rdp</v>
      </c>
      <c r="F702" s="3" t="s">
        <v>65</v>
      </c>
      <c r="G702" s="30">
        <v>0</v>
      </c>
      <c r="H702" s="39">
        <v>0</v>
      </c>
    </row>
    <row r="703" spans="1:8" hidden="1" x14ac:dyDescent="0.35">
      <c r="A703" s="10" t="s">
        <v>274</v>
      </c>
      <c r="B703" s="11">
        <v>46023</v>
      </c>
      <c r="C703" s="3" t="s">
        <v>48</v>
      </c>
      <c r="D703" s="3" t="s">
        <v>49</v>
      </c>
      <c r="E703" s="3" t="s">
        <v>52</v>
      </c>
      <c r="F703" s="3" t="s">
        <v>7</v>
      </c>
      <c r="G703" s="30">
        <v>0</v>
      </c>
      <c r="H703" s="39">
        <v>0</v>
      </c>
    </row>
    <row r="704" spans="1:8" hidden="1" x14ac:dyDescent="0.35">
      <c r="A704" s="10" t="s">
        <v>274</v>
      </c>
      <c r="B704" s="11">
        <v>46023</v>
      </c>
      <c r="C704" s="3" t="s">
        <v>48</v>
      </c>
      <c r="D704" s="3" t="s">
        <v>49</v>
      </c>
      <c r="E704" s="3" t="s">
        <v>52</v>
      </c>
      <c r="F704" s="3" t="s">
        <v>8</v>
      </c>
      <c r="G704" s="30">
        <v>0</v>
      </c>
      <c r="H704" s="39">
        <v>0</v>
      </c>
    </row>
    <row r="705" spans="1:8" hidden="1" x14ac:dyDescent="0.35">
      <c r="A705" s="10" t="s">
        <v>274</v>
      </c>
      <c r="B705" s="11">
        <v>46023</v>
      </c>
      <c r="C705" s="3" t="s">
        <v>48</v>
      </c>
      <c r="D705" s="3" t="s">
        <v>49</v>
      </c>
      <c r="E705" s="3" t="s">
        <v>52</v>
      </c>
      <c r="F705" s="3" t="s">
        <v>15</v>
      </c>
      <c r="G705" s="30">
        <v>93380.944864864854</v>
      </c>
      <c r="H705" s="39">
        <v>2040</v>
      </c>
    </row>
    <row r="706" spans="1:8" hidden="1" x14ac:dyDescent="0.35">
      <c r="A706" s="10" t="s">
        <v>274</v>
      </c>
      <c r="B706" s="11">
        <v>46023</v>
      </c>
      <c r="C706" s="3" t="s">
        <v>48</v>
      </c>
      <c r="D706" s="3" t="s">
        <v>49</v>
      </c>
      <c r="E706" s="3" t="s">
        <v>52</v>
      </c>
      <c r="F706" s="3" t="s">
        <v>65</v>
      </c>
      <c r="G706" s="30">
        <v>0</v>
      </c>
      <c r="H706" s="39">
        <v>0</v>
      </c>
    </row>
    <row r="707" spans="1:8" hidden="1" x14ac:dyDescent="0.35">
      <c r="A707" s="10" t="s">
        <v>275</v>
      </c>
      <c r="B707" s="11">
        <v>46023</v>
      </c>
      <c r="C707" s="3" t="s">
        <v>48</v>
      </c>
      <c r="D707" s="3" t="s">
        <v>49</v>
      </c>
      <c r="E707" s="3" t="s">
        <v>14</v>
      </c>
      <c r="F707" s="3" t="s">
        <v>7</v>
      </c>
      <c r="G707" s="30">
        <v>0</v>
      </c>
      <c r="H707" s="39">
        <v>0</v>
      </c>
    </row>
    <row r="708" spans="1:8" hidden="1" x14ac:dyDescent="0.35">
      <c r="A708" s="10" t="s">
        <v>275</v>
      </c>
      <c r="B708" s="11">
        <v>46023</v>
      </c>
      <c r="C708" s="3" t="s">
        <v>48</v>
      </c>
      <c r="D708" s="3" t="s">
        <v>49</v>
      </c>
      <c r="E708" s="3" t="s">
        <v>14</v>
      </c>
      <c r="F708" s="3" t="s">
        <v>8</v>
      </c>
      <c r="G708" s="30">
        <v>0</v>
      </c>
      <c r="H708" s="39">
        <v>0</v>
      </c>
    </row>
    <row r="709" spans="1:8" hidden="1" x14ac:dyDescent="0.35">
      <c r="A709" s="10" t="s">
        <v>275</v>
      </c>
      <c r="B709" s="11">
        <v>46023</v>
      </c>
      <c r="C709" s="3" t="s">
        <v>48</v>
      </c>
      <c r="D709" s="3" t="s">
        <v>49</v>
      </c>
      <c r="E709" s="3" t="s">
        <v>14</v>
      </c>
      <c r="F709" s="3" t="s">
        <v>15</v>
      </c>
      <c r="G709" s="30">
        <v>18715.395891891894</v>
      </c>
      <c r="H709" s="39">
        <v>936</v>
      </c>
    </row>
    <row r="710" spans="1:8" hidden="1" x14ac:dyDescent="0.35">
      <c r="A710" s="10" t="s">
        <v>275</v>
      </c>
      <c r="B710" s="11">
        <v>46023</v>
      </c>
      <c r="C710" s="3" t="s">
        <v>48</v>
      </c>
      <c r="D710" s="3" t="s">
        <v>49</v>
      </c>
      <c r="E710" s="3" t="s">
        <v>14</v>
      </c>
      <c r="F710" s="3" t="s">
        <v>65</v>
      </c>
      <c r="G710" s="30">
        <v>0</v>
      </c>
      <c r="H710" s="39">
        <v>0</v>
      </c>
    </row>
    <row r="711" spans="1:8" hidden="1" x14ac:dyDescent="0.35">
      <c r="A711" s="10" t="s">
        <v>190</v>
      </c>
      <c r="B711" s="11">
        <v>46023</v>
      </c>
      <c r="C711" s="3" t="s">
        <v>22</v>
      </c>
      <c r="D711" s="3" t="s">
        <v>11</v>
      </c>
      <c r="E711" s="3" t="str">
        <f>_xlfn.XLOOKUP(TabReceitas[[#This Row],[ID]],TabCondicoesComerciais[ID],TabCondicoesComerciais[Congênere],"Verificar")</f>
        <v>Rede Sol</v>
      </c>
      <c r="F711" s="3" t="s">
        <v>7</v>
      </c>
      <c r="G711" s="30">
        <v>0</v>
      </c>
      <c r="H711" s="39">
        <v>0</v>
      </c>
    </row>
    <row r="712" spans="1:8" hidden="1" x14ac:dyDescent="0.35">
      <c r="A712" s="10" t="s">
        <v>190</v>
      </c>
      <c r="B712" s="11">
        <v>46023</v>
      </c>
      <c r="C712" s="3" t="s">
        <v>22</v>
      </c>
      <c r="D712" s="3" t="s">
        <v>11</v>
      </c>
      <c r="E712" s="3" t="str">
        <f>_xlfn.XLOOKUP(TabReceitas[[#This Row],[ID]],TabCondicoesComerciais[ID],TabCondicoesComerciais[Congênere],"Verificar")</f>
        <v>Rede Sol</v>
      </c>
      <c r="F712" s="3" t="s">
        <v>8</v>
      </c>
      <c r="G712" s="30">
        <v>0</v>
      </c>
      <c r="H712" s="39">
        <v>0</v>
      </c>
    </row>
    <row r="713" spans="1:8" hidden="1" x14ac:dyDescent="0.35">
      <c r="A713" s="10" t="s">
        <v>190</v>
      </c>
      <c r="B713" s="11">
        <v>46023</v>
      </c>
      <c r="C713" s="3" t="s">
        <v>22</v>
      </c>
      <c r="D713" s="3" t="s">
        <v>11</v>
      </c>
      <c r="E713" s="3" t="str">
        <f>_xlfn.XLOOKUP(TabReceitas[[#This Row],[ID]],TabCondicoesComerciais[ID],TabCondicoesComerciais[Congênere],"Verificar")</f>
        <v>Rede Sol</v>
      </c>
      <c r="F713" s="3" t="s">
        <v>65</v>
      </c>
      <c r="G713" s="30">
        <v>0</v>
      </c>
      <c r="H713" s="39">
        <v>0</v>
      </c>
    </row>
    <row r="714" spans="1:8" hidden="1" x14ac:dyDescent="0.35">
      <c r="A714" s="10" t="s">
        <v>172</v>
      </c>
      <c r="B714" s="11">
        <v>46023</v>
      </c>
      <c r="C714" s="3" t="s">
        <v>22</v>
      </c>
      <c r="D714" s="3" t="s">
        <v>11</v>
      </c>
      <c r="E714" s="3" t="str">
        <f>_xlfn.XLOOKUP(TabReceitas[[#This Row],[ID]],TabCondicoesComerciais[ID],TabCondicoesComerciais[Congênere],"Verificar")</f>
        <v>Ruff</v>
      </c>
      <c r="F714" s="3" t="s">
        <v>7</v>
      </c>
      <c r="G714" s="30">
        <v>0</v>
      </c>
      <c r="H714" s="39">
        <v>0</v>
      </c>
    </row>
    <row r="715" spans="1:8" hidden="1" x14ac:dyDescent="0.35">
      <c r="A715" s="10" t="s">
        <v>172</v>
      </c>
      <c r="B715" s="11">
        <v>46023</v>
      </c>
      <c r="C715" s="3" t="s">
        <v>22</v>
      </c>
      <c r="D715" s="3" t="s">
        <v>11</v>
      </c>
      <c r="E715" s="3" t="str">
        <f>_xlfn.XLOOKUP(TabReceitas[[#This Row],[ID]],TabCondicoesComerciais[ID],TabCondicoesComerciais[Congênere],"Verificar")</f>
        <v>Ruff</v>
      </c>
      <c r="F715" s="3" t="s">
        <v>8</v>
      </c>
      <c r="G715" s="30">
        <v>0</v>
      </c>
      <c r="H715" s="39">
        <v>0</v>
      </c>
    </row>
    <row r="716" spans="1:8" hidden="1" x14ac:dyDescent="0.35">
      <c r="A716" s="10" t="s">
        <v>172</v>
      </c>
      <c r="B716" s="11">
        <v>46023</v>
      </c>
      <c r="C716" s="3" t="s">
        <v>22</v>
      </c>
      <c r="D716" s="3" t="s">
        <v>11</v>
      </c>
      <c r="E716" s="3" t="str">
        <f>_xlfn.XLOOKUP(TabReceitas[[#This Row],[ID]],TabCondicoesComerciais[ID],TabCondicoesComerciais[Congênere],"Verificar")</f>
        <v>Ruff</v>
      </c>
      <c r="F716" s="3" t="s">
        <v>15</v>
      </c>
      <c r="G716" s="30">
        <v>0</v>
      </c>
      <c r="H716" s="39">
        <v>0</v>
      </c>
    </row>
    <row r="717" spans="1:8" hidden="1" x14ac:dyDescent="0.35">
      <c r="A717" s="10" t="s">
        <v>172</v>
      </c>
      <c r="B717" s="11">
        <v>46023</v>
      </c>
      <c r="C717" s="3" t="s">
        <v>22</v>
      </c>
      <c r="D717" s="3" t="s">
        <v>11</v>
      </c>
      <c r="E717" s="3" t="str">
        <f>_xlfn.XLOOKUP(TabReceitas[[#This Row],[ID]],TabCondicoesComerciais[ID],TabCondicoesComerciais[Congênere],"Verificar")</f>
        <v>Ruff</v>
      </c>
      <c r="F717" s="3" t="s">
        <v>65</v>
      </c>
      <c r="G717" s="30">
        <v>0</v>
      </c>
      <c r="H717" s="39">
        <v>0</v>
      </c>
    </row>
    <row r="718" spans="1:8" hidden="1" x14ac:dyDescent="0.35">
      <c r="A718" s="10" t="s">
        <v>150</v>
      </c>
      <c r="B718" s="11">
        <v>46023</v>
      </c>
      <c r="C718" s="3" t="s">
        <v>46</v>
      </c>
      <c r="D718" s="3" t="s">
        <v>87</v>
      </c>
      <c r="E718" s="3" t="s">
        <v>9</v>
      </c>
      <c r="F718" s="3" t="s">
        <v>7</v>
      </c>
      <c r="G718" s="30">
        <v>0</v>
      </c>
      <c r="H718" s="39">
        <v>0</v>
      </c>
    </row>
    <row r="719" spans="1:8" hidden="1" x14ac:dyDescent="0.35">
      <c r="A719" s="10" t="s">
        <v>150</v>
      </c>
      <c r="B719" s="11">
        <v>46023</v>
      </c>
      <c r="C719" s="3" t="s">
        <v>46</v>
      </c>
      <c r="D719" s="3" t="s">
        <v>87</v>
      </c>
      <c r="E719" s="3" t="s">
        <v>9</v>
      </c>
      <c r="F719" s="3" t="s">
        <v>8</v>
      </c>
      <c r="G719" s="30">
        <v>0</v>
      </c>
      <c r="H719" s="39">
        <v>0</v>
      </c>
    </row>
    <row r="720" spans="1:8" hidden="1" x14ac:dyDescent="0.35">
      <c r="A720" s="10" t="s">
        <v>150</v>
      </c>
      <c r="B720" s="11">
        <v>46023</v>
      </c>
      <c r="C720" s="3" t="s">
        <v>46</v>
      </c>
      <c r="D720" s="3" t="s">
        <v>87</v>
      </c>
      <c r="E720" s="3" t="s">
        <v>9</v>
      </c>
      <c r="F720" s="3" t="s">
        <v>15</v>
      </c>
      <c r="G720" s="30">
        <v>66173.30526315789</v>
      </c>
      <c r="H720" s="39">
        <v>1926</v>
      </c>
    </row>
    <row r="721" spans="1:8" hidden="1" x14ac:dyDescent="0.35">
      <c r="A721" s="10" t="s">
        <v>150</v>
      </c>
      <c r="B721" s="11">
        <v>46023</v>
      </c>
      <c r="C721" s="3" t="s">
        <v>46</v>
      </c>
      <c r="D721" s="3" t="s">
        <v>87</v>
      </c>
      <c r="E721" s="3" t="s">
        <v>9</v>
      </c>
      <c r="F721" s="3" t="s">
        <v>65</v>
      </c>
      <c r="G721" s="30">
        <v>0</v>
      </c>
      <c r="H721" s="39">
        <v>0</v>
      </c>
    </row>
    <row r="722" spans="1:8" hidden="1" x14ac:dyDescent="0.35">
      <c r="A722" s="10" t="s">
        <v>264</v>
      </c>
      <c r="B722" s="11">
        <v>46023</v>
      </c>
      <c r="C722" s="3" t="s">
        <v>25</v>
      </c>
      <c r="D722" s="3" t="s">
        <v>12</v>
      </c>
      <c r="E722" s="3" t="s">
        <v>9</v>
      </c>
      <c r="F722" s="3" t="s">
        <v>7</v>
      </c>
      <c r="G722" s="30">
        <v>0</v>
      </c>
      <c r="H722" s="39">
        <v>0</v>
      </c>
    </row>
    <row r="723" spans="1:8" hidden="1" x14ac:dyDescent="0.35">
      <c r="A723" s="10" t="s">
        <v>264</v>
      </c>
      <c r="B723" s="11">
        <v>46023</v>
      </c>
      <c r="C723" s="3" t="s">
        <v>25</v>
      </c>
      <c r="D723" s="3" t="s">
        <v>12</v>
      </c>
      <c r="E723" s="3" t="s">
        <v>9</v>
      </c>
      <c r="F723" s="3" t="s">
        <v>8</v>
      </c>
      <c r="G723" s="30">
        <v>0</v>
      </c>
      <c r="H723" s="39">
        <v>0</v>
      </c>
    </row>
    <row r="724" spans="1:8" hidden="1" x14ac:dyDescent="0.35">
      <c r="A724" s="10" t="s">
        <v>264</v>
      </c>
      <c r="B724" s="11">
        <v>46023</v>
      </c>
      <c r="C724" s="3" t="s">
        <v>25</v>
      </c>
      <c r="D724" s="3" t="s">
        <v>12</v>
      </c>
      <c r="E724" s="3" t="s">
        <v>9</v>
      </c>
      <c r="F724" s="3" t="s">
        <v>15</v>
      </c>
      <c r="G724" s="30">
        <v>159316.40625</v>
      </c>
      <c r="H724" s="39">
        <v>5625</v>
      </c>
    </row>
    <row r="725" spans="1:8" hidden="1" x14ac:dyDescent="0.35">
      <c r="A725" s="10" t="s">
        <v>264</v>
      </c>
      <c r="B725" s="11">
        <v>46023</v>
      </c>
      <c r="C725" s="3" t="s">
        <v>25</v>
      </c>
      <c r="D725" s="3" t="s">
        <v>12</v>
      </c>
      <c r="E725" s="3" t="s">
        <v>9</v>
      </c>
      <c r="F725" s="3" t="s">
        <v>65</v>
      </c>
      <c r="G725" s="30">
        <v>0</v>
      </c>
      <c r="H725" s="39">
        <v>0</v>
      </c>
    </row>
    <row r="726" spans="1:8" hidden="1" x14ac:dyDescent="0.35">
      <c r="A726" s="10" t="s">
        <v>134</v>
      </c>
      <c r="B726" s="11">
        <v>46023</v>
      </c>
      <c r="C726" s="3" t="s">
        <v>57</v>
      </c>
      <c r="D726" s="3" t="s">
        <v>58</v>
      </c>
      <c r="E726" s="3" t="s">
        <v>10</v>
      </c>
      <c r="F726" s="3" t="s">
        <v>7</v>
      </c>
      <c r="G726" s="30">
        <v>0</v>
      </c>
      <c r="H726" s="39">
        <v>0</v>
      </c>
    </row>
    <row r="727" spans="1:8" hidden="1" x14ac:dyDescent="0.35">
      <c r="A727" s="10" t="s">
        <v>134</v>
      </c>
      <c r="B727" s="11">
        <v>46023</v>
      </c>
      <c r="C727" s="3" t="s">
        <v>57</v>
      </c>
      <c r="D727" s="3" t="s">
        <v>58</v>
      </c>
      <c r="E727" s="3" t="s">
        <v>10</v>
      </c>
      <c r="F727" s="3" t="s">
        <v>8</v>
      </c>
      <c r="G727" s="30">
        <v>0</v>
      </c>
      <c r="H727" s="39">
        <v>0</v>
      </c>
    </row>
    <row r="728" spans="1:8" hidden="1" x14ac:dyDescent="0.35">
      <c r="A728" s="10" t="s">
        <v>134</v>
      </c>
      <c r="B728" s="11">
        <v>46023</v>
      </c>
      <c r="C728" s="3" t="s">
        <v>57</v>
      </c>
      <c r="D728" s="3" t="s">
        <v>58</v>
      </c>
      <c r="E728" s="3" t="s">
        <v>10</v>
      </c>
      <c r="F728" s="3" t="s">
        <v>15</v>
      </c>
      <c r="G728" s="30">
        <v>17509.74358974359</v>
      </c>
      <c r="H728" s="39">
        <v>550</v>
      </c>
    </row>
    <row r="729" spans="1:8" hidden="1" x14ac:dyDescent="0.35">
      <c r="A729" s="10" t="s">
        <v>134</v>
      </c>
      <c r="B729" s="11">
        <v>46023</v>
      </c>
      <c r="C729" s="3" t="s">
        <v>57</v>
      </c>
      <c r="D729" s="3" t="s">
        <v>58</v>
      </c>
      <c r="E729" s="3" t="s">
        <v>10</v>
      </c>
      <c r="F729" s="3" t="s">
        <v>65</v>
      </c>
      <c r="G729" s="30">
        <v>0</v>
      </c>
      <c r="H729" s="39">
        <v>0</v>
      </c>
    </row>
    <row r="730" spans="1:8" hidden="1" x14ac:dyDescent="0.35">
      <c r="A730" s="10">
        <v>20105</v>
      </c>
      <c r="B730" s="11">
        <v>46023</v>
      </c>
      <c r="C730" s="3" t="s">
        <v>26</v>
      </c>
      <c r="D730" s="3" t="s">
        <v>19</v>
      </c>
      <c r="E730" s="3" t="s">
        <v>13</v>
      </c>
      <c r="F730" s="3" t="s">
        <v>7</v>
      </c>
      <c r="G730" s="30">
        <v>0</v>
      </c>
      <c r="H730" s="39">
        <v>0</v>
      </c>
    </row>
    <row r="731" spans="1:8" hidden="1" x14ac:dyDescent="0.35">
      <c r="A731" s="10">
        <v>20105</v>
      </c>
      <c r="B731" s="11">
        <v>46023</v>
      </c>
      <c r="C731" s="3" t="s">
        <v>26</v>
      </c>
      <c r="D731" s="3" t="s">
        <v>19</v>
      </c>
      <c r="E731" s="3" t="s">
        <v>13</v>
      </c>
      <c r="F731" s="3" t="s">
        <v>8</v>
      </c>
      <c r="G731" s="30">
        <v>0</v>
      </c>
      <c r="H731" s="39">
        <v>0</v>
      </c>
    </row>
    <row r="732" spans="1:8" hidden="1" x14ac:dyDescent="0.35">
      <c r="A732" s="10">
        <v>20105</v>
      </c>
      <c r="B732" s="11">
        <v>46023</v>
      </c>
      <c r="C732" s="3" t="s">
        <v>26</v>
      </c>
      <c r="D732" s="3" t="s">
        <v>19</v>
      </c>
      <c r="E732" s="3" t="s">
        <v>13</v>
      </c>
      <c r="F732" s="3" t="s">
        <v>15</v>
      </c>
      <c r="G732" s="30">
        <v>15647.010309278352</v>
      </c>
      <c r="H732" s="39">
        <v>510</v>
      </c>
    </row>
    <row r="733" spans="1:8" hidden="1" x14ac:dyDescent="0.35">
      <c r="A733" s="10">
        <v>20105</v>
      </c>
      <c r="B733" s="11">
        <v>46023</v>
      </c>
      <c r="C733" s="3" t="s">
        <v>26</v>
      </c>
      <c r="D733" s="3" t="s">
        <v>19</v>
      </c>
      <c r="E733" s="3" t="s">
        <v>13</v>
      </c>
      <c r="F733" s="3" t="s">
        <v>65</v>
      </c>
      <c r="G733" s="30">
        <v>0</v>
      </c>
      <c r="H733" s="39">
        <v>0</v>
      </c>
    </row>
    <row r="734" spans="1:8" hidden="1" x14ac:dyDescent="0.35">
      <c r="A734" s="10" t="s">
        <v>274</v>
      </c>
      <c r="B734" s="11">
        <v>46023</v>
      </c>
      <c r="C734" s="3" t="s">
        <v>48</v>
      </c>
      <c r="D734" s="3" t="s">
        <v>49</v>
      </c>
      <c r="E734" s="3" t="s">
        <v>52</v>
      </c>
      <c r="F734" s="3" t="s">
        <v>7</v>
      </c>
      <c r="G734" s="30">
        <v>0</v>
      </c>
      <c r="H734" s="39">
        <v>0</v>
      </c>
    </row>
    <row r="735" spans="1:8" hidden="1" x14ac:dyDescent="0.35">
      <c r="A735" s="10" t="s">
        <v>274</v>
      </c>
      <c r="B735" s="11">
        <v>46054</v>
      </c>
      <c r="C735" s="3" t="s">
        <v>48</v>
      </c>
      <c r="D735" s="3" t="s">
        <v>49</v>
      </c>
      <c r="E735" s="3" t="s">
        <v>52</v>
      </c>
      <c r="F735" s="3" t="s">
        <v>8</v>
      </c>
      <c r="G735" s="30">
        <v>0</v>
      </c>
      <c r="H735" s="39">
        <v>0</v>
      </c>
    </row>
    <row r="736" spans="1:8" hidden="1" x14ac:dyDescent="0.35">
      <c r="A736" s="10" t="s">
        <v>274</v>
      </c>
      <c r="B736" s="11">
        <v>46054</v>
      </c>
      <c r="C736" s="3" t="s">
        <v>48</v>
      </c>
      <c r="D736" s="3" t="s">
        <v>49</v>
      </c>
      <c r="E736" s="3" t="s">
        <v>52</v>
      </c>
      <c r="F736" s="3" t="s">
        <v>15</v>
      </c>
      <c r="G736" s="30">
        <v>89789.370062370057</v>
      </c>
      <c r="H736" s="39">
        <v>2040</v>
      </c>
    </row>
    <row r="737" spans="1:8" hidden="1" x14ac:dyDescent="0.35">
      <c r="A737" s="10" t="s">
        <v>274</v>
      </c>
      <c r="B737" s="11">
        <v>46054</v>
      </c>
      <c r="C737" s="3" t="s">
        <v>48</v>
      </c>
      <c r="D737" s="3" t="s">
        <v>49</v>
      </c>
      <c r="E737" s="3" t="s">
        <v>52</v>
      </c>
      <c r="F737" s="3" t="s">
        <v>65</v>
      </c>
      <c r="G737" s="30">
        <v>0</v>
      </c>
      <c r="H737" s="39">
        <v>0</v>
      </c>
    </row>
    <row r="738" spans="1:8" hidden="1" x14ac:dyDescent="0.35">
      <c r="A738" s="10" t="s">
        <v>275</v>
      </c>
      <c r="B738" s="11">
        <v>46054</v>
      </c>
      <c r="C738" s="3" t="s">
        <v>48</v>
      </c>
      <c r="D738" s="3" t="s">
        <v>49</v>
      </c>
      <c r="E738" s="3" t="s">
        <v>14</v>
      </c>
      <c r="F738" s="3" t="s">
        <v>7</v>
      </c>
      <c r="G738" s="30">
        <v>0</v>
      </c>
      <c r="H738" s="39">
        <v>0</v>
      </c>
    </row>
    <row r="739" spans="1:8" hidden="1" x14ac:dyDescent="0.35">
      <c r="A739" s="10" t="s">
        <v>275</v>
      </c>
      <c r="B739" s="11">
        <v>46054</v>
      </c>
      <c r="C739" s="3" t="s">
        <v>48</v>
      </c>
      <c r="D739" s="3" t="s">
        <v>49</v>
      </c>
      <c r="E739" s="3" t="s">
        <v>14</v>
      </c>
      <c r="F739" s="3" t="s">
        <v>8</v>
      </c>
      <c r="G739" s="30">
        <v>0</v>
      </c>
      <c r="H739" s="39">
        <v>0</v>
      </c>
    </row>
    <row r="740" spans="1:8" hidden="1" x14ac:dyDescent="0.35">
      <c r="A740" s="10" t="s">
        <v>275</v>
      </c>
      <c r="B740" s="11">
        <v>46054</v>
      </c>
      <c r="C740" s="3" t="s">
        <v>48</v>
      </c>
      <c r="D740" s="3" t="s">
        <v>49</v>
      </c>
      <c r="E740" s="3" t="s">
        <v>14</v>
      </c>
      <c r="F740" s="3" t="s">
        <v>15</v>
      </c>
      <c r="G740" s="30">
        <v>28839.059251559258</v>
      </c>
      <c r="H740" s="39">
        <v>1500</v>
      </c>
    </row>
    <row r="741" spans="1:8" hidden="1" x14ac:dyDescent="0.35">
      <c r="A741" s="10" t="s">
        <v>275</v>
      </c>
      <c r="B741" s="11">
        <v>46054</v>
      </c>
      <c r="C741" s="3" t="s">
        <v>48</v>
      </c>
      <c r="D741" s="3" t="s">
        <v>49</v>
      </c>
      <c r="E741" s="3" t="s">
        <v>14</v>
      </c>
      <c r="F741" s="3" t="s">
        <v>65</v>
      </c>
      <c r="G741" s="30">
        <v>0</v>
      </c>
      <c r="H741" s="39">
        <v>0</v>
      </c>
    </row>
    <row r="742" spans="1:8" hidden="1" x14ac:dyDescent="0.35">
      <c r="A742" s="10" t="s">
        <v>190</v>
      </c>
      <c r="B742" s="11">
        <v>46054</v>
      </c>
      <c r="C742" s="3" t="s">
        <v>22</v>
      </c>
      <c r="D742" s="3" t="s">
        <v>11</v>
      </c>
      <c r="E742" s="3" t="str">
        <f>_xlfn.XLOOKUP(TabReceitas[[#This Row],[ID]],TabCondicoesComerciais[ID],TabCondicoesComerciais[Congênere],"Verificar")</f>
        <v>Rede Sol</v>
      </c>
      <c r="F742" s="3" t="s">
        <v>7</v>
      </c>
      <c r="G742" s="30">
        <v>0</v>
      </c>
      <c r="H742" s="39">
        <v>0</v>
      </c>
    </row>
    <row r="743" spans="1:8" hidden="1" x14ac:dyDescent="0.35">
      <c r="A743" s="10" t="s">
        <v>190</v>
      </c>
      <c r="B743" s="11">
        <v>46054</v>
      </c>
      <c r="C743" s="3" t="s">
        <v>22</v>
      </c>
      <c r="D743" s="3" t="s">
        <v>11</v>
      </c>
      <c r="E743" s="3" t="str">
        <f>_xlfn.XLOOKUP(TabReceitas[[#This Row],[ID]],TabCondicoesComerciais[ID],TabCondicoesComerciais[Congênere],"Verificar")</f>
        <v>Rede Sol</v>
      </c>
      <c r="F743" s="3" t="s">
        <v>8</v>
      </c>
      <c r="G743" s="30">
        <v>0</v>
      </c>
      <c r="H743" s="39">
        <v>0</v>
      </c>
    </row>
    <row r="744" spans="1:8" hidden="1" x14ac:dyDescent="0.35">
      <c r="A744" s="10" t="s">
        <v>190</v>
      </c>
      <c r="B744" s="11">
        <v>46054</v>
      </c>
      <c r="C744" s="3" t="s">
        <v>22</v>
      </c>
      <c r="D744" s="3" t="s">
        <v>11</v>
      </c>
      <c r="E744" s="3" t="str">
        <f>_xlfn.XLOOKUP(TabReceitas[[#This Row],[ID]],TabCondicoesComerciais[ID],TabCondicoesComerciais[Congênere],"Verificar")</f>
        <v>Rede Sol</v>
      </c>
      <c r="F744" s="3" t="s">
        <v>15</v>
      </c>
      <c r="G744" s="30">
        <v>59115.789473684214</v>
      </c>
      <c r="H744" s="39">
        <v>2000</v>
      </c>
    </row>
    <row r="745" spans="1:8" hidden="1" x14ac:dyDescent="0.35">
      <c r="A745" s="10" t="s">
        <v>190</v>
      </c>
      <c r="B745" s="11">
        <v>46054</v>
      </c>
      <c r="C745" s="3" t="s">
        <v>22</v>
      </c>
      <c r="D745" s="3" t="s">
        <v>11</v>
      </c>
      <c r="E745" s="3" t="str">
        <f>_xlfn.XLOOKUP(TabReceitas[[#This Row],[ID]],TabCondicoesComerciais[ID],TabCondicoesComerciais[Congênere],"Verificar")</f>
        <v>Rede Sol</v>
      </c>
      <c r="F745" s="3" t="s">
        <v>65</v>
      </c>
      <c r="G745" s="30">
        <v>0</v>
      </c>
      <c r="H745" s="39">
        <v>0</v>
      </c>
    </row>
    <row r="746" spans="1:8" hidden="1" x14ac:dyDescent="0.35">
      <c r="A746" s="10" t="s">
        <v>172</v>
      </c>
      <c r="B746" s="11">
        <v>46054</v>
      </c>
      <c r="C746" s="3" t="s">
        <v>22</v>
      </c>
      <c r="D746" s="3" t="s">
        <v>11</v>
      </c>
      <c r="E746" s="3" t="str">
        <f>_xlfn.XLOOKUP(TabReceitas[[#This Row],[ID]],TabCondicoesComerciais[ID],TabCondicoesComerciais[Congênere],"Verificar")</f>
        <v>Ruff</v>
      </c>
      <c r="F746" s="3" t="s">
        <v>7</v>
      </c>
      <c r="G746" s="30">
        <v>0</v>
      </c>
      <c r="H746" s="39">
        <v>0</v>
      </c>
    </row>
    <row r="747" spans="1:8" hidden="1" x14ac:dyDescent="0.35">
      <c r="A747" s="10" t="s">
        <v>172</v>
      </c>
      <c r="B747" s="11">
        <v>46054</v>
      </c>
      <c r="C747" s="3" t="s">
        <v>22</v>
      </c>
      <c r="D747" s="3" t="s">
        <v>11</v>
      </c>
      <c r="E747" s="3" t="str">
        <f>_xlfn.XLOOKUP(TabReceitas[[#This Row],[ID]],TabCondicoesComerciais[ID],TabCondicoesComerciais[Congênere],"Verificar")</f>
        <v>Ruff</v>
      </c>
      <c r="F747" s="3" t="s">
        <v>8</v>
      </c>
      <c r="G747" s="30">
        <v>0</v>
      </c>
      <c r="H747" s="39">
        <v>0</v>
      </c>
    </row>
    <row r="748" spans="1:8" hidden="1" x14ac:dyDescent="0.35">
      <c r="A748" s="10" t="s">
        <v>172</v>
      </c>
      <c r="B748" s="11">
        <v>46054</v>
      </c>
      <c r="C748" s="3" t="s">
        <v>22</v>
      </c>
      <c r="D748" s="3" t="s">
        <v>11</v>
      </c>
      <c r="E748" s="3" t="str">
        <f>_xlfn.XLOOKUP(TabReceitas[[#This Row],[ID]],TabCondicoesComerciais[ID],TabCondicoesComerciais[Congênere],"Verificar")</f>
        <v>Ruff</v>
      </c>
      <c r="F748" s="3" t="s">
        <v>15</v>
      </c>
      <c r="G748" s="30">
        <v>0</v>
      </c>
      <c r="H748" s="39">
        <v>0</v>
      </c>
    </row>
    <row r="749" spans="1:8" hidden="1" x14ac:dyDescent="0.35">
      <c r="A749" s="10" t="s">
        <v>172</v>
      </c>
      <c r="B749" s="11">
        <v>46054</v>
      </c>
      <c r="C749" s="3" t="s">
        <v>22</v>
      </c>
      <c r="D749" s="3" t="s">
        <v>11</v>
      </c>
      <c r="E749" s="3" t="str">
        <f>_xlfn.XLOOKUP(TabReceitas[[#This Row],[ID]],TabCondicoesComerciais[ID],TabCondicoesComerciais[Congênere],"Verificar")</f>
        <v>Ruff</v>
      </c>
      <c r="F749" s="3" t="s">
        <v>65</v>
      </c>
      <c r="G749" s="30">
        <v>0</v>
      </c>
      <c r="H749" s="39">
        <v>0</v>
      </c>
    </row>
    <row r="750" spans="1:8" hidden="1" x14ac:dyDescent="0.35">
      <c r="A750" s="10" t="s">
        <v>150</v>
      </c>
      <c r="B750" s="11">
        <v>46054</v>
      </c>
      <c r="C750" s="3" t="s">
        <v>46</v>
      </c>
      <c r="D750" s="3" t="s">
        <v>87</v>
      </c>
      <c r="E750" s="3" t="s">
        <v>9</v>
      </c>
      <c r="F750" s="3" t="s">
        <v>7</v>
      </c>
      <c r="G750" s="30">
        <v>0</v>
      </c>
      <c r="H750" s="39">
        <v>0</v>
      </c>
    </row>
    <row r="751" spans="1:8" hidden="1" x14ac:dyDescent="0.35">
      <c r="A751" s="10" t="s">
        <v>150</v>
      </c>
      <c r="B751" s="11">
        <v>46054</v>
      </c>
      <c r="C751" s="3" t="s">
        <v>46</v>
      </c>
      <c r="D751" s="3" t="s">
        <v>87</v>
      </c>
      <c r="E751" s="3" t="s">
        <v>9</v>
      </c>
      <c r="F751" s="3" t="s">
        <v>8</v>
      </c>
      <c r="G751" s="30">
        <v>0</v>
      </c>
      <c r="H751" s="39">
        <v>0</v>
      </c>
    </row>
    <row r="752" spans="1:8" hidden="1" x14ac:dyDescent="0.35">
      <c r="A752" s="10" t="s">
        <v>150</v>
      </c>
      <c r="B752" s="11">
        <v>46054</v>
      </c>
      <c r="C752" s="3" t="s">
        <v>46</v>
      </c>
      <c r="D752" s="3" t="s">
        <v>87</v>
      </c>
      <c r="E752" s="3" t="s">
        <v>9</v>
      </c>
      <c r="F752" s="3" t="s">
        <v>15</v>
      </c>
      <c r="G752" s="30">
        <v>137499.15789473685</v>
      </c>
      <c r="H752" s="39">
        <v>4200</v>
      </c>
    </row>
    <row r="753" spans="1:8" hidden="1" x14ac:dyDescent="0.35">
      <c r="A753" s="10" t="s">
        <v>150</v>
      </c>
      <c r="B753" s="11">
        <v>46054</v>
      </c>
      <c r="C753" s="3" t="s">
        <v>46</v>
      </c>
      <c r="D753" s="3" t="s">
        <v>87</v>
      </c>
      <c r="E753" s="3" t="s">
        <v>9</v>
      </c>
      <c r="F753" s="3" t="s">
        <v>65</v>
      </c>
      <c r="G753" s="30">
        <v>0</v>
      </c>
      <c r="H753" s="39">
        <v>0</v>
      </c>
    </row>
    <row r="754" spans="1:8" hidden="1" x14ac:dyDescent="0.35">
      <c r="A754" s="10" t="s">
        <v>264</v>
      </c>
      <c r="B754" s="11">
        <v>46054</v>
      </c>
      <c r="C754" s="3" t="s">
        <v>25</v>
      </c>
      <c r="D754" s="3" t="s">
        <v>12</v>
      </c>
      <c r="E754" s="3" t="s">
        <v>9</v>
      </c>
      <c r="F754" s="3" t="s">
        <v>7</v>
      </c>
      <c r="G754" s="30">
        <v>0</v>
      </c>
      <c r="H754" s="39">
        <v>0</v>
      </c>
    </row>
    <row r="755" spans="1:8" hidden="1" x14ac:dyDescent="0.35">
      <c r="A755" s="10" t="s">
        <v>264</v>
      </c>
      <c r="B755" s="11">
        <v>46054</v>
      </c>
      <c r="C755" s="3" t="s">
        <v>25</v>
      </c>
      <c r="D755" s="3" t="s">
        <v>12</v>
      </c>
      <c r="E755" s="3" t="s">
        <v>9</v>
      </c>
      <c r="F755" s="3" t="s">
        <v>8</v>
      </c>
      <c r="G755" s="30">
        <v>0</v>
      </c>
      <c r="H755" s="39">
        <v>0</v>
      </c>
    </row>
    <row r="756" spans="1:8" hidden="1" x14ac:dyDescent="0.35">
      <c r="A756" s="10" t="s">
        <v>264</v>
      </c>
      <c r="B756" s="11">
        <v>46054</v>
      </c>
      <c r="C756" s="3" t="s">
        <v>25</v>
      </c>
      <c r="D756" s="3" t="s">
        <v>12</v>
      </c>
      <c r="E756" s="3" t="s">
        <v>9</v>
      </c>
      <c r="F756" s="3" t="s">
        <v>15</v>
      </c>
      <c r="G756" s="30">
        <v>164947.60916666666</v>
      </c>
      <c r="H756" s="39">
        <v>6100</v>
      </c>
    </row>
    <row r="757" spans="1:8" hidden="1" x14ac:dyDescent="0.35">
      <c r="A757" s="10" t="s">
        <v>264</v>
      </c>
      <c r="B757" s="11">
        <v>46054</v>
      </c>
      <c r="C757" s="3" t="s">
        <v>25</v>
      </c>
      <c r="D757" s="3" t="s">
        <v>12</v>
      </c>
      <c r="E757" s="3" t="s">
        <v>9</v>
      </c>
      <c r="F757" s="3" t="s">
        <v>65</v>
      </c>
      <c r="G757" s="30">
        <v>0</v>
      </c>
      <c r="H757" s="39">
        <v>0</v>
      </c>
    </row>
    <row r="758" spans="1:8" hidden="1" x14ac:dyDescent="0.35">
      <c r="A758" s="10" t="s">
        <v>134</v>
      </c>
      <c r="B758" s="11">
        <v>46054</v>
      </c>
      <c r="C758" s="3" t="s">
        <v>57</v>
      </c>
      <c r="D758" s="3" t="s">
        <v>58</v>
      </c>
      <c r="E758" s="3" t="s">
        <v>10</v>
      </c>
      <c r="F758" s="3" t="s">
        <v>7</v>
      </c>
      <c r="G758" s="30">
        <v>0</v>
      </c>
      <c r="H758" s="39">
        <v>0</v>
      </c>
    </row>
    <row r="759" spans="1:8" hidden="1" x14ac:dyDescent="0.35">
      <c r="A759" s="10" t="s">
        <v>134</v>
      </c>
      <c r="B759" s="11">
        <v>46054</v>
      </c>
      <c r="C759" s="3" t="s">
        <v>57</v>
      </c>
      <c r="D759" s="3" t="s">
        <v>58</v>
      </c>
      <c r="E759" s="3" t="s">
        <v>10</v>
      </c>
      <c r="F759" s="3" t="s">
        <v>8</v>
      </c>
      <c r="G759" s="30">
        <v>0</v>
      </c>
      <c r="H759" s="39">
        <v>0</v>
      </c>
    </row>
    <row r="760" spans="1:8" hidden="1" x14ac:dyDescent="0.35">
      <c r="A760" s="10" t="s">
        <v>134</v>
      </c>
      <c r="B760" s="11">
        <v>46054</v>
      </c>
      <c r="C760" s="3" t="s">
        <v>57</v>
      </c>
      <c r="D760" s="3" t="s">
        <v>58</v>
      </c>
      <c r="E760" s="3" t="s">
        <v>10</v>
      </c>
      <c r="F760" s="3" t="s">
        <v>15</v>
      </c>
      <c r="G760" s="30">
        <v>17311.068923076924</v>
      </c>
      <c r="H760" s="39">
        <v>550</v>
      </c>
    </row>
    <row r="761" spans="1:8" hidden="1" x14ac:dyDescent="0.35">
      <c r="A761" s="10" t="s">
        <v>134</v>
      </c>
      <c r="B761" s="11">
        <v>46054</v>
      </c>
      <c r="C761" s="3" t="s">
        <v>57</v>
      </c>
      <c r="D761" s="3" t="s">
        <v>58</v>
      </c>
      <c r="E761" s="3" t="s">
        <v>10</v>
      </c>
      <c r="F761" s="3" t="s">
        <v>65</v>
      </c>
      <c r="G761" s="30">
        <v>0</v>
      </c>
      <c r="H761" s="39">
        <v>0</v>
      </c>
    </row>
    <row r="762" spans="1:8" hidden="1" x14ac:dyDescent="0.35">
      <c r="A762" s="10">
        <v>20105</v>
      </c>
      <c r="B762" s="11">
        <v>46054</v>
      </c>
      <c r="C762" s="3" t="s">
        <v>26</v>
      </c>
      <c r="D762" s="3" t="s">
        <v>19</v>
      </c>
      <c r="E762" s="3" t="s">
        <v>13</v>
      </c>
      <c r="F762" s="3" t="s">
        <v>7</v>
      </c>
      <c r="G762" s="30">
        <v>0</v>
      </c>
      <c r="H762" s="39">
        <v>0</v>
      </c>
    </row>
    <row r="763" spans="1:8" hidden="1" x14ac:dyDescent="0.35">
      <c r="A763" s="10">
        <v>20105</v>
      </c>
      <c r="B763" s="11">
        <v>46054</v>
      </c>
      <c r="C763" s="3" t="s">
        <v>26</v>
      </c>
      <c r="D763" s="3" t="s">
        <v>19</v>
      </c>
      <c r="E763" s="3" t="s">
        <v>13</v>
      </c>
      <c r="F763" s="3" t="s">
        <v>8</v>
      </c>
      <c r="G763" s="30">
        <v>0</v>
      </c>
      <c r="H763" s="39">
        <v>0</v>
      </c>
    </row>
    <row r="764" spans="1:8" hidden="1" x14ac:dyDescent="0.35">
      <c r="A764" s="10">
        <v>20105</v>
      </c>
      <c r="B764" s="11">
        <v>46054</v>
      </c>
      <c r="C764" s="3" t="s">
        <v>26</v>
      </c>
      <c r="D764" s="3" t="s">
        <v>19</v>
      </c>
      <c r="E764" s="3" t="s">
        <v>13</v>
      </c>
      <c r="F764" s="3" t="s">
        <v>15</v>
      </c>
      <c r="G764" s="30">
        <v>16933.880412371134</v>
      </c>
      <c r="H764" s="39">
        <v>545</v>
      </c>
    </row>
    <row r="765" spans="1:8" hidden="1" x14ac:dyDescent="0.35">
      <c r="A765" s="10">
        <v>20105</v>
      </c>
      <c r="B765" s="11">
        <v>46054</v>
      </c>
      <c r="C765" s="3" t="s">
        <v>26</v>
      </c>
      <c r="D765" s="3" t="s">
        <v>19</v>
      </c>
      <c r="E765" s="3" t="s">
        <v>13</v>
      </c>
      <c r="F765" s="3" t="s">
        <v>65</v>
      </c>
      <c r="G765" s="30">
        <v>0</v>
      </c>
      <c r="H765" s="39">
        <v>0</v>
      </c>
    </row>
    <row r="766" spans="1:8" hidden="1" x14ac:dyDescent="0.35">
      <c r="A766" s="10" t="s">
        <v>274</v>
      </c>
      <c r="B766" s="11">
        <v>46082</v>
      </c>
      <c r="C766" s="3" t="s">
        <v>48</v>
      </c>
      <c r="D766" s="3" t="s">
        <v>49</v>
      </c>
      <c r="E766" s="3" t="s">
        <v>52</v>
      </c>
      <c r="F766" s="3" t="s">
        <v>7</v>
      </c>
      <c r="G766" s="30">
        <v>0</v>
      </c>
      <c r="H766" s="39">
        <v>0</v>
      </c>
    </row>
    <row r="767" spans="1:8" hidden="1" x14ac:dyDescent="0.35">
      <c r="A767" s="10" t="s">
        <v>274</v>
      </c>
      <c r="B767" s="11">
        <v>46082</v>
      </c>
      <c r="C767" s="3" t="s">
        <v>48</v>
      </c>
      <c r="D767" s="3" t="s">
        <v>49</v>
      </c>
      <c r="E767" s="3" t="s">
        <v>52</v>
      </c>
      <c r="F767" s="3" t="s">
        <v>8</v>
      </c>
      <c r="G767" s="30">
        <v>0</v>
      </c>
      <c r="H767" s="39">
        <v>0</v>
      </c>
    </row>
    <row r="768" spans="1:8" hidden="1" x14ac:dyDescent="0.35">
      <c r="A768" s="10" t="s">
        <v>274</v>
      </c>
      <c r="B768" s="11">
        <v>46082</v>
      </c>
      <c r="C768" s="3" t="s">
        <v>48</v>
      </c>
      <c r="D768" s="3" t="s">
        <v>49</v>
      </c>
      <c r="E768" s="3" t="s">
        <v>52</v>
      </c>
      <c r="F768" s="3" t="s">
        <v>15</v>
      </c>
      <c r="G768" s="30">
        <v>89789.370062370057</v>
      </c>
      <c r="H768" s="39">
        <v>2040</v>
      </c>
    </row>
    <row r="769" spans="1:8" hidden="1" x14ac:dyDescent="0.35">
      <c r="A769" s="10" t="s">
        <v>274</v>
      </c>
      <c r="B769" s="11">
        <v>46082</v>
      </c>
      <c r="C769" s="3" t="s">
        <v>48</v>
      </c>
      <c r="D769" s="3" t="s">
        <v>49</v>
      </c>
      <c r="E769" s="3" t="s">
        <v>52</v>
      </c>
      <c r="F769" s="3" t="s">
        <v>65</v>
      </c>
      <c r="G769" s="30">
        <v>0</v>
      </c>
      <c r="H769" s="39">
        <v>0</v>
      </c>
    </row>
    <row r="770" spans="1:8" hidden="1" x14ac:dyDescent="0.35">
      <c r="A770" s="10" t="s">
        <v>275</v>
      </c>
      <c r="B770" s="11">
        <v>46082</v>
      </c>
      <c r="C770" s="3" t="s">
        <v>48</v>
      </c>
      <c r="D770" s="3" t="s">
        <v>49</v>
      </c>
      <c r="E770" s="3" t="s">
        <v>14</v>
      </c>
      <c r="F770" s="3" t="s">
        <v>7</v>
      </c>
      <c r="G770" s="30">
        <v>0</v>
      </c>
      <c r="H770" s="39">
        <v>0</v>
      </c>
    </row>
    <row r="771" spans="1:8" hidden="1" x14ac:dyDescent="0.35">
      <c r="A771" s="10" t="s">
        <v>275</v>
      </c>
      <c r="B771" s="11">
        <v>46082</v>
      </c>
      <c r="C771" s="3" t="s">
        <v>48</v>
      </c>
      <c r="D771" s="3" t="s">
        <v>49</v>
      </c>
      <c r="E771" s="3" t="s">
        <v>14</v>
      </c>
      <c r="F771" s="3" t="s">
        <v>8</v>
      </c>
      <c r="G771" s="30">
        <v>0</v>
      </c>
      <c r="H771" s="39">
        <v>0</v>
      </c>
    </row>
    <row r="772" spans="1:8" hidden="1" x14ac:dyDescent="0.35">
      <c r="A772" s="10" t="s">
        <v>275</v>
      </c>
      <c r="B772" s="11">
        <v>46082</v>
      </c>
      <c r="C772" s="3" t="s">
        <v>48</v>
      </c>
      <c r="D772" s="3" t="s">
        <v>49</v>
      </c>
      <c r="E772" s="3" t="s">
        <v>14</v>
      </c>
      <c r="F772" s="3" t="s">
        <v>15</v>
      </c>
      <c r="G772" s="30">
        <v>28839.059251559258</v>
      </c>
      <c r="H772" s="39">
        <v>1500</v>
      </c>
    </row>
    <row r="773" spans="1:8" hidden="1" x14ac:dyDescent="0.35">
      <c r="A773" s="10" t="s">
        <v>275</v>
      </c>
      <c r="B773" s="11">
        <v>46082</v>
      </c>
      <c r="C773" s="3" t="s">
        <v>48</v>
      </c>
      <c r="D773" s="3" t="s">
        <v>49</v>
      </c>
      <c r="E773" s="3" t="s">
        <v>14</v>
      </c>
      <c r="F773" s="3" t="s">
        <v>65</v>
      </c>
      <c r="G773" s="30">
        <v>0</v>
      </c>
      <c r="H773" s="39">
        <v>0</v>
      </c>
    </row>
    <row r="774" spans="1:8" hidden="1" x14ac:dyDescent="0.35">
      <c r="A774" s="10" t="s">
        <v>190</v>
      </c>
      <c r="B774" s="11">
        <v>46082</v>
      </c>
      <c r="C774" s="3" t="s">
        <v>22</v>
      </c>
      <c r="D774" s="3" t="s">
        <v>11</v>
      </c>
      <c r="E774" s="3" t="str">
        <f>_xlfn.XLOOKUP(TabReceitas[[#This Row],[ID]],TabCondicoesComerciais[ID],TabCondicoesComerciais[Congênere],"Verificar")</f>
        <v>Rede Sol</v>
      </c>
      <c r="F774" s="3" t="s">
        <v>7</v>
      </c>
      <c r="G774" s="30">
        <v>0</v>
      </c>
      <c r="H774" s="39">
        <v>0</v>
      </c>
    </row>
    <row r="775" spans="1:8" hidden="1" x14ac:dyDescent="0.35">
      <c r="A775" s="10" t="s">
        <v>190</v>
      </c>
      <c r="B775" s="11">
        <v>46082</v>
      </c>
      <c r="C775" s="3" t="s">
        <v>22</v>
      </c>
      <c r="D775" s="3" t="s">
        <v>11</v>
      </c>
      <c r="E775" s="3" t="str">
        <f>_xlfn.XLOOKUP(TabReceitas[[#This Row],[ID]],TabCondicoesComerciais[ID],TabCondicoesComerciais[Congênere],"Verificar")</f>
        <v>Rede Sol</v>
      </c>
      <c r="F775" s="3" t="s">
        <v>8</v>
      </c>
      <c r="G775" s="30">
        <v>0</v>
      </c>
      <c r="H775" s="39">
        <v>0</v>
      </c>
    </row>
    <row r="776" spans="1:8" hidden="1" x14ac:dyDescent="0.35">
      <c r="A776" s="10" t="s">
        <v>190</v>
      </c>
      <c r="B776" s="11">
        <v>46082</v>
      </c>
      <c r="C776" s="3" t="s">
        <v>22</v>
      </c>
      <c r="D776" s="3" t="s">
        <v>11</v>
      </c>
      <c r="E776" s="3" t="str">
        <f>_xlfn.XLOOKUP(TabReceitas[[#This Row],[ID]],TabCondicoesComerciais[ID],TabCondicoesComerciais[Congênere],"Verificar")</f>
        <v>Rede Sol</v>
      </c>
      <c r="F776" s="3" t="s">
        <v>15</v>
      </c>
      <c r="G776" s="30">
        <v>59115.789473684214</v>
      </c>
      <c r="H776" s="39">
        <v>2000</v>
      </c>
    </row>
    <row r="777" spans="1:8" hidden="1" x14ac:dyDescent="0.35">
      <c r="A777" s="10" t="s">
        <v>190</v>
      </c>
      <c r="B777" s="11">
        <v>46082</v>
      </c>
      <c r="C777" s="3" t="s">
        <v>22</v>
      </c>
      <c r="D777" s="3" t="s">
        <v>11</v>
      </c>
      <c r="E777" s="3" t="str">
        <f>_xlfn.XLOOKUP(TabReceitas[[#This Row],[ID]],TabCondicoesComerciais[ID],TabCondicoesComerciais[Congênere],"Verificar")</f>
        <v>Rede Sol</v>
      </c>
      <c r="F777" s="3" t="s">
        <v>65</v>
      </c>
      <c r="G777" s="30">
        <v>0</v>
      </c>
      <c r="H777" s="39">
        <v>0</v>
      </c>
    </row>
    <row r="778" spans="1:8" hidden="1" x14ac:dyDescent="0.35">
      <c r="A778" s="10" t="s">
        <v>172</v>
      </c>
      <c r="B778" s="11">
        <v>46082</v>
      </c>
      <c r="C778" s="3" t="s">
        <v>22</v>
      </c>
      <c r="D778" s="3" t="s">
        <v>11</v>
      </c>
      <c r="E778" s="3" t="str">
        <f>_xlfn.XLOOKUP(TabReceitas[[#This Row],[ID]],TabCondicoesComerciais[ID],TabCondicoesComerciais[Congênere],"Verificar")</f>
        <v>Ruff</v>
      </c>
      <c r="F778" s="3" t="s">
        <v>7</v>
      </c>
      <c r="G778" s="30">
        <v>0</v>
      </c>
      <c r="H778" s="39">
        <v>0</v>
      </c>
    </row>
    <row r="779" spans="1:8" hidden="1" x14ac:dyDescent="0.35">
      <c r="A779" s="10" t="s">
        <v>172</v>
      </c>
      <c r="B779" s="11">
        <v>46082</v>
      </c>
      <c r="C779" s="3" t="s">
        <v>22</v>
      </c>
      <c r="D779" s="3" t="s">
        <v>11</v>
      </c>
      <c r="E779" s="3" t="str">
        <f>_xlfn.XLOOKUP(TabReceitas[[#This Row],[ID]],TabCondicoesComerciais[ID],TabCondicoesComerciais[Congênere],"Verificar")</f>
        <v>Ruff</v>
      </c>
      <c r="F779" s="3" t="s">
        <v>8</v>
      </c>
      <c r="G779" s="30">
        <v>0</v>
      </c>
      <c r="H779" s="39">
        <v>0</v>
      </c>
    </row>
    <row r="780" spans="1:8" hidden="1" x14ac:dyDescent="0.35">
      <c r="A780" s="10" t="s">
        <v>172</v>
      </c>
      <c r="B780" s="11">
        <v>46082</v>
      </c>
      <c r="C780" s="3" t="s">
        <v>22</v>
      </c>
      <c r="D780" s="3" t="s">
        <v>11</v>
      </c>
      <c r="E780" s="3" t="str">
        <f>_xlfn.XLOOKUP(TabReceitas[[#This Row],[ID]],TabCondicoesComerciais[ID],TabCondicoesComerciais[Congênere],"Verificar")</f>
        <v>Ruff</v>
      </c>
      <c r="F780" s="3" t="s">
        <v>15</v>
      </c>
      <c r="G780" s="30">
        <v>0</v>
      </c>
      <c r="H780" s="39">
        <v>0</v>
      </c>
    </row>
    <row r="781" spans="1:8" hidden="1" x14ac:dyDescent="0.35">
      <c r="A781" s="10" t="s">
        <v>172</v>
      </c>
      <c r="B781" s="11">
        <v>46082</v>
      </c>
      <c r="C781" s="3" t="s">
        <v>22</v>
      </c>
      <c r="D781" s="3" t="s">
        <v>11</v>
      </c>
      <c r="E781" s="3" t="str">
        <f>_xlfn.XLOOKUP(TabReceitas[[#This Row],[ID]],TabCondicoesComerciais[ID],TabCondicoesComerciais[Congênere],"Verificar")</f>
        <v>Ruff</v>
      </c>
      <c r="F781" s="3" t="s">
        <v>65</v>
      </c>
      <c r="G781" s="30">
        <v>0</v>
      </c>
      <c r="H781" s="39">
        <v>0</v>
      </c>
    </row>
    <row r="782" spans="1:8" hidden="1" x14ac:dyDescent="0.35">
      <c r="A782" s="10" t="s">
        <v>177</v>
      </c>
      <c r="B782" s="11">
        <v>46082</v>
      </c>
      <c r="C782" s="3" t="s">
        <v>46</v>
      </c>
      <c r="D782" s="3" t="s">
        <v>87</v>
      </c>
      <c r="E782" s="3" t="s">
        <v>9</v>
      </c>
      <c r="F782" s="3" t="s">
        <v>7</v>
      </c>
      <c r="G782" s="30">
        <v>0</v>
      </c>
      <c r="H782" s="39">
        <v>0</v>
      </c>
    </row>
    <row r="783" spans="1:8" hidden="1" x14ac:dyDescent="0.35">
      <c r="A783" s="10" t="s">
        <v>177</v>
      </c>
      <c r="B783" s="11">
        <v>46082</v>
      </c>
      <c r="C783" s="3" t="s">
        <v>46</v>
      </c>
      <c r="D783" s="3" t="s">
        <v>87</v>
      </c>
      <c r="E783" s="3" t="s">
        <v>9</v>
      </c>
      <c r="F783" s="3" t="s">
        <v>8</v>
      </c>
      <c r="G783" s="30">
        <v>0</v>
      </c>
      <c r="H783" s="39">
        <v>0</v>
      </c>
    </row>
    <row r="784" spans="1:8" hidden="1" x14ac:dyDescent="0.35">
      <c r="A784" s="10" t="s">
        <v>177</v>
      </c>
      <c r="B784" s="11">
        <v>46082</v>
      </c>
      <c r="C784" s="3" t="s">
        <v>46</v>
      </c>
      <c r="D784" s="3" t="s">
        <v>87</v>
      </c>
      <c r="E784" s="3" t="s">
        <v>9</v>
      </c>
      <c r="F784" s="3" t="s">
        <v>15</v>
      </c>
      <c r="G784" s="30">
        <v>137499.15789473685</v>
      </c>
      <c r="H784" s="39">
        <v>4200</v>
      </c>
    </row>
    <row r="785" spans="1:8" hidden="1" x14ac:dyDescent="0.35">
      <c r="A785" s="10" t="s">
        <v>177</v>
      </c>
      <c r="B785" s="11">
        <v>46082</v>
      </c>
      <c r="C785" s="3" t="s">
        <v>46</v>
      </c>
      <c r="D785" s="3" t="s">
        <v>87</v>
      </c>
      <c r="E785" s="3" t="s">
        <v>9</v>
      </c>
      <c r="F785" s="3" t="s">
        <v>65</v>
      </c>
      <c r="G785" s="30">
        <v>0</v>
      </c>
      <c r="H785" s="39">
        <v>0</v>
      </c>
    </row>
    <row r="786" spans="1:8" hidden="1" x14ac:dyDescent="0.35">
      <c r="A786" s="10" t="s">
        <v>134</v>
      </c>
      <c r="B786" s="11">
        <v>46082</v>
      </c>
      <c r="C786" s="3" t="s">
        <v>57</v>
      </c>
      <c r="D786" s="3" t="s">
        <v>58</v>
      </c>
      <c r="E786" s="3" t="s">
        <v>10</v>
      </c>
      <c r="F786" s="3" t="s">
        <v>7</v>
      </c>
      <c r="G786" s="30">
        <v>0</v>
      </c>
      <c r="H786" s="39">
        <v>0</v>
      </c>
    </row>
    <row r="787" spans="1:8" hidden="1" x14ac:dyDescent="0.35">
      <c r="A787" s="10" t="s">
        <v>134</v>
      </c>
      <c r="B787" s="11">
        <v>46082</v>
      </c>
      <c r="C787" s="3" t="s">
        <v>57</v>
      </c>
      <c r="D787" s="3" t="s">
        <v>58</v>
      </c>
      <c r="E787" s="3" t="s">
        <v>10</v>
      </c>
      <c r="F787" s="3" t="s">
        <v>8</v>
      </c>
      <c r="G787" s="30">
        <v>0</v>
      </c>
      <c r="H787" s="39">
        <v>0</v>
      </c>
    </row>
    <row r="788" spans="1:8" hidden="1" x14ac:dyDescent="0.35">
      <c r="A788" s="10" t="s">
        <v>134</v>
      </c>
      <c r="B788" s="11">
        <v>46082</v>
      </c>
      <c r="C788" s="3" t="s">
        <v>57</v>
      </c>
      <c r="D788" s="3" t="s">
        <v>58</v>
      </c>
      <c r="E788" s="3" t="s">
        <v>10</v>
      </c>
      <c r="F788" s="3" t="s">
        <v>15</v>
      </c>
      <c r="G788" s="30">
        <v>17311.068923076924</v>
      </c>
      <c r="H788" s="39">
        <v>550</v>
      </c>
    </row>
    <row r="789" spans="1:8" hidden="1" x14ac:dyDescent="0.35">
      <c r="A789" s="10" t="s">
        <v>134</v>
      </c>
      <c r="B789" s="11">
        <v>46082</v>
      </c>
      <c r="C789" s="3" t="s">
        <v>57</v>
      </c>
      <c r="D789" s="3" t="s">
        <v>58</v>
      </c>
      <c r="E789" s="3" t="s">
        <v>10</v>
      </c>
      <c r="F789" s="3" t="s">
        <v>65</v>
      </c>
      <c r="G789" s="30">
        <v>0</v>
      </c>
      <c r="H789" s="39">
        <v>0</v>
      </c>
    </row>
    <row r="790" spans="1:8" hidden="1" x14ac:dyDescent="0.35">
      <c r="A790" s="10">
        <v>20105</v>
      </c>
      <c r="B790" s="11">
        <v>46082</v>
      </c>
      <c r="C790" s="3" t="s">
        <v>26</v>
      </c>
      <c r="D790" s="3" t="s">
        <v>19</v>
      </c>
      <c r="E790" s="3" t="s">
        <v>13</v>
      </c>
      <c r="F790" s="3" t="s">
        <v>7</v>
      </c>
      <c r="G790" s="30">
        <v>0</v>
      </c>
      <c r="H790" s="39">
        <v>0</v>
      </c>
    </row>
    <row r="791" spans="1:8" hidden="1" x14ac:dyDescent="0.35">
      <c r="A791" s="10">
        <v>20105</v>
      </c>
      <c r="B791" s="11">
        <v>46082</v>
      </c>
      <c r="C791" s="3" t="s">
        <v>26</v>
      </c>
      <c r="D791" s="3" t="s">
        <v>19</v>
      </c>
      <c r="E791" s="3" t="s">
        <v>13</v>
      </c>
      <c r="F791" s="3" t="s">
        <v>8</v>
      </c>
      <c r="G791" s="30">
        <v>0</v>
      </c>
      <c r="H791" s="39">
        <v>0</v>
      </c>
    </row>
    <row r="792" spans="1:8" hidden="1" x14ac:dyDescent="0.35">
      <c r="A792" s="10">
        <v>20105</v>
      </c>
      <c r="B792" s="11">
        <v>46082</v>
      </c>
      <c r="C792" s="3" t="s">
        <v>26</v>
      </c>
      <c r="D792" s="3" t="s">
        <v>19</v>
      </c>
      <c r="E792" s="3" t="s">
        <v>13</v>
      </c>
      <c r="F792" s="3" t="s">
        <v>15</v>
      </c>
      <c r="G792" s="30">
        <v>16933.880412371134</v>
      </c>
      <c r="H792" s="39">
        <v>545</v>
      </c>
    </row>
    <row r="793" spans="1:8" hidden="1" x14ac:dyDescent="0.35">
      <c r="A793" s="10">
        <v>20105</v>
      </c>
      <c r="B793" s="11">
        <v>46082</v>
      </c>
      <c r="C793" s="3" t="s">
        <v>26</v>
      </c>
      <c r="D793" s="3" t="s">
        <v>19</v>
      </c>
      <c r="E793" s="3" t="s">
        <v>13</v>
      </c>
      <c r="F793" s="3" t="s">
        <v>65</v>
      </c>
      <c r="G793" s="30">
        <v>0</v>
      </c>
      <c r="H793" s="39">
        <v>0</v>
      </c>
    </row>
    <row r="794" spans="1:8" hidden="1" x14ac:dyDescent="0.35">
      <c r="A794" s="10" t="s">
        <v>274</v>
      </c>
      <c r="B794" s="11">
        <v>46113</v>
      </c>
      <c r="C794" s="3" t="s">
        <v>48</v>
      </c>
      <c r="D794" s="3" t="s">
        <v>49</v>
      </c>
      <c r="E794" s="3" t="s">
        <v>52</v>
      </c>
      <c r="F794" s="3" t="s">
        <v>7</v>
      </c>
      <c r="G794" s="30">
        <v>0</v>
      </c>
      <c r="H794" s="39">
        <v>0</v>
      </c>
    </row>
    <row r="795" spans="1:8" hidden="1" x14ac:dyDescent="0.35">
      <c r="A795" s="10" t="s">
        <v>274</v>
      </c>
      <c r="B795" s="11">
        <v>46113</v>
      </c>
      <c r="C795" s="3" t="s">
        <v>48</v>
      </c>
      <c r="D795" s="3" t="s">
        <v>49</v>
      </c>
      <c r="E795" s="3" t="s">
        <v>52</v>
      </c>
      <c r="F795" s="3" t="s">
        <v>8</v>
      </c>
      <c r="G795" s="30">
        <v>0</v>
      </c>
      <c r="H795" s="39">
        <v>0</v>
      </c>
    </row>
    <row r="796" spans="1:8" hidden="1" x14ac:dyDescent="0.35">
      <c r="A796" s="10" t="s">
        <v>274</v>
      </c>
      <c r="B796" s="11">
        <v>46113</v>
      </c>
      <c r="C796" s="3" t="s">
        <v>48</v>
      </c>
      <c r="D796" s="3" t="s">
        <v>49</v>
      </c>
      <c r="E796" s="3" t="s">
        <v>52</v>
      </c>
      <c r="F796" s="3" t="s">
        <v>15</v>
      </c>
      <c r="G796" s="30">
        <v>89789.370062370057</v>
      </c>
      <c r="H796" s="39">
        <v>2040</v>
      </c>
    </row>
    <row r="797" spans="1:8" hidden="1" x14ac:dyDescent="0.35">
      <c r="A797" s="10" t="s">
        <v>274</v>
      </c>
      <c r="B797" s="11">
        <v>46113</v>
      </c>
      <c r="C797" s="3" t="s">
        <v>48</v>
      </c>
      <c r="D797" s="3" t="s">
        <v>49</v>
      </c>
      <c r="E797" s="3" t="s">
        <v>52</v>
      </c>
      <c r="F797" s="3" t="s">
        <v>65</v>
      </c>
      <c r="G797" s="30">
        <v>0</v>
      </c>
      <c r="H797" s="39">
        <v>0</v>
      </c>
    </row>
    <row r="798" spans="1:8" hidden="1" x14ac:dyDescent="0.35">
      <c r="A798" s="10" t="s">
        <v>275</v>
      </c>
      <c r="B798" s="11">
        <v>46113</v>
      </c>
      <c r="C798" s="3" t="s">
        <v>48</v>
      </c>
      <c r="D798" s="3" t="s">
        <v>49</v>
      </c>
      <c r="E798" s="3" t="s">
        <v>14</v>
      </c>
      <c r="F798" s="3" t="s">
        <v>7</v>
      </c>
      <c r="G798" s="30">
        <v>0</v>
      </c>
      <c r="H798" s="39">
        <v>0</v>
      </c>
    </row>
    <row r="799" spans="1:8" hidden="1" x14ac:dyDescent="0.35">
      <c r="A799" s="10" t="s">
        <v>275</v>
      </c>
      <c r="B799" s="11">
        <v>46113</v>
      </c>
      <c r="C799" s="3" t="s">
        <v>48</v>
      </c>
      <c r="D799" s="3" t="s">
        <v>49</v>
      </c>
      <c r="E799" s="3" t="s">
        <v>14</v>
      </c>
      <c r="F799" s="3" t="s">
        <v>8</v>
      </c>
      <c r="G799" s="30">
        <v>0</v>
      </c>
      <c r="H799" s="39">
        <v>0</v>
      </c>
    </row>
    <row r="800" spans="1:8" hidden="1" x14ac:dyDescent="0.35">
      <c r="A800" s="10" t="s">
        <v>275</v>
      </c>
      <c r="B800" s="11">
        <v>46113</v>
      </c>
      <c r="C800" s="3" t="s">
        <v>48</v>
      </c>
      <c r="D800" s="3" t="s">
        <v>49</v>
      </c>
      <c r="E800" s="3" t="s">
        <v>14</v>
      </c>
      <c r="F800" s="3" t="s">
        <v>15</v>
      </c>
      <c r="G800" s="30">
        <v>28839.059251559258</v>
      </c>
      <c r="H800" s="39">
        <v>1500</v>
      </c>
    </row>
    <row r="801" spans="1:8" hidden="1" x14ac:dyDescent="0.35">
      <c r="A801" s="10" t="s">
        <v>275</v>
      </c>
      <c r="B801" s="11">
        <v>46113</v>
      </c>
      <c r="C801" s="3" t="s">
        <v>48</v>
      </c>
      <c r="D801" s="3" t="s">
        <v>49</v>
      </c>
      <c r="E801" s="3" t="s">
        <v>14</v>
      </c>
      <c r="F801" s="3" t="s">
        <v>65</v>
      </c>
      <c r="G801" s="30">
        <v>0</v>
      </c>
      <c r="H801" s="39">
        <v>0</v>
      </c>
    </row>
    <row r="802" spans="1:8" hidden="1" x14ac:dyDescent="0.35">
      <c r="A802" s="10" t="s">
        <v>190</v>
      </c>
      <c r="B802" s="11">
        <v>46113</v>
      </c>
      <c r="C802" s="3" t="s">
        <v>22</v>
      </c>
      <c r="D802" s="3" t="s">
        <v>11</v>
      </c>
      <c r="E802" s="3" t="str">
        <f>_xlfn.XLOOKUP(TabReceitas[[#This Row],[ID]],TabCondicoesComerciais[ID],TabCondicoesComerciais[Congênere],"Verificar")</f>
        <v>Rede Sol</v>
      </c>
      <c r="F802" s="3" t="s">
        <v>7</v>
      </c>
      <c r="G802" s="30">
        <v>0</v>
      </c>
      <c r="H802" s="39">
        <v>0</v>
      </c>
    </row>
    <row r="803" spans="1:8" hidden="1" x14ac:dyDescent="0.35">
      <c r="A803" s="10" t="s">
        <v>190</v>
      </c>
      <c r="B803" s="11">
        <v>46113</v>
      </c>
      <c r="C803" s="3" t="s">
        <v>22</v>
      </c>
      <c r="D803" s="3" t="s">
        <v>11</v>
      </c>
      <c r="E803" s="3" t="str">
        <f>_xlfn.XLOOKUP(TabReceitas[[#This Row],[ID]],TabCondicoesComerciais[ID],TabCondicoesComerciais[Congênere],"Verificar")</f>
        <v>Rede Sol</v>
      </c>
      <c r="F803" s="3" t="s">
        <v>8</v>
      </c>
      <c r="G803" s="30">
        <v>0</v>
      </c>
      <c r="H803" s="39">
        <v>0</v>
      </c>
    </row>
    <row r="804" spans="1:8" hidden="1" x14ac:dyDescent="0.35">
      <c r="A804" s="10" t="s">
        <v>190</v>
      </c>
      <c r="B804" s="11">
        <v>46113</v>
      </c>
      <c r="C804" s="3" t="s">
        <v>22</v>
      </c>
      <c r="D804" s="3" t="s">
        <v>11</v>
      </c>
      <c r="E804" s="3" t="str">
        <f>_xlfn.XLOOKUP(TabReceitas[[#This Row],[ID]],TabCondicoesComerciais[ID],TabCondicoesComerciais[Congênere],"Verificar")</f>
        <v>Rede Sol</v>
      </c>
      <c r="F804" s="3" t="s">
        <v>15</v>
      </c>
      <c r="G804" s="30">
        <v>59115.789473684214</v>
      </c>
      <c r="H804" s="39">
        <v>2000</v>
      </c>
    </row>
    <row r="805" spans="1:8" hidden="1" x14ac:dyDescent="0.35">
      <c r="A805" s="10" t="s">
        <v>190</v>
      </c>
      <c r="B805" s="11">
        <v>46113</v>
      </c>
      <c r="C805" s="3" t="s">
        <v>22</v>
      </c>
      <c r="D805" s="3" t="s">
        <v>11</v>
      </c>
      <c r="E805" s="3" t="str">
        <f>_xlfn.XLOOKUP(TabReceitas[[#This Row],[ID]],TabCondicoesComerciais[ID],TabCondicoesComerciais[Congênere],"Verificar")</f>
        <v>Rede Sol</v>
      </c>
      <c r="F805" s="3" t="s">
        <v>65</v>
      </c>
      <c r="G805" s="30">
        <v>0</v>
      </c>
      <c r="H805" s="39">
        <v>0</v>
      </c>
    </row>
    <row r="806" spans="1:8" hidden="1" x14ac:dyDescent="0.35">
      <c r="A806" s="10" t="s">
        <v>172</v>
      </c>
      <c r="B806" s="11">
        <v>46113</v>
      </c>
      <c r="C806" s="3" t="s">
        <v>22</v>
      </c>
      <c r="D806" s="3" t="s">
        <v>11</v>
      </c>
      <c r="E806" s="3" t="str">
        <f>_xlfn.XLOOKUP(TabReceitas[[#This Row],[ID]],TabCondicoesComerciais[ID],TabCondicoesComerciais[Congênere],"Verificar")</f>
        <v>Ruff</v>
      </c>
      <c r="F806" s="3" t="s">
        <v>7</v>
      </c>
      <c r="G806" s="30">
        <v>0</v>
      </c>
      <c r="H806" s="39">
        <v>0</v>
      </c>
    </row>
    <row r="807" spans="1:8" hidden="1" x14ac:dyDescent="0.35">
      <c r="A807" s="10" t="s">
        <v>172</v>
      </c>
      <c r="B807" s="11">
        <v>46113</v>
      </c>
      <c r="C807" s="3" t="s">
        <v>22</v>
      </c>
      <c r="D807" s="3" t="s">
        <v>11</v>
      </c>
      <c r="E807" s="3" t="str">
        <f>_xlfn.XLOOKUP(TabReceitas[[#This Row],[ID]],TabCondicoesComerciais[ID],TabCondicoesComerciais[Congênere],"Verificar")</f>
        <v>Ruff</v>
      </c>
      <c r="F807" s="3" t="s">
        <v>8</v>
      </c>
      <c r="G807" s="30">
        <v>0</v>
      </c>
      <c r="H807" s="39">
        <v>0</v>
      </c>
    </row>
    <row r="808" spans="1:8" hidden="1" x14ac:dyDescent="0.35">
      <c r="A808" s="10" t="s">
        <v>172</v>
      </c>
      <c r="B808" s="11">
        <v>46113</v>
      </c>
      <c r="C808" s="3" t="s">
        <v>22</v>
      </c>
      <c r="D808" s="3" t="s">
        <v>11</v>
      </c>
      <c r="E808" s="3" t="str">
        <f>_xlfn.XLOOKUP(TabReceitas[[#This Row],[ID]],TabCondicoesComerciais[ID],TabCondicoesComerciais[Congênere],"Verificar")</f>
        <v>Ruff</v>
      </c>
      <c r="F808" s="3" t="s">
        <v>15</v>
      </c>
      <c r="G808" s="30">
        <v>0</v>
      </c>
      <c r="H808" s="39">
        <v>0</v>
      </c>
    </row>
    <row r="809" spans="1:8" hidden="1" x14ac:dyDescent="0.35">
      <c r="A809" s="10" t="s">
        <v>172</v>
      </c>
      <c r="B809" s="11">
        <v>46113</v>
      </c>
      <c r="C809" s="3" t="s">
        <v>22</v>
      </c>
      <c r="D809" s="3" t="s">
        <v>11</v>
      </c>
      <c r="E809" s="3" t="str">
        <f>_xlfn.XLOOKUP(TabReceitas[[#This Row],[ID]],TabCondicoesComerciais[ID],TabCondicoesComerciais[Congênere],"Verificar")</f>
        <v>Ruff</v>
      </c>
      <c r="F809" s="3" t="s">
        <v>65</v>
      </c>
      <c r="G809" s="30">
        <v>0</v>
      </c>
      <c r="H809" s="39">
        <v>0</v>
      </c>
    </row>
    <row r="810" spans="1:8" hidden="1" x14ac:dyDescent="0.35">
      <c r="A810" s="10" t="s">
        <v>177</v>
      </c>
      <c r="B810" s="11">
        <v>46113</v>
      </c>
      <c r="C810" s="3" t="s">
        <v>46</v>
      </c>
      <c r="D810" s="3" t="s">
        <v>87</v>
      </c>
      <c r="E810" s="3" t="s">
        <v>9</v>
      </c>
      <c r="F810" s="3" t="s">
        <v>7</v>
      </c>
      <c r="G810" s="30">
        <v>0</v>
      </c>
      <c r="H810" s="39">
        <v>0</v>
      </c>
    </row>
    <row r="811" spans="1:8" hidden="1" x14ac:dyDescent="0.35">
      <c r="A811" s="10" t="s">
        <v>177</v>
      </c>
      <c r="B811" s="11">
        <v>46113</v>
      </c>
      <c r="C811" s="3" t="s">
        <v>46</v>
      </c>
      <c r="D811" s="3" t="s">
        <v>87</v>
      </c>
      <c r="E811" s="3" t="s">
        <v>9</v>
      </c>
      <c r="F811" s="3" t="s">
        <v>8</v>
      </c>
      <c r="G811" s="30">
        <v>0</v>
      </c>
      <c r="H811" s="39">
        <v>0</v>
      </c>
    </row>
    <row r="812" spans="1:8" hidden="1" x14ac:dyDescent="0.35">
      <c r="A812" s="10" t="s">
        <v>177</v>
      </c>
      <c r="B812" s="11">
        <v>46113</v>
      </c>
      <c r="C812" s="3" t="s">
        <v>46</v>
      </c>
      <c r="D812" s="3" t="s">
        <v>87</v>
      </c>
      <c r="E812" s="3" t="s">
        <v>9</v>
      </c>
      <c r="F812" s="3" t="s">
        <v>15</v>
      </c>
      <c r="G812" s="30">
        <v>137499.15789473685</v>
      </c>
      <c r="H812" s="39">
        <v>4200</v>
      </c>
    </row>
    <row r="813" spans="1:8" hidden="1" x14ac:dyDescent="0.35">
      <c r="A813" s="10" t="s">
        <v>177</v>
      </c>
      <c r="B813" s="11">
        <v>46113</v>
      </c>
      <c r="C813" s="3" t="s">
        <v>46</v>
      </c>
      <c r="D813" s="3" t="s">
        <v>87</v>
      </c>
      <c r="E813" s="3" t="s">
        <v>9</v>
      </c>
      <c r="F813" s="3" t="s">
        <v>65</v>
      </c>
      <c r="G813" s="30">
        <v>0</v>
      </c>
      <c r="H813" s="39">
        <v>0</v>
      </c>
    </row>
    <row r="814" spans="1:8" hidden="1" x14ac:dyDescent="0.35">
      <c r="A814" s="10" t="s">
        <v>264</v>
      </c>
      <c r="B814" s="11">
        <v>46082</v>
      </c>
      <c r="C814" s="3" t="s">
        <v>25</v>
      </c>
      <c r="D814" s="3" t="s">
        <v>12</v>
      </c>
      <c r="E814" s="3" t="s">
        <v>9</v>
      </c>
      <c r="F814" s="3" t="s">
        <v>7</v>
      </c>
      <c r="G814" s="30">
        <v>0</v>
      </c>
      <c r="H814" s="39">
        <v>0</v>
      </c>
    </row>
    <row r="815" spans="1:8" hidden="1" x14ac:dyDescent="0.35">
      <c r="A815" s="10" t="s">
        <v>264</v>
      </c>
      <c r="B815" s="11">
        <v>46082</v>
      </c>
      <c r="C815" s="3" t="s">
        <v>25</v>
      </c>
      <c r="D815" s="3" t="s">
        <v>12</v>
      </c>
      <c r="E815" s="3" t="s">
        <v>9</v>
      </c>
      <c r="F815" s="3" t="s">
        <v>8</v>
      </c>
      <c r="G815" s="30">
        <v>0</v>
      </c>
      <c r="H815" s="39">
        <v>0</v>
      </c>
    </row>
    <row r="816" spans="1:8" hidden="1" x14ac:dyDescent="0.35">
      <c r="A816" s="10" t="s">
        <v>264</v>
      </c>
      <c r="B816" s="11">
        <v>46082</v>
      </c>
      <c r="C816" s="3" t="s">
        <v>25</v>
      </c>
      <c r="D816" s="3" t="s">
        <v>12</v>
      </c>
      <c r="E816" s="3" t="s">
        <v>9</v>
      </c>
      <c r="F816" s="3" t="s">
        <v>15</v>
      </c>
      <c r="G816" s="30">
        <v>164947.60916666666</v>
      </c>
      <c r="H816" s="39">
        <v>6100</v>
      </c>
    </row>
    <row r="817" spans="1:8" hidden="1" x14ac:dyDescent="0.35">
      <c r="A817" s="10" t="s">
        <v>264</v>
      </c>
      <c r="B817" s="11">
        <v>46113</v>
      </c>
      <c r="C817" s="3" t="s">
        <v>57</v>
      </c>
      <c r="D817" s="3" t="s">
        <v>58</v>
      </c>
      <c r="E817" s="3" t="s">
        <v>10</v>
      </c>
      <c r="F817" s="3" t="s">
        <v>7</v>
      </c>
      <c r="G817" s="30">
        <v>0</v>
      </c>
      <c r="H817" s="39">
        <v>0</v>
      </c>
    </row>
    <row r="818" spans="1:8" hidden="1" x14ac:dyDescent="0.35">
      <c r="A818" s="10" t="s">
        <v>134</v>
      </c>
      <c r="B818" s="11">
        <v>46113</v>
      </c>
      <c r="C818" s="3" t="s">
        <v>57</v>
      </c>
      <c r="D818" s="3" t="s">
        <v>58</v>
      </c>
      <c r="E818" s="3" t="s">
        <v>10</v>
      </c>
      <c r="F818" s="3" t="s">
        <v>8</v>
      </c>
      <c r="G818" s="30">
        <v>0</v>
      </c>
      <c r="H818" s="39">
        <v>0</v>
      </c>
    </row>
    <row r="819" spans="1:8" hidden="1" x14ac:dyDescent="0.35">
      <c r="A819" s="10" t="s">
        <v>134</v>
      </c>
      <c r="B819" s="11">
        <v>46113</v>
      </c>
      <c r="C819" s="3" t="s">
        <v>57</v>
      </c>
      <c r="D819" s="3" t="s">
        <v>58</v>
      </c>
      <c r="E819" s="3" t="s">
        <v>10</v>
      </c>
      <c r="F819" s="3" t="s">
        <v>15</v>
      </c>
      <c r="G819" s="30">
        <v>17311.068923076924</v>
      </c>
      <c r="H819" s="39">
        <v>550</v>
      </c>
    </row>
    <row r="820" spans="1:8" hidden="1" x14ac:dyDescent="0.35">
      <c r="A820" s="10" t="s">
        <v>134</v>
      </c>
      <c r="B820" s="11">
        <v>46113</v>
      </c>
      <c r="C820" s="3" t="s">
        <v>57</v>
      </c>
      <c r="D820" s="3" t="s">
        <v>58</v>
      </c>
      <c r="E820" s="3" t="s">
        <v>10</v>
      </c>
      <c r="F820" s="3" t="s">
        <v>65</v>
      </c>
      <c r="G820" s="30">
        <v>0</v>
      </c>
      <c r="H820" s="39">
        <v>0</v>
      </c>
    </row>
    <row r="821" spans="1:8" hidden="1" x14ac:dyDescent="0.35">
      <c r="A821" s="10">
        <v>20105</v>
      </c>
      <c r="B821" s="11">
        <v>46113</v>
      </c>
      <c r="C821" s="3" t="s">
        <v>26</v>
      </c>
      <c r="D821" s="3" t="s">
        <v>19</v>
      </c>
      <c r="E821" s="3" t="s">
        <v>13</v>
      </c>
      <c r="F821" s="3" t="s">
        <v>7</v>
      </c>
      <c r="G821" s="30">
        <v>0</v>
      </c>
      <c r="H821" s="39">
        <v>0</v>
      </c>
    </row>
    <row r="822" spans="1:8" hidden="1" x14ac:dyDescent="0.35">
      <c r="A822" s="10">
        <v>20105</v>
      </c>
      <c r="B822" s="11">
        <v>46113</v>
      </c>
      <c r="C822" s="3" t="s">
        <v>26</v>
      </c>
      <c r="D822" s="3" t="s">
        <v>19</v>
      </c>
      <c r="E822" s="3" t="s">
        <v>13</v>
      </c>
      <c r="F822" s="3" t="s">
        <v>8</v>
      </c>
      <c r="G822" s="30">
        <v>0</v>
      </c>
      <c r="H822" s="39">
        <v>0</v>
      </c>
    </row>
    <row r="823" spans="1:8" hidden="1" x14ac:dyDescent="0.35">
      <c r="A823" s="10">
        <v>20105</v>
      </c>
      <c r="B823" s="11">
        <v>46113</v>
      </c>
      <c r="C823" s="3" t="s">
        <v>26</v>
      </c>
      <c r="D823" s="3" t="s">
        <v>19</v>
      </c>
      <c r="E823" s="3" t="s">
        <v>13</v>
      </c>
      <c r="F823" s="3" t="s">
        <v>15</v>
      </c>
      <c r="G823" s="30">
        <v>16933.880412371134</v>
      </c>
      <c r="H823" s="39">
        <v>545</v>
      </c>
    </row>
    <row r="824" spans="1:8" hidden="1" x14ac:dyDescent="0.35">
      <c r="A824" s="10">
        <v>20105</v>
      </c>
      <c r="B824" s="11">
        <v>46113</v>
      </c>
      <c r="C824" s="3" t="s">
        <v>26</v>
      </c>
      <c r="D824" s="3" t="s">
        <v>19</v>
      </c>
      <c r="E824" s="3" t="s">
        <v>13</v>
      </c>
      <c r="F824" s="3" t="s">
        <v>65</v>
      </c>
      <c r="G824" s="30">
        <v>0</v>
      </c>
      <c r="H824" s="39">
        <v>0</v>
      </c>
    </row>
    <row r="825" spans="1:8" hidden="1" x14ac:dyDescent="0.35">
      <c r="A825" s="10" t="s">
        <v>274</v>
      </c>
      <c r="B825" s="11">
        <v>46143</v>
      </c>
      <c r="C825" s="3" t="s">
        <v>48</v>
      </c>
      <c r="D825" s="3" t="s">
        <v>49</v>
      </c>
      <c r="E825" s="3" t="s">
        <v>52</v>
      </c>
      <c r="F825" s="3" t="s">
        <v>7</v>
      </c>
      <c r="G825" s="30">
        <v>0</v>
      </c>
      <c r="H825" s="39">
        <v>0</v>
      </c>
    </row>
    <row r="826" spans="1:8" hidden="1" x14ac:dyDescent="0.35">
      <c r="A826" s="10" t="s">
        <v>274</v>
      </c>
      <c r="B826" s="11">
        <v>46143</v>
      </c>
      <c r="C826" s="3" t="s">
        <v>48</v>
      </c>
      <c r="D826" s="3" t="s">
        <v>49</v>
      </c>
      <c r="E826" s="3" t="s">
        <v>52</v>
      </c>
      <c r="F826" s="3" t="s">
        <v>8</v>
      </c>
      <c r="G826" s="30">
        <v>0</v>
      </c>
      <c r="H826" s="39">
        <v>0</v>
      </c>
    </row>
    <row r="827" spans="1:8" hidden="1" x14ac:dyDescent="0.35">
      <c r="A827" s="10" t="s">
        <v>274</v>
      </c>
      <c r="B827" s="11">
        <v>46143</v>
      </c>
      <c r="C827" s="3" t="s">
        <v>48</v>
      </c>
      <c r="D827" s="3" t="s">
        <v>49</v>
      </c>
      <c r="E827" s="3" t="s">
        <v>52</v>
      </c>
      <c r="F827" s="3" t="s">
        <v>15</v>
      </c>
      <c r="G827" s="30">
        <v>89789.370062370057</v>
      </c>
      <c r="H827" s="39">
        <v>2040</v>
      </c>
    </row>
    <row r="828" spans="1:8" hidden="1" x14ac:dyDescent="0.35">
      <c r="A828" s="10" t="s">
        <v>274</v>
      </c>
      <c r="B828" s="11">
        <v>46143</v>
      </c>
      <c r="C828" s="3" t="s">
        <v>48</v>
      </c>
      <c r="D828" s="3" t="s">
        <v>49</v>
      </c>
      <c r="E828" s="3" t="s">
        <v>52</v>
      </c>
      <c r="F828" s="3" t="s">
        <v>65</v>
      </c>
      <c r="G828" s="30">
        <v>0</v>
      </c>
      <c r="H828" s="39">
        <v>0</v>
      </c>
    </row>
    <row r="829" spans="1:8" hidden="1" x14ac:dyDescent="0.35">
      <c r="A829" s="10" t="s">
        <v>275</v>
      </c>
      <c r="B829" s="11">
        <v>46143</v>
      </c>
      <c r="C829" s="3" t="s">
        <v>48</v>
      </c>
      <c r="D829" s="3" t="s">
        <v>49</v>
      </c>
      <c r="E829" s="3" t="s">
        <v>14</v>
      </c>
      <c r="F829" s="3" t="s">
        <v>7</v>
      </c>
      <c r="G829" s="30">
        <v>0</v>
      </c>
      <c r="H829" s="39">
        <v>0</v>
      </c>
    </row>
    <row r="830" spans="1:8" hidden="1" x14ac:dyDescent="0.35">
      <c r="A830" s="10" t="s">
        <v>275</v>
      </c>
      <c r="B830" s="11">
        <v>46143</v>
      </c>
      <c r="C830" s="3" t="s">
        <v>48</v>
      </c>
      <c r="D830" s="3" t="s">
        <v>49</v>
      </c>
      <c r="E830" s="3" t="s">
        <v>14</v>
      </c>
      <c r="F830" s="3" t="s">
        <v>8</v>
      </c>
      <c r="G830" s="30">
        <v>0</v>
      </c>
      <c r="H830" s="39">
        <v>0</v>
      </c>
    </row>
    <row r="831" spans="1:8" hidden="1" x14ac:dyDescent="0.35">
      <c r="A831" s="10" t="s">
        <v>275</v>
      </c>
      <c r="B831" s="11">
        <v>46143</v>
      </c>
      <c r="C831" s="3" t="s">
        <v>48</v>
      </c>
      <c r="D831" s="3" t="s">
        <v>49</v>
      </c>
      <c r="E831" s="3" t="s">
        <v>14</v>
      </c>
      <c r="F831" s="3" t="s">
        <v>15</v>
      </c>
      <c r="G831" s="30">
        <v>17995.57</v>
      </c>
      <c r="H831" s="39">
        <v>936</v>
      </c>
    </row>
    <row r="832" spans="1:8" hidden="1" x14ac:dyDescent="0.35">
      <c r="A832" s="10" t="s">
        <v>275</v>
      </c>
      <c r="B832" s="11">
        <v>46143</v>
      </c>
      <c r="C832" s="3" t="s">
        <v>48</v>
      </c>
      <c r="D832" s="3" t="s">
        <v>49</v>
      </c>
      <c r="E832" s="3" t="s">
        <v>14</v>
      </c>
      <c r="F832" s="3" t="s">
        <v>65</v>
      </c>
      <c r="G832" s="30">
        <v>0</v>
      </c>
      <c r="H832" s="39">
        <v>0</v>
      </c>
    </row>
    <row r="833" spans="1:8" hidden="1" x14ac:dyDescent="0.35">
      <c r="A833" s="10" t="s">
        <v>190</v>
      </c>
      <c r="B833" s="11">
        <v>46143</v>
      </c>
      <c r="C833" s="3" t="s">
        <v>22</v>
      </c>
      <c r="D833" s="3" t="s">
        <v>11</v>
      </c>
      <c r="E833" s="3" t="str">
        <f>_xlfn.XLOOKUP(TabReceitas[[#This Row],[ID]],TabCondicoesComerciais[ID],TabCondicoesComerciais[Congênere],"Verificar")</f>
        <v>Rede Sol</v>
      </c>
      <c r="F833" s="3" t="s">
        <v>7</v>
      </c>
      <c r="G833" s="30">
        <v>0</v>
      </c>
      <c r="H833" s="39">
        <v>0</v>
      </c>
    </row>
    <row r="834" spans="1:8" hidden="1" x14ac:dyDescent="0.35">
      <c r="A834" s="10" t="s">
        <v>190</v>
      </c>
      <c r="B834" s="11">
        <v>46143</v>
      </c>
      <c r="C834" s="3" t="s">
        <v>22</v>
      </c>
      <c r="D834" s="3" t="s">
        <v>11</v>
      </c>
      <c r="E834" s="3" t="str">
        <f>_xlfn.XLOOKUP(TabReceitas[[#This Row],[ID]],TabCondicoesComerciais[ID],TabCondicoesComerciais[Congênere],"Verificar")</f>
        <v>Rede Sol</v>
      </c>
      <c r="F834" s="3" t="s">
        <v>8</v>
      </c>
      <c r="G834" s="30">
        <v>0</v>
      </c>
      <c r="H834" s="39">
        <v>0</v>
      </c>
    </row>
    <row r="835" spans="1:8" hidden="1" x14ac:dyDescent="0.35">
      <c r="A835" s="10" t="s">
        <v>190</v>
      </c>
      <c r="B835" s="11">
        <v>46143</v>
      </c>
      <c r="C835" s="3" t="s">
        <v>22</v>
      </c>
      <c r="D835" s="3" t="s">
        <v>11</v>
      </c>
      <c r="E835" s="3" t="str">
        <f>_xlfn.XLOOKUP(TabReceitas[[#This Row],[ID]],TabCondicoesComerciais[ID],TabCondicoesComerciais[Congênere],"Verificar")</f>
        <v>Rede Sol</v>
      </c>
      <c r="F835" s="3" t="s">
        <v>15</v>
      </c>
      <c r="G835" s="30">
        <v>0</v>
      </c>
      <c r="H835" s="39">
        <v>0</v>
      </c>
    </row>
    <row r="836" spans="1:8" hidden="1" x14ac:dyDescent="0.35">
      <c r="A836" s="10" t="s">
        <v>190</v>
      </c>
      <c r="B836" s="11">
        <v>46143</v>
      </c>
      <c r="C836" s="3" t="s">
        <v>22</v>
      </c>
      <c r="D836" s="3" t="s">
        <v>11</v>
      </c>
      <c r="E836" s="3" t="str">
        <f>_xlfn.XLOOKUP(TabReceitas[[#This Row],[ID]],TabCondicoesComerciais[ID],TabCondicoesComerciais[Congênere],"Verificar")</f>
        <v>Rede Sol</v>
      </c>
      <c r="F836" s="3" t="s">
        <v>65</v>
      </c>
      <c r="G836" s="30">
        <v>0</v>
      </c>
      <c r="H836" s="39">
        <v>0</v>
      </c>
    </row>
    <row r="837" spans="1:8" hidden="1" x14ac:dyDescent="0.35">
      <c r="A837" s="10" t="s">
        <v>172</v>
      </c>
      <c r="B837" s="11">
        <v>46143</v>
      </c>
      <c r="C837" s="3" t="s">
        <v>22</v>
      </c>
      <c r="D837" s="3" t="s">
        <v>11</v>
      </c>
      <c r="E837" s="3" t="str">
        <f>_xlfn.XLOOKUP(TabReceitas[[#This Row],[ID]],TabCondicoesComerciais[ID],TabCondicoesComerciais[Congênere],"Verificar")</f>
        <v>Ruff</v>
      </c>
      <c r="F837" s="3" t="s">
        <v>7</v>
      </c>
      <c r="G837" s="30">
        <v>0</v>
      </c>
      <c r="H837" s="39">
        <v>0</v>
      </c>
    </row>
    <row r="838" spans="1:8" hidden="1" x14ac:dyDescent="0.35">
      <c r="A838" s="10" t="s">
        <v>172</v>
      </c>
      <c r="B838" s="11">
        <v>46143</v>
      </c>
      <c r="C838" s="3" t="s">
        <v>22</v>
      </c>
      <c r="D838" s="3" t="s">
        <v>11</v>
      </c>
      <c r="E838" s="3" t="str">
        <f>_xlfn.XLOOKUP(TabReceitas[[#This Row],[ID]],TabCondicoesComerciais[ID],TabCondicoesComerciais[Congênere],"Verificar")</f>
        <v>Ruff</v>
      </c>
      <c r="F838" s="3" t="s">
        <v>8</v>
      </c>
      <c r="G838" s="30">
        <v>0</v>
      </c>
      <c r="H838" s="39">
        <v>0</v>
      </c>
    </row>
    <row r="839" spans="1:8" hidden="1" x14ac:dyDescent="0.35">
      <c r="A839" s="10" t="s">
        <v>172</v>
      </c>
      <c r="B839" s="11">
        <v>46143</v>
      </c>
      <c r="C839" s="3" t="s">
        <v>22</v>
      </c>
      <c r="D839" s="3" t="s">
        <v>11</v>
      </c>
      <c r="E839" s="3" t="str">
        <f>_xlfn.XLOOKUP(TabReceitas[[#This Row],[ID]],TabCondicoesComerciais[ID],TabCondicoesComerciais[Congênere],"Verificar")</f>
        <v>Ruff</v>
      </c>
      <c r="F839" s="3" t="s">
        <v>15</v>
      </c>
      <c r="G839" s="30">
        <v>0</v>
      </c>
      <c r="H839" s="39">
        <v>0</v>
      </c>
    </row>
    <row r="840" spans="1:8" hidden="1" x14ac:dyDescent="0.35">
      <c r="A840" s="10" t="s">
        <v>172</v>
      </c>
      <c r="B840" s="11">
        <v>46143</v>
      </c>
      <c r="C840" s="3" t="s">
        <v>22</v>
      </c>
      <c r="D840" s="3" t="s">
        <v>11</v>
      </c>
      <c r="E840" s="3" t="str">
        <f>_xlfn.XLOOKUP(TabReceitas[[#This Row],[ID]],TabCondicoesComerciais[ID],TabCondicoesComerciais[Congênere],"Verificar")</f>
        <v>Ruff</v>
      </c>
      <c r="F840" s="3" t="s">
        <v>65</v>
      </c>
      <c r="G840" s="30">
        <v>0</v>
      </c>
      <c r="H840" s="39">
        <v>0</v>
      </c>
    </row>
    <row r="841" spans="1:8" hidden="1" x14ac:dyDescent="0.35">
      <c r="A841" s="10" t="s">
        <v>177</v>
      </c>
      <c r="B841" s="11">
        <v>46143</v>
      </c>
      <c r="C841" s="3" t="s">
        <v>46</v>
      </c>
      <c r="D841" s="3" t="s">
        <v>87</v>
      </c>
      <c r="E841" s="3" t="s">
        <v>9</v>
      </c>
      <c r="F841" s="3" t="s">
        <v>7</v>
      </c>
      <c r="G841" s="30">
        <v>0</v>
      </c>
      <c r="H841" s="39">
        <v>0</v>
      </c>
    </row>
    <row r="842" spans="1:8" hidden="1" x14ac:dyDescent="0.35">
      <c r="A842" s="10" t="s">
        <v>177</v>
      </c>
      <c r="B842" s="11">
        <v>46143</v>
      </c>
      <c r="C842" s="3" t="s">
        <v>46</v>
      </c>
      <c r="D842" s="3" t="s">
        <v>87</v>
      </c>
      <c r="E842" s="3" t="s">
        <v>9</v>
      </c>
      <c r="F842" s="3" t="s">
        <v>8</v>
      </c>
      <c r="G842" s="30">
        <v>0</v>
      </c>
      <c r="H842" s="39">
        <v>0</v>
      </c>
    </row>
    <row r="843" spans="1:8" hidden="1" x14ac:dyDescent="0.35">
      <c r="A843" s="10" t="s">
        <v>177</v>
      </c>
      <c r="B843" s="11">
        <v>46143</v>
      </c>
      <c r="C843" s="3" t="s">
        <v>46</v>
      </c>
      <c r="D843" s="3" t="s">
        <v>87</v>
      </c>
      <c r="E843" s="3" t="s">
        <v>9</v>
      </c>
      <c r="F843" s="3" t="s">
        <v>15</v>
      </c>
      <c r="G843" s="30">
        <v>65348.32</v>
      </c>
      <c r="H843" s="39">
        <v>1926</v>
      </c>
    </row>
    <row r="844" spans="1:8" hidden="1" x14ac:dyDescent="0.35">
      <c r="A844" s="10" t="s">
        <v>177</v>
      </c>
      <c r="B844" s="11">
        <v>46143</v>
      </c>
      <c r="C844" s="3" t="s">
        <v>46</v>
      </c>
      <c r="D844" s="3" t="s">
        <v>87</v>
      </c>
      <c r="E844" s="3" t="s">
        <v>9</v>
      </c>
      <c r="F844" s="3" t="s">
        <v>65</v>
      </c>
      <c r="G844" s="30">
        <v>0</v>
      </c>
      <c r="H844" s="39">
        <v>0</v>
      </c>
    </row>
    <row r="845" spans="1:8" hidden="1" x14ac:dyDescent="0.35">
      <c r="A845" s="10" t="s">
        <v>264</v>
      </c>
      <c r="B845" s="11">
        <v>46082</v>
      </c>
      <c r="C845" s="3" t="s">
        <v>25</v>
      </c>
      <c r="D845" s="3" t="s">
        <v>12</v>
      </c>
      <c r="E845" s="3" t="s">
        <v>9</v>
      </c>
      <c r="F845" s="3" t="s">
        <v>65</v>
      </c>
      <c r="G845" s="30">
        <v>0</v>
      </c>
      <c r="H845" s="39">
        <v>0</v>
      </c>
    </row>
    <row r="846" spans="1:8" hidden="1" x14ac:dyDescent="0.35">
      <c r="A846" s="10" t="s">
        <v>134</v>
      </c>
      <c r="B846" s="11">
        <v>46143</v>
      </c>
      <c r="C846" s="3" t="s">
        <v>57</v>
      </c>
      <c r="D846" s="3" t="s">
        <v>58</v>
      </c>
      <c r="E846" s="3" t="s">
        <v>10</v>
      </c>
      <c r="F846" s="3" t="s">
        <v>7</v>
      </c>
      <c r="G846" s="30">
        <v>0</v>
      </c>
      <c r="H846" s="39">
        <v>0</v>
      </c>
    </row>
    <row r="847" spans="1:8" hidden="1" x14ac:dyDescent="0.35">
      <c r="A847" s="10" t="s">
        <v>134</v>
      </c>
      <c r="B847" s="11">
        <v>46143</v>
      </c>
      <c r="C847" s="3" t="s">
        <v>57</v>
      </c>
      <c r="D847" s="3" t="s">
        <v>58</v>
      </c>
      <c r="E847" s="3" t="s">
        <v>10</v>
      </c>
      <c r="F847" s="3" t="s">
        <v>8</v>
      </c>
      <c r="G847" s="30">
        <v>0</v>
      </c>
      <c r="H847" s="39">
        <v>0</v>
      </c>
    </row>
    <row r="848" spans="1:8" hidden="1" x14ac:dyDescent="0.35">
      <c r="A848" s="10" t="s">
        <v>134</v>
      </c>
      <c r="B848" s="11">
        <v>46143</v>
      </c>
      <c r="C848" s="3" t="s">
        <v>57</v>
      </c>
      <c r="D848" s="3" t="s">
        <v>58</v>
      </c>
      <c r="E848" s="3" t="s">
        <v>10</v>
      </c>
      <c r="F848" s="3" t="s">
        <v>15</v>
      </c>
      <c r="G848" s="30">
        <v>35019.49</v>
      </c>
      <c r="H848" s="39">
        <v>1100</v>
      </c>
    </row>
    <row r="849" spans="1:8" hidden="1" x14ac:dyDescent="0.35">
      <c r="A849" s="10" t="s">
        <v>134</v>
      </c>
      <c r="B849" s="11">
        <v>46143</v>
      </c>
      <c r="C849" s="3" t="s">
        <v>57</v>
      </c>
      <c r="D849" s="3" t="s">
        <v>58</v>
      </c>
      <c r="E849" s="3" t="s">
        <v>10</v>
      </c>
      <c r="F849" s="3" t="s">
        <v>65</v>
      </c>
      <c r="G849" s="30">
        <v>0</v>
      </c>
      <c r="H849" s="39">
        <v>0</v>
      </c>
    </row>
    <row r="850" spans="1:8" hidden="1" x14ac:dyDescent="0.35">
      <c r="A850" s="3">
        <v>20106</v>
      </c>
      <c r="B850" s="11">
        <v>46143</v>
      </c>
      <c r="C850" s="3" t="s">
        <v>26</v>
      </c>
      <c r="D850" s="3" t="s">
        <v>19</v>
      </c>
      <c r="E850" s="3" t="s">
        <v>13</v>
      </c>
      <c r="F850" s="3" t="s">
        <v>7</v>
      </c>
      <c r="G850" s="30">
        <v>0</v>
      </c>
      <c r="H850" s="39">
        <v>0</v>
      </c>
    </row>
    <row r="851" spans="1:8" hidden="1" x14ac:dyDescent="0.35">
      <c r="A851" s="3">
        <v>20106</v>
      </c>
      <c r="B851" s="11">
        <v>46143</v>
      </c>
      <c r="C851" s="3" t="s">
        <v>26</v>
      </c>
      <c r="D851" s="3" t="s">
        <v>19</v>
      </c>
      <c r="E851" s="3" t="s">
        <v>13</v>
      </c>
      <c r="F851" s="3" t="s">
        <v>8</v>
      </c>
      <c r="G851" s="30">
        <v>0</v>
      </c>
      <c r="H851" s="39">
        <v>0</v>
      </c>
    </row>
    <row r="852" spans="1:8" hidden="1" x14ac:dyDescent="0.35">
      <c r="A852" s="3">
        <v>20106</v>
      </c>
      <c r="B852" s="11">
        <v>46143</v>
      </c>
      <c r="C852" s="3" t="s">
        <v>26</v>
      </c>
      <c r="D852" s="3" t="s">
        <v>19</v>
      </c>
      <c r="E852" s="3" t="s">
        <v>13</v>
      </c>
      <c r="F852" s="3" t="s">
        <v>15</v>
      </c>
      <c r="G852" s="30">
        <v>14721.65</v>
      </c>
      <c r="H852" s="39">
        <v>510</v>
      </c>
    </row>
    <row r="853" spans="1:8" hidden="1" x14ac:dyDescent="0.35">
      <c r="A853" s="3">
        <v>20106</v>
      </c>
      <c r="B853" s="11">
        <v>46143</v>
      </c>
      <c r="C853" s="3" t="s">
        <v>26</v>
      </c>
      <c r="D853" s="3" t="s">
        <v>19</v>
      </c>
      <c r="E853" s="3" t="s">
        <v>13</v>
      </c>
      <c r="F853" s="3" t="s">
        <v>65</v>
      </c>
      <c r="G853" s="30">
        <v>0</v>
      </c>
      <c r="H853" s="39">
        <v>0</v>
      </c>
    </row>
    <row r="854" spans="1:8" hidden="1" x14ac:dyDescent="0.35">
      <c r="A854" s="10" t="s">
        <v>274</v>
      </c>
      <c r="B854" s="11">
        <v>46174</v>
      </c>
      <c r="C854" s="3" t="s">
        <v>48</v>
      </c>
      <c r="D854" s="3" t="s">
        <v>49</v>
      </c>
      <c r="E854" s="3" t="s">
        <v>52</v>
      </c>
      <c r="F854" s="3" t="s">
        <v>7</v>
      </c>
      <c r="G854" s="30">
        <v>0</v>
      </c>
      <c r="H854" s="39">
        <v>0</v>
      </c>
    </row>
    <row r="855" spans="1:8" hidden="1" x14ac:dyDescent="0.35">
      <c r="A855" s="10" t="s">
        <v>274</v>
      </c>
      <c r="B855" s="11">
        <v>46174</v>
      </c>
      <c r="C855" s="3" t="s">
        <v>48</v>
      </c>
      <c r="D855" s="3" t="s">
        <v>49</v>
      </c>
      <c r="E855" s="3" t="s">
        <v>52</v>
      </c>
      <c r="F855" s="3" t="s">
        <v>8</v>
      </c>
      <c r="G855" s="30">
        <v>0</v>
      </c>
      <c r="H855" s="39">
        <v>0</v>
      </c>
    </row>
    <row r="856" spans="1:8" hidden="1" x14ac:dyDescent="0.35">
      <c r="A856" s="10" t="s">
        <v>274</v>
      </c>
      <c r="B856" s="11">
        <v>46174</v>
      </c>
      <c r="C856" s="3" t="s">
        <v>48</v>
      </c>
      <c r="D856" s="3" t="s">
        <v>49</v>
      </c>
      <c r="E856" s="3" t="s">
        <v>52</v>
      </c>
      <c r="F856" s="3" t="s">
        <v>15</v>
      </c>
      <c r="G856" s="66">
        <v>89789.370062370057</v>
      </c>
      <c r="H856" s="39">
        <v>2040</v>
      </c>
    </row>
    <row r="857" spans="1:8" hidden="1" x14ac:dyDescent="0.35">
      <c r="A857" s="10" t="s">
        <v>274</v>
      </c>
      <c r="B857" s="11">
        <v>46174</v>
      </c>
      <c r="C857" s="3" t="s">
        <v>48</v>
      </c>
      <c r="D857" s="3" t="s">
        <v>49</v>
      </c>
      <c r="E857" s="3" t="s">
        <v>52</v>
      </c>
      <c r="F857" s="3" t="s">
        <v>65</v>
      </c>
      <c r="G857" s="30">
        <v>0</v>
      </c>
      <c r="H857" s="39">
        <v>0</v>
      </c>
    </row>
    <row r="858" spans="1:8" hidden="1" x14ac:dyDescent="0.35">
      <c r="A858" s="10" t="s">
        <v>275</v>
      </c>
      <c r="B858" s="11">
        <v>46174</v>
      </c>
      <c r="C858" s="3" t="s">
        <v>48</v>
      </c>
      <c r="D858" s="3" t="s">
        <v>49</v>
      </c>
      <c r="E858" s="3" t="s">
        <v>14</v>
      </c>
      <c r="F858" s="3" t="s">
        <v>7</v>
      </c>
      <c r="G858" s="30">
        <v>0</v>
      </c>
      <c r="H858" s="39">
        <v>0</v>
      </c>
    </row>
    <row r="859" spans="1:8" hidden="1" x14ac:dyDescent="0.35">
      <c r="A859" s="10" t="s">
        <v>275</v>
      </c>
      <c r="B859" s="11">
        <v>46174</v>
      </c>
      <c r="C859" s="3" t="s">
        <v>48</v>
      </c>
      <c r="D859" s="3" t="s">
        <v>49</v>
      </c>
      <c r="E859" s="3" t="s">
        <v>14</v>
      </c>
      <c r="F859" s="3" t="s">
        <v>8</v>
      </c>
      <c r="G859" s="30">
        <v>0</v>
      </c>
      <c r="H859" s="39">
        <v>0</v>
      </c>
    </row>
    <row r="860" spans="1:8" hidden="1" x14ac:dyDescent="0.35">
      <c r="A860" s="10" t="s">
        <v>275</v>
      </c>
      <c r="B860" s="11">
        <v>46174</v>
      </c>
      <c r="C860" s="3" t="s">
        <v>48</v>
      </c>
      <c r="D860" s="3" t="s">
        <v>49</v>
      </c>
      <c r="E860" s="3" t="s">
        <v>14</v>
      </c>
      <c r="F860" s="3" t="s">
        <v>15</v>
      </c>
      <c r="G860" s="30">
        <v>17995.57</v>
      </c>
      <c r="H860" s="39">
        <v>936</v>
      </c>
    </row>
    <row r="861" spans="1:8" hidden="1" x14ac:dyDescent="0.35">
      <c r="A861" s="10" t="s">
        <v>275</v>
      </c>
      <c r="B861" s="11">
        <v>46174</v>
      </c>
      <c r="C861" s="3" t="s">
        <v>48</v>
      </c>
      <c r="D861" s="3" t="s">
        <v>49</v>
      </c>
      <c r="E861" s="3" t="s">
        <v>14</v>
      </c>
      <c r="F861" s="3" t="s">
        <v>65</v>
      </c>
      <c r="G861" s="30">
        <v>0</v>
      </c>
      <c r="H861" s="39">
        <v>0</v>
      </c>
    </row>
    <row r="862" spans="1:8" hidden="1" x14ac:dyDescent="0.35">
      <c r="A862" s="10" t="s">
        <v>190</v>
      </c>
      <c r="B862" s="11">
        <v>46174</v>
      </c>
      <c r="C862" s="3" t="s">
        <v>22</v>
      </c>
      <c r="D862" s="3" t="s">
        <v>11</v>
      </c>
      <c r="E862" s="3" t="str">
        <f>_xlfn.XLOOKUP(TabReceitas[[#This Row],[ID]],TabCondicoesComerciais[ID],TabCondicoesComerciais[Congênere],"Verificar")</f>
        <v>Rede Sol</v>
      </c>
      <c r="F862" s="3" t="s">
        <v>7</v>
      </c>
      <c r="G862" s="30">
        <v>0</v>
      </c>
      <c r="H862" s="39">
        <v>0</v>
      </c>
    </row>
    <row r="863" spans="1:8" hidden="1" x14ac:dyDescent="0.35">
      <c r="A863" s="10" t="s">
        <v>190</v>
      </c>
      <c r="B863" s="11">
        <v>46174</v>
      </c>
      <c r="C863" s="3" t="s">
        <v>22</v>
      </c>
      <c r="D863" s="3" t="s">
        <v>11</v>
      </c>
      <c r="E863" s="3" t="str">
        <f>_xlfn.XLOOKUP(TabReceitas[[#This Row],[ID]],TabCondicoesComerciais[ID],TabCondicoesComerciais[Congênere],"Verificar")</f>
        <v>Rede Sol</v>
      </c>
      <c r="F863" s="3" t="s">
        <v>8</v>
      </c>
      <c r="G863" s="30">
        <v>0</v>
      </c>
      <c r="H863" s="39">
        <v>0</v>
      </c>
    </row>
    <row r="864" spans="1:8" hidden="1" x14ac:dyDescent="0.35">
      <c r="A864" s="10" t="s">
        <v>190</v>
      </c>
      <c r="B864" s="11">
        <v>46174</v>
      </c>
      <c r="C864" s="3" t="s">
        <v>22</v>
      </c>
      <c r="D864" s="3" t="s">
        <v>11</v>
      </c>
      <c r="E864" s="3" t="str">
        <f>_xlfn.XLOOKUP(TabReceitas[[#This Row],[ID]],TabCondicoesComerciais[ID],TabCondicoesComerciais[Congênere],"Verificar")</f>
        <v>Rede Sol</v>
      </c>
      <c r="F864" s="3" t="s">
        <v>15</v>
      </c>
      <c r="G864" s="30">
        <v>0</v>
      </c>
      <c r="H864" s="39">
        <v>0</v>
      </c>
    </row>
    <row r="865" spans="1:8" hidden="1" x14ac:dyDescent="0.35">
      <c r="A865" s="10" t="s">
        <v>190</v>
      </c>
      <c r="B865" s="11">
        <v>46174</v>
      </c>
      <c r="C865" s="3" t="s">
        <v>22</v>
      </c>
      <c r="D865" s="3" t="s">
        <v>11</v>
      </c>
      <c r="E865" s="3" t="str">
        <f>_xlfn.XLOOKUP(TabReceitas[[#This Row],[ID]],TabCondicoesComerciais[ID],TabCondicoesComerciais[Congênere],"Verificar")</f>
        <v>Rede Sol</v>
      </c>
      <c r="F865" s="3" t="s">
        <v>65</v>
      </c>
      <c r="G865" s="30">
        <v>0</v>
      </c>
      <c r="H865" s="39">
        <v>0</v>
      </c>
    </row>
    <row r="866" spans="1:8" hidden="1" x14ac:dyDescent="0.35">
      <c r="A866" s="10" t="s">
        <v>172</v>
      </c>
      <c r="B866" s="11">
        <v>46174</v>
      </c>
      <c r="C866" s="3" t="s">
        <v>22</v>
      </c>
      <c r="D866" s="3" t="s">
        <v>11</v>
      </c>
      <c r="E866" s="3" t="str">
        <f>_xlfn.XLOOKUP(TabReceitas[[#This Row],[ID]],TabCondicoesComerciais[ID],TabCondicoesComerciais[Congênere],"Verificar")</f>
        <v>Ruff</v>
      </c>
      <c r="F866" s="3" t="s">
        <v>7</v>
      </c>
      <c r="G866" s="30">
        <v>0</v>
      </c>
      <c r="H866" s="39">
        <v>0</v>
      </c>
    </row>
    <row r="867" spans="1:8" hidden="1" x14ac:dyDescent="0.35">
      <c r="A867" s="10" t="s">
        <v>172</v>
      </c>
      <c r="B867" s="11">
        <v>46174</v>
      </c>
      <c r="C867" s="3" t="s">
        <v>22</v>
      </c>
      <c r="D867" s="3" t="s">
        <v>11</v>
      </c>
      <c r="E867" s="3" t="str">
        <f>_xlfn.XLOOKUP(TabReceitas[[#This Row],[ID]],TabCondicoesComerciais[ID],TabCondicoesComerciais[Congênere],"Verificar")</f>
        <v>Ruff</v>
      </c>
      <c r="F867" s="3" t="s">
        <v>8</v>
      </c>
      <c r="G867" s="30">
        <v>0</v>
      </c>
      <c r="H867" s="39">
        <v>0</v>
      </c>
    </row>
    <row r="868" spans="1:8" hidden="1" x14ac:dyDescent="0.35">
      <c r="A868" s="10" t="s">
        <v>172</v>
      </c>
      <c r="B868" s="11">
        <v>46174</v>
      </c>
      <c r="C868" s="3" t="s">
        <v>22</v>
      </c>
      <c r="D868" s="3" t="s">
        <v>11</v>
      </c>
      <c r="E868" s="3" t="str">
        <f>_xlfn.XLOOKUP(TabReceitas[[#This Row],[ID]],TabCondicoesComerciais[ID],TabCondicoesComerciais[Congênere],"Verificar")</f>
        <v>Ruff</v>
      </c>
      <c r="F868" s="3" t="s">
        <v>15</v>
      </c>
      <c r="G868" s="30">
        <v>0</v>
      </c>
      <c r="H868" s="39">
        <v>0</v>
      </c>
    </row>
    <row r="869" spans="1:8" hidden="1" x14ac:dyDescent="0.35">
      <c r="A869" s="10" t="s">
        <v>172</v>
      </c>
      <c r="B869" s="11">
        <v>46174</v>
      </c>
      <c r="C869" s="3" t="s">
        <v>22</v>
      </c>
      <c r="D869" s="3" t="s">
        <v>11</v>
      </c>
      <c r="E869" s="3" t="str">
        <f>_xlfn.XLOOKUP(TabReceitas[[#This Row],[ID]],TabCondicoesComerciais[ID],TabCondicoesComerciais[Congênere],"Verificar")</f>
        <v>Ruff</v>
      </c>
      <c r="F869" s="3" t="s">
        <v>65</v>
      </c>
      <c r="G869" s="30">
        <v>0</v>
      </c>
      <c r="H869" s="39">
        <v>0</v>
      </c>
    </row>
    <row r="870" spans="1:8" hidden="1" x14ac:dyDescent="0.35">
      <c r="A870" s="10" t="s">
        <v>177</v>
      </c>
      <c r="B870" s="11">
        <v>46174</v>
      </c>
      <c r="C870" s="3" t="s">
        <v>46</v>
      </c>
      <c r="D870" s="3" t="s">
        <v>87</v>
      </c>
      <c r="E870" s="3" t="s">
        <v>9</v>
      </c>
      <c r="F870" s="3" t="s">
        <v>7</v>
      </c>
      <c r="G870" s="30">
        <v>0</v>
      </c>
      <c r="H870" s="39">
        <v>0</v>
      </c>
    </row>
    <row r="871" spans="1:8" hidden="1" x14ac:dyDescent="0.35">
      <c r="A871" s="10" t="s">
        <v>177</v>
      </c>
      <c r="B871" s="11">
        <v>46174</v>
      </c>
      <c r="C871" s="3" t="s">
        <v>46</v>
      </c>
      <c r="D871" s="3" t="s">
        <v>87</v>
      </c>
      <c r="E871" s="3" t="s">
        <v>9</v>
      </c>
      <c r="F871" s="3" t="s">
        <v>8</v>
      </c>
      <c r="G871" s="30">
        <v>0</v>
      </c>
      <c r="H871" s="39">
        <v>0</v>
      </c>
    </row>
    <row r="872" spans="1:8" hidden="1" x14ac:dyDescent="0.35">
      <c r="A872" s="10" t="s">
        <v>177</v>
      </c>
      <c r="B872" s="11">
        <v>46174</v>
      </c>
      <c r="C872" s="3" t="s">
        <v>46</v>
      </c>
      <c r="D872" s="3" t="s">
        <v>87</v>
      </c>
      <c r="E872" s="3" t="s">
        <v>9</v>
      </c>
      <c r="F872" s="3" t="s">
        <v>15</v>
      </c>
      <c r="G872" s="30">
        <v>65348.32</v>
      </c>
      <c r="H872" s="39">
        <v>1926</v>
      </c>
    </row>
    <row r="873" spans="1:8" hidden="1" x14ac:dyDescent="0.35">
      <c r="A873" s="10" t="s">
        <v>177</v>
      </c>
      <c r="B873" s="11">
        <v>46174</v>
      </c>
      <c r="C873" s="3" t="s">
        <v>46</v>
      </c>
      <c r="D873" s="3" t="s">
        <v>87</v>
      </c>
      <c r="E873" s="3" t="s">
        <v>9</v>
      </c>
      <c r="F873" s="3" t="s">
        <v>65</v>
      </c>
      <c r="G873" s="30">
        <v>0</v>
      </c>
      <c r="H873" s="39">
        <v>0</v>
      </c>
    </row>
    <row r="874" spans="1:8" hidden="1" x14ac:dyDescent="0.35">
      <c r="A874" s="10" t="s">
        <v>264</v>
      </c>
      <c r="B874" s="11">
        <v>46113</v>
      </c>
      <c r="C874" s="3" t="s">
        <v>25</v>
      </c>
      <c r="D874" s="3" t="s">
        <v>12</v>
      </c>
      <c r="E874" s="3" t="s">
        <v>9</v>
      </c>
      <c r="F874" s="3" t="s">
        <v>7</v>
      </c>
      <c r="G874" s="30">
        <v>0</v>
      </c>
      <c r="H874" s="39">
        <v>0</v>
      </c>
    </row>
    <row r="875" spans="1:8" hidden="1" x14ac:dyDescent="0.35">
      <c r="A875" s="10" t="s">
        <v>264</v>
      </c>
      <c r="B875" s="11">
        <v>46113</v>
      </c>
      <c r="C875" s="3" t="s">
        <v>25</v>
      </c>
      <c r="D875" s="3" t="s">
        <v>12</v>
      </c>
      <c r="E875" s="3" t="s">
        <v>9</v>
      </c>
      <c r="F875" s="3" t="s">
        <v>8</v>
      </c>
      <c r="G875" s="30">
        <v>0</v>
      </c>
      <c r="H875" s="39">
        <v>0</v>
      </c>
    </row>
    <row r="876" spans="1:8" hidden="1" x14ac:dyDescent="0.35">
      <c r="A876" s="10" t="s">
        <v>264</v>
      </c>
      <c r="B876" s="11">
        <v>46113</v>
      </c>
      <c r="C876" s="3" t="s">
        <v>25</v>
      </c>
      <c r="D876" s="3" t="s">
        <v>12</v>
      </c>
      <c r="E876" s="3" t="s">
        <v>9</v>
      </c>
      <c r="F876" s="3" t="s">
        <v>15</v>
      </c>
      <c r="G876" s="30">
        <v>164947.60916666666</v>
      </c>
      <c r="H876" s="39">
        <v>6100</v>
      </c>
    </row>
    <row r="877" spans="1:8" hidden="1" x14ac:dyDescent="0.35">
      <c r="A877" s="10" t="s">
        <v>134</v>
      </c>
      <c r="B877" s="11">
        <v>46174</v>
      </c>
      <c r="C877" s="3" t="s">
        <v>57</v>
      </c>
      <c r="D877" s="3" t="s">
        <v>58</v>
      </c>
      <c r="E877" s="3" t="s">
        <v>10</v>
      </c>
      <c r="F877" s="3" t="s">
        <v>7</v>
      </c>
      <c r="G877" s="30">
        <v>0</v>
      </c>
      <c r="H877" s="39">
        <v>0</v>
      </c>
    </row>
    <row r="878" spans="1:8" hidden="1" x14ac:dyDescent="0.35">
      <c r="A878" s="10" t="s">
        <v>134</v>
      </c>
      <c r="B878" s="11">
        <v>46174</v>
      </c>
      <c r="C878" s="3" t="s">
        <v>57</v>
      </c>
      <c r="D878" s="3" t="s">
        <v>58</v>
      </c>
      <c r="E878" s="3" t="s">
        <v>10</v>
      </c>
      <c r="F878" s="3" t="s">
        <v>8</v>
      </c>
      <c r="G878" s="30">
        <v>0</v>
      </c>
      <c r="H878" s="39">
        <v>0</v>
      </c>
    </row>
    <row r="879" spans="1:8" hidden="1" x14ac:dyDescent="0.35">
      <c r="A879" s="10" t="s">
        <v>134</v>
      </c>
      <c r="B879" s="11">
        <v>46174</v>
      </c>
      <c r="C879" s="3" t="s">
        <v>57</v>
      </c>
      <c r="D879" s="3" t="s">
        <v>58</v>
      </c>
      <c r="E879" s="3" t="s">
        <v>10</v>
      </c>
      <c r="F879" s="3" t="s">
        <v>15</v>
      </c>
      <c r="G879" s="30">
        <v>35019.49</v>
      </c>
      <c r="H879" s="39">
        <v>1100</v>
      </c>
    </row>
    <row r="880" spans="1:8" hidden="1" x14ac:dyDescent="0.35">
      <c r="A880" s="10" t="s">
        <v>134</v>
      </c>
      <c r="B880" s="11">
        <v>46174</v>
      </c>
      <c r="C880" s="3" t="s">
        <v>57</v>
      </c>
      <c r="D880" s="3" t="s">
        <v>58</v>
      </c>
      <c r="E880" s="3" t="s">
        <v>10</v>
      </c>
      <c r="F880" s="3" t="s">
        <v>65</v>
      </c>
      <c r="G880" s="30">
        <v>0</v>
      </c>
      <c r="H880" s="39">
        <v>0</v>
      </c>
    </row>
    <row r="881" spans="1:8" hidden="1" x14ac:dyDescent="0.35">
      <c r="A881" s="10" t="s">
        <v>314</v>
      </c>
      <c r="B881" s="11">
        <v>46174</v>
      </c>
      <c r="C881" s="3" t="s">
        <v>26</v>
      </c>
      <c r="D881" s="3" t="s">
        <v>19</v>
      </c>
      <c r="E881" s="3" t="s">
        <v>13</v>
      </c>
      <c r="F881" s="3" t="s">
        <v>7</v>
      </c>
      <c r="G881" s="30">
        <v>0</v>
      </c>
      <c r="H881" s="39">
        <v>0</v>
      </c>
    </row>
    <row r="882" spans="1:8" hidden="1" x14ac:dyDescent="0.35">
      <c r="A882" s="10" t="s">
        <v>314</v>
      </c>
      <c r="B882" s="11">
        <v>46174</v>
      </c>
      <c r="C882" s="3" t="s">
        <v>26</v>
      </c>
      <c r="D882" s="3" t="s">
        <v>19</v>
      </c>
      <c r="E882" s="3" t="s">
        <v>13</v>
      </c>
      <c r="F882" s="3" t="s">
        <v>8</v>
      </c>
      <c r="G882" s="30">
        <v>0</v>
      </c>
      <c r="H882" s="39">
        <v>0</v>
      </c>
    </row>
    <row r="883" spans="1:8" hidden="1" x14ac:dyDescent="0.35">
      <c r="A883" s="10" t="s">
        <v>314</v>
      </c>
      <c r="B883" s="11">
        <v>46174</v>
      </c>
      <c r="C883" s="3" t="s">
        <v>26</v>
      </c>
      <c r="D883" s="3" t="s">
        <v>19</v>
      </c>
      <c r="E883" s="3" t="s">
        <v>13</v>
      </c>
      <c r="F883" s="3" t="s">
        <v>15</v>
      </c>
      <c r="G883" s="30">
        <v>15310.52</v>
      </c>
      <c r="H883" s="67">
        <v>510</v>
      </c>
    </row>
    <row r="884" spans="1:8" hidden="1" x14ac:dyDescent="0.35">
      <c r="A884" s="10" t="s">
        <v>314</v>
      </c>
      <c r="B884" s="11">
        <v>46174</v>
      </c>
      <c r="C884" s="3" t="s">
        <v>26</v>
      </c>
      <c r="D884" s="3" t="s">
        <v>19</v>
      </c>
      <c r="E884" s="3" t="s">
        <v>13</v>
      </c>
      <c r="F884" s="3" t="s">
        <v>65</v>
      </c>
      <c r="G884" s="30">
        <v>0</v>
      </c>
      <c r="H884" s="39">
        <v>0</v>
      </c>
    </row>
    <row r="885" spans="1:8" hidden="1" x14ac:dyDescent="0.35">
      <c r="A885" s="10" t="s">
        <v>274</v>
      </c>
      <c r="B885" s="11">
        <v>46204</v>
      </c>
      <c r="C885" s="3" t="s">
        <v>48</v>
      </c>
      <c r="D885" s="3" t="s">
        <v>49</v>
      </c>
      <c r="E885" s="3" t="s">
        <v>52</v>
      </c>
      <c r="F885" s="3" t="s">
        <v>7</v>
      </c>
      <c r="G885" s="30">
        <v>0</v>
      </c>
      <c r="H885" s="39">
        <v>0</v>
      </c>
    </row>
    <row r="886" spans="1:8" hidden="1" x14ac:dyDescent="0.35">
      <c r="A886" s="10" t="s">
        <v>274</v>
      </c>
      <c r="B886" s="11">
        <v>46204</v>
      </c>
      <c r="C886" s="3" t="s">
        <v>48</v>
      </c>
      <c r="D886" s="3" t="s">
        <v>49</v>
      </c>
      <c r="E886" s="3" t="s">
        <v>52</v>
      </c>
      <c r="F886" s="3" t="s">
        <v>8</v>
      </c>
      <c r="G886" s="30">
        <v>0</v>
      </c>
      <c r="H886" s="39">
        <v>0</v>
      </c>
    </row>
    <row r="887" spans="1:8" hidden="1" x14ac:dyDescent="0.35">
      <c r="A887" s="10" t="s">
        <v>274</v>
      </c>
      <c r="B887" s="11">
        <v>46204</v>
      </c>
      <c r="C887" s="3" t="s">
        <v>48</v>
      </c>
      <c r="D887" s="3" t="s">
        <v>49</v>
      </c>
      <c r="E887" s="3" t="s">
        <v>52</v>
      </c>
      <c r="F887" s="3" t="s">
        <v>15</v>
      </c>
      <c r="G887" s="30">
        <v>89789.370062370057</v>
      </c>
      <c r="H887" s="39">
        <v>2040</v>
      </c>
    </row>
    <row r="888" spans="1:8" hidden="1" x14ac:dyDescent="0.35">
      <c r="A888" s="10" t="s">
        <v>274</v>
      </c>
      <c r="B888" s="11">
        <v>46204</v>
      </c>
      <c r="C888" s="3" t="s">
        <v>48</v>
      </c>
      <c r="D888" s="3" t="s">
        <v>49</v>
      </c>
      <c r="E888" s="3" t="s">
        <v>52</v>
      </c>
      <c r="F888" s="3" t="s">
        <v>65</v>
      </c>
      <c r="G888" s="30">
        <v>0</v>
      </c>
      <c r="H888" s="39">
        <v>0</v>
      </c>
    </row>
    <row r="889" spans="1:8" hidden="1" x14ac:dyDescent="0.35">
      <c r="A889" s="10" t="s">
        <v>275</v>
      </c>
      <c r="B889" s="11">
        <v>46204</v>
      </c>
      <c r="C889" s="3" t="s">
        <v>48</v>
      </c>
      <c r="D889" s="3" t="s">
        <v>49</v>
      </c>
      <c r="E889" s="3" t="s">
        <v>14</v>
      </c>
      <c r="F889" s="3" t="s">
        <v>7</v>
      </c>
      <c r="G889" s="30">
        <v>0</v>
      </c>
      <c r="H889" s="39">
        <v>0</v>
      </c>
    </row>
    <row r="890" spans="1:8" hidden="1" x14ac:dyDescent="0.35">
      <c r="A890" s="10" t="s">
        <v>275</v>
      </c>
      <c r="B890" s="11">
        <v>46204</v>
      </c>
      <c r="C890" s="3" t="s">
        <v>48</v>
      </c>
      <c r="D890" s="3" t="s">
        <v>49</v>
      </c>
      <c r="E890" s="3" t="s">
        <v>14</v>
      </c>
      <c r="F890" s="3" t="s">
        <v>8</v>
      </c>
      <c r="G890" s="30">
        <v>0</v>
      </c>
      <c r="H890" s="39">
        <v>0</v>
      </c>
    </row>
    <row r="891" spans="1:8" hidden="1" x14ac:dyDescent="0.35">
      <c r="A891" s="10" t="s">
        <v>275</v>
      </c>
      <c r="B891" s="11">
        <v>46204</v>
      </c>
      <c r="C891" s="3" t="s">
        <v>48</v>
      </c>
      <c r="D891" s="3" t="s">
        <v>49</v>
      </c>
      <c r="E891" s="3" t="s">
        <v>14</v>
      </c>
      <c r="F891" s="3" t="s">
        <v>15</v>
      </c>
      <c r="G891" s="30">
        <v>17995.57</v>
      </c>
      <c r="H891" s="67">
        <v>936</v>
      </c>
    </row>
    <row r="892" spans="1:8" hidden="1" x14ac:dyDescent="0.35">
      <c r="A892" s="10" t="s">
        <v>275</v>
      </c>
      <c r="B892" s="11">
        <v>46204</v>
      </c>
      <c r="C892" s="3" t="s">
        <v>48</v>
      </c>
      <c r="D892" s="3" t="s">
        <v>49</v>
      </c>
      <c r="E892" s="3" t="s">
        <v>14</v>
      </c>
      <c r="F892" s="3" t="s">
        <v>65</v>
      </c>
      <c r="G892" s="30">
        <v>0</v>
      </c>
      <c r="H892" s="39">
        <v>0</v>
      </c>
    </row>
    <row r="893" spans="1:8" hidden="1" x14ac:dyDescent="0.35">
      <c r="A893" s="10" t="s">
        <v>190</v>
      </c>
      <c r="B893" s="11">
        <v>46204</v>
      </c>
      <c r="C893" s="3" t="s">
        <v>22</v>
      </c>
      <c r="D893" s="3" t="s">
        <v>11</v>
      </c>
      <c r="E893" s="3" t="str">
        <f>_xlfn.XLOOKUP(TabReceitas[[#This Row],[ID]],TabCondicoesComerciais[ID],TabCondicoesComerciais[Congênere],"Verificar")</f>
        <v>Rede Sol</v>
      </c>
      <c r="F893" s="3" t="s">
        <v>7</v>
      </c>
      <c r="G893" s="30">
        <v>0</v>
      </c>
      <c r="H893" s="39">
        <v>0</v>
      </c>
    </row>
    <row r="894" spans="1:8" hidden="1" x14ac:dyDescent="0.35">
      <c r="A894" s="10" t="s">
        <v>190</v>
      </c>
      <c r="B894" s="11">
        <v>46204</v>
      </c>
      <c r="C894" s="3" t="s">
        <v>22</v>
      </c>
      <c r="D894" s="3" t="s">
        <v>11</v>
      </c>
      <c r="E894" s="3" t="str">
        <f>_xlfn.XLOOKUP(TabReceitas[[#This Row],[ID]],TabCondicoesComerciais[ID],TabCondicoesComerciais[Congênere],"Verificar")</f>
        <v>Rede Sol</v>
      </c>
      <c r="F894" s="3" t="s">
        <v>8</v>
      </c>
      <c r="G894" s="30">
        <v>0</v>
      </c>
      <c r="H894" s="39">
        <v>0</v>
      </c>
    </row>
    <row r="895" spans="1:8" hidden="1" x14ac:dyDescent="0.35">
      <c r="A895" s="10" t="s">
        <v>190</v>
      </c>
      <c r="B895" s="11">
        <v>46204</v>
      </c>
      <c r="C895" s="3" t="s">
        <v>22</v>
      </c>
      <c r="D895" s="3" t="s">
        <v>11</v>
      </c>
      <c r="E895" s="3" t="str">
        <f>_xlfn.XLOOKUP(TabReceitas[[#This Row],[ID]],TabCondicoesComerciais[ID],TabCondicoesComerciais[Congênere],"Verificar")</f>
        <v>Rede Sol</v>
      </c>
      <c r="F895" s="3" t="s">
        <v>15</v>
      </c>
      <c r="G895" s="30">
        <v>0</v>
      </c>
      <c r="H895" s="39">
        <v>0</v>
      </c>
    </row>
    <row r="896" spans="1:8" hidden="1" x14ac:dyDescent="0.35">
      <c r="A896" s="10" t="s">
        <v>190</v>
      </c>
      <c r="B896" s="11">
        <v>46204</v>
      </c>
      <c r="C896" s="3" t="s">
        <v>22</v>
      </c>
      <c r="D896" s="3" t="s">
        <v>11</v>
      </c>
      <c r="E896" s="3" t="str">
        <f>_xlfn.XLOOKUP(TabReceitas[[#This Row],[ID]],TabCondicoesComerciais[ID],TabCondicoesComerciais[Congênere],"Verificar")</f>
        <v>Rede Sol</v>
      </c>
      <c r="F896" s="3" t="s">
        <v>65</v>
      </c>
      <c r="G896" s="30">
        <v>0</v>
      </c>
      <c r="H896" s="39">
        <v>0</v>
      </c>
    </row>
    <row r="897" spans="1:8" hidden="1" x14ac:dyDescent="0.35">
      <c r="A897" s="10" t="s">
        <v>172</v>
      </c>
      <c r="B897" s="11">
        <v>46204</v>
      </c>
      <c r="C897" s="3" t="s">
        <v>22</v>
      </c>
      <c r="D897" s="3" t="s">
        <v>11</v>
      </c>
      <c r="E897" s="3" t="str">
        <f>_xlfn.XLOOKUP(TabReceitas[[#This Row],[ID]],TabCondicoesComerciais[ID],TabCondicoesComerciais[Congênere],"Verificar")</f>
        <v>Ruff</v>
      </c>
      <c r="F897" s="3" t="s">
        <v>7</v>
      </c>
      <c r="G897" s="30">
        <v>0</v>
      </c>
      <c r="H897" s="39">
        <v>0</v>
      </c>
    </row>
    <row r="898" spans="1:8" hidden="1" x14ac:dyDescent="0.35">
      <c r="A898" s="10" t="s">
        <v>172</v>
      </c>
      <c r="B898" s="11">
        <v>46204</v>
      </c>
      <c r="C898" s="3" t="s">
        <v>22</v>
      </c>
      <c r="D898" s="3" t="s">
        <v>11</v>
      </c>
      <c r="E898" s="3" t="str">
        <f>_xlfn.XLOOKUP(TabReceitas[[#This Row],[ID]],TabCondicoesComerciais[ID],TabCondicoesComerciais[Congênere],"Verificar")</f>
        <v>Ruff</v>
      </c>
      <c r="F898" s="3" t="s">
        <v>8</v>
      </c>
      <c r="G898" s="30">
        <v>0</v>
      </c>
      <c r="H898" s="39">
        <v>0</v>
      </c>
    </row>
    <row r="899" spans="1:8" hidden="1" x14ac:dyDescent="0.35">
      <c r="A899" s="10" t="s">
        <v>172</v>
      </c>
      <c r="B899" s="11">
        <v>46204</v>
      </c>
      <c r="C899" s="3" t="s">
        <v>22</v>
      </c>
      <c r="D899" s="3" t="s">
        <v>11</v>
      </c>
      <c r="E899" s="3" t="str">
        <f>_xlfn.XLOOKUP(TabReceitas[[#This Row],[ID]],TabCondicoesComerciais[ID],TabCondicoesComerciais[Congênere],"Verificar")</f>
        <v>Ruff</v>
      </c>
      <c r="F899" s="3" t="s">
        <v>15</v>
      </c>
      <c r="G899" s="30">
        <v>0</v>
      </c>
      <c r="H899" s="39">
        <v>0</v>
      </c>
    </row>
    <row r="900" spans="1:8" hidden="1" x14ac:dyDescent="0.35">
      <c r="A900" s="10" t="s">
        <v>172</v>
      </c>
      <c r="B900" s="11">
        <v>46204</v>
      </c>
      <c r="C900" s="3" t="s">
        <v>22</v>
      </c>
      <c r="D900" s="3" t="s">
        <v>11</v>
      </c>
      <c r="E900" s="3" t="str">
        <f>_xlfn.XLOOKUP(TabReceitas[[#This Row],[ID]],TabCondicoesComerciais[ID],TabCondicoesComerciais[Congênere],"Verificar")</f>
        <v>Ruff</v>
      </c>
      <c r="F900" s="3" t="s">
        <v>65</v>
      </c>
      <c r="G900" s="30">
        <v>0</v>
      </c>
      <c r="H900" s="39">
        <v>0</v>
      </c>
    </row>
    <row r="901" spans="1:8" hidden="1" x14ac:dyDescent="0.35">
      <c r="A901" s="10" t="s">
        <v>177</v>
      </c>
      <c r="B901" s="11">
        <v>46204</v>
      </c>
      <c r="C901" s="3" t="s">
        <v>46</v>
      </c>
      <c r="D901" s="3" t="s">
        <v>87</v>
      </c>
      <c r="E901" s="3" t="s">
        <v>9</v>
      </c>
      <c r="F901" s="3" t="s">
        <v>7</v>
      </c>
      <c r="G901" s="30">
        <v>0</v>
      </c>
      <c r="H901" s="39">
        <v>0</v>
      </c>
    </row>
    <row r="902" spans="1:8" hidden="1" x14ac:dyDescent="0.35">
      <c r="A902" s="10" t="s">
        <v>177</v>
      </c>
      <c r="B902" s="11">
        <v>46204</v>
      </c>
      <c r="C902" s="3" t="s">
        <v>46</v>
      </c>
      <c r="D902" s="3" t="s">
        <v>87</v>
      </c>
      <c r="E902" s="3" t="s">
        <v>9</v>
      </c>
      <c r="F902" s="3" t="s">
        <v>8</v>
      </c>
      <c r="G902" s="30">
        <v>0</v>
      </c>
      <c r="H902" s="39">
        <v>0</v>
      </c>
    </row>
    <row r="903" spans="1:8" hidden="1" x14ac:dyDescent="0.35">
      <c r="A903" s="10" t="s">
        <v>177</v>
      </c>
      <c r="B903" s="11">
        <v>46204</v>
      </c>
      <c r="C903" s="3" t="s">
        <v>46</v>
      </c>
      <c r="D903" s="3" t="s">
        <v>87</v>
      </c>
      <c r="E903" s="3" t="s">
        <v>9</v>
      </c>
      <c r="F903" s="3" t="s">
        <v>15</v>
      </c>
      <c r="G903" s="30">
        <v>65348.32</v>
      </c>
      <c r="H903" s="67">
        <v>1926</v>
      </c>
    </row>
    <row r="904" spans="1:8" hidden="1" x14ac:dyDescent="0.35">
      <c r="A904" s="10" t="s">
        <v>177</v>
      </c>
      <c r="B904" s="11">
        <v>46204</v>
      </c>
      <c r="C904" s="3" t="s">
        <v>46</v>
      </c>
      <c r="D904" s="3" t="s">
        <v>87</v>
      </c>
      <c r="E904" s="3" t="s">
        <v>9</v>
      </c>
      <c r="F904" s="3" t="s">
        <v>65</v>
      </c>
      <c r="G904" s="30">
        <v>0</v>
      </c>
      <c r="H904" s="39">
        <v>0</v>
      </c>
    </row>
    <row r="905" spans="1:8" hidden="1" x14ac:dyDescent="0.35">
      <c r="A905" s="68">
        <v>16205</v>
      </c>
      <c r="B905" s="11">
        <v>46113</v>
      </c>
      <c r="C905" s="3" t="s">
        <v>25</v>
      </c>
      <c r="D905" s="3" t="s">
        <v>12</v>
      </c>
      <c r="E905" s="3" t="s">
        <v>9</v>
      </c>
      <c r="F905" s="3" t="s">
        <v>65</v>
      </c>
      <c r="G905" s="30">
        <v>0</v>
      </c>
      <c r="H905" s="39">
        <v>0</v>
      </c>
    </row>
    <row r="906" spans="1:8" hidden="1" x14ac:dyDescent="0.35">
      <c r="A906" s="10" t="s">
        <v>134</v>
      </c>
      <c r="B906" s="11">
        <v>46204</v>
      </c>
      <c r="C906" s="3" t="s">
        <v>57</v>
      </c>
      <c r="D906" s="3" t="s">
        <v>58</v>
      </c>
      <c r="E906" s="3" t="s">
        <v>10</v>
      </c>
      <c r="F906" s="3" t="s">
        <v>7</v>
      </c>
      <c r="G906" s="30">
        <v>0</v>
      </c>
      <c r="H906" s="39">
        <v>0</v>
      </c>
    </row>
    <row r="907" spans="1:8" hidden="1" x14ac:dyDescent="0.35">
      <c r="A907" s="10" t="s">
        <v>134</v>
      </c>
      <c r="B907" s="11">
        <v>46204</v>
      </c>
      <c r="C907" s="3" t="s">
        <v>57</v>
      </c>
      <c r="D907" s="3" t="s">
        <v>58</v>
      </c>
      <c r="E907" s="3" t="s">
        <v>10</v>
      </c>
      <c r="F907" s="3" t="s">
        <v>8</v>
      </c>
      <c r="G907" s="30">
        <v>0</v>
      </c>
      <c r="H907" s="39">
        <v>0</v>
      </c>
    </row>
    <row r="908" spans="1:8" hidden="1" x14ac:dyDescent="0.35">
      <c r="A908" s="10" t="s">
        <v>134</v>
      </c>
      <c r="B908" s="11">
        <v>46204</v>
      </c>
      <c r="C908" s="3" t="s">
        <v>57</v>
      </c>
      <c r="D908" s="3" t="s">
        <v>58</v>
      </c>
      <c r="E908" s="3" t="s">
        <v>10</v>
      </c>
      <c r="F908" s="3" t="s">
        <v>15</v>
      </c>
      <c r="G908" s="30">
        <v>35019.49</v>
      </c>
      <c r="H908" s="39">
        <v>1100</v>
      </c>
    </row>
    <row r="909" spans="1:8" hidden="1" x14ac:dyDescent="0.35">
      <c r="A909" s="10" t="s">
        <v>134</v>
      </c>
      <c r="B909" s="11">
        <v>46204</v>
      </c>
      <c r="C909" s="3" t="s">
        <v>57</v>
      </c>
      <c r="D909" s="3" t="s">
        <v>58</v>
      </c>
      <c r="E909" s="3" t="s">
        <v>10</v>
      </c>
      <c r="F909" s="3" t="s">
        <v>65</v>
      </c>
      <c r="G909" s="30">
        <v>0</v>
      </c>
      <c r="H909" s="39">
        <v>0</v>
      </c>
    </row>
    <row r="910" spans="1:8" hidden="1" x14ac:dyDescent="0.35">
      <c r="A910" s="10">
        <v>20105</v>
      </c>
      <c r="B910" s="11">
        <v>46204</v>
      </c>
      <c r="C910" s="3" t="s">
        <v>26</v>
      </c>
      <c r="D910" s="3" t="s">
        <v>19</v>
      </c>
      <c r="E910" s="3" t="s">
        <v>13</v>
      </c>
      <c r="F910" s="3" t="s">
        <v>7</v>
      </c>
      <c r="G910" s="30">
        <v>0</v>
      </c>
      <c r="H910" s="39">
        <v>0</v>
      </c>
    </row>
    <row r="911" spans="1:8" hidden="1" x14ac:dyDescent="0.35">
      <c r="A911" s="10">
        <v>20105</v>
      </c>
      <c r="B911" s="11">
        <v>46204</v>
      </c>
      <c r="C911" s="3" t="s">
        <v>26</v>
      </c>
      <c r="D911" s="3" t="s">
        <v>19</v>
      </c>
      <c r="E911" s="3" t="s">
        <v>13</v>
      </c>
      <c r="F911" s="3" t="s">
        <v>8</v>
      </c>
      <c r="G911" s="30">
        <v>0</v>
      </c>
      <c r="H911" s="39">
        <v>0</v>
      </c>
    </row>
    <row r="912" spans="1:8" hidden="1" x14ac:dyDescent="0.35">
      <c r="A912" s="10">
        <v>20105</v>
      </c>
      <c r="B912" s="11">
        <v>46204</v>
      </c>
      <c r="C912" s="3" t="s">
        <v>26</v>
      </c>
      <c r="D912" s="3" t="s">
        <v>19</v>
      </c>
      <c r="E912" s="3" t="s">
        <v>13</v>
      </c>
      <c r="F912" s="3" t="s">
        <v>15</v>
      </c>
      <c r="G912" s="30">
        <v>15310.52</v>
      </c>
      <c r="H912" s="39">
        <v>510</v>
      </c>
    </row>
    <row r="913" spans="1:8" hidden="1" x14ac:dyDescent="0.35">
      <c r="A913" s="10">
        <v>20105</v>
      </c>
      <c r="B913" s="11">
        <v>46204</v>
      </c>
      <c r="C913" s="3" t="s">
        <v>26</v>
      </c>
      <c r="D913" s="3" t="s">
        <v>19</v>
      </c>
      <c r="E913" s="3" t="s">
        <v>13</v>
      </c>
      <c r="F913" s="3" t="s">
        <v>65</v>
      </c>
      <c r="G913" s="30">
        <v>0</v>
      </c>
      <c r="H913" s="39">
        <v>0</v>
      </c>
    </row>
    <row r="914" spans="1:8" hidden="1" x14ac:dyDescent="0.35">
      <c r="A914" s="10" t="s">
        <v>274</v>
      </c>
      <c r="B914" s="11">
        <v>46235</v>
      </c>
      <c r="C914" s="3" t="s">
        <v>48</v>
      </c>
      <c r="D914" s="3" t="s">
        <v>49</v>
      </c>
      <c r="E914" s="3" t="s">
        <v>52</v>
      </c>
      <c r="F914" s="3" t="s">
        <v>7</v>
      </c>
      <c r="G914" s="30">
        <v>0</v>
      </c>
      <c r="H914" s="39">
        <v>0</v>
      </c>
    </row>
    <row r="915" spans="1:8" hidden="1" x14ac:dyDescent="0.35">
      <c r="A915" s="10" t="s">
        <v>274</v>
      </c>
      <c r="B915" s="11">
        <v>46235</v>
      </c>
      <c r="C915" s="3" t="s">
        <v>48</v>
      </c>
      <c r="D915" s="3" t="s">
        <v>49</v>
      </c>
      <c r="E915" s="3" t="s">
        <v>52</v>
      </c>
      <c r="F915" s="3" t="s">
        <v>8</v>
      </c>
      <c r="G915" s="30">
        <v>0</v>
      </c>
      <c r="H915" s="39">
        <v>0</v>
      </c>
    </row>
    <row r="916" spans="1:8" hidden="1" x14ac:dyDescent="0.35">
      <c r="A916" s="10" t="s">
        <v>274</v>
      </c>
      <c r="B916" s="11">
        <v>46235</v>
      </c>
      <c r="C916" s="3" t="s">
        <v>48</v>
      </c>
      <c r="D916" s="3" t="s">
        <v>49</v>
      </c>
      <c r="E916" s="3" t="s">
        <v>52</v>
      </c>
      <c r="F916" s="3" t="s">
        <v>15</v>
      </c>
      <c r="G916" s="30">
        <v>89789.370062370057</v>
      </c>
      <c r="H916" s="39">
        <v>2040</v>
      </c>
    </row>
    <row r="917" spans="1:8" hidden="1" x14ac:dyDescent="0.35">
      <c r="A917" s="10" t="s">
        <v>274</v>
      </c>
      <c r="B917" s="11">
        <v>46235</v>
      </c>
      <c r="C917" s="3" t="s">
        <v>48</v>
      </c>
      <c r="D917" s="3" t="s">
        <v>49</v>
      </c>
      <c r="E917" s="3" t="s">
        <v>52</v>
      </c>
      <c r="F917" s="3" t="s">
        <v>65</v>
      </c>
      <c r="G917" s="30">
        <v>0</v>
      </c>
      <c r="H917" s="39">
        <v>0</v>
      </c>
    </row>
    <row r="918" spans="1:8" hidden="1" x14ac:dyDescent="0.35">
      <c r="A918" s="10" t="s">
        <v>275</v>
      </c>
      <c r="B918" s="11">
        <v>46235</v>
      </c>
      <c r="C918" s="3" t="s">
        <v>48</v>
      </c>
      <c r="D918" s="3" t="s">
        <v>49</v>
      </c>
      <c r="E918" s="3" t="s">
        <v>14</v>
      </c>
      <c r="F918" s="3" t="s">
        <v>7</v>
      </c>
      <c r="G918" s="30">
        <v>0</v>
      </c>
      <c r="H918" s="39">
        <v>0</v>
      </c>
    </row>
    <row r="919" spans="1:8" hidden="1" x14ac:dyDescent="0.35">
      <c r="A919" s="10" t="s">
        <v>275</v>
      </c>
      <c r="B919" s="11">
        <v>46235</v>
      </c>
      <c r="C919" s="3" t="s">
        <v>48</v>
      </c>
      <c r="D919" s="3" t="s">
        <v>49</v>
      </c>
      <c r="E919" s="3" t="s">
        <v>14</v>
      </c>
      <c r="F919" s="3" t="s">
        <v>8</v>
      </c>
      <c r="G919" s="30">
        <v>0</v>
      </c>
      <c r="H919" s="39">
        <v>0</v>
      </c>
    </row>
    <row r="920" spans="1:8" hidden="1" x14ac:dyDescent="0.35">
      <c r="A920" s="10" t="s">
        <v>275</v>
      </c>
      <c r="B920" s="11">
        <v>46235</v>
      </c>
      <c r="C920" s="3" t="s">
        <v>48</v>
      </c>
      <c r="D920" s="3" t="s">
        <v>49</v>
      </c>
      <c r="E920" s="3" t="s">
        <v>14</v>
      </c>
      <c r="F920" s="3" t="s">
        <v>15</v>
      </c>
      <c r="G920" s="30">
        <v>17995.57</v>
      </c>
      <c r="H920" s="39">
        <v>936</v>
      </c>
    </row>
    <row r="921" spans="1:8" hidden="1" x14ac:dyDescent="0.35">
      <c r="A921" s="10" t="s">
        <v>275</v>
      </c>
      <c r="B921" s="11">
        <v>46235</v>
      </c>
      <c r="C921" s="3" t="s">
        <v>48</v>
      </c>
      <c r="D921" s="3" t="s">
        <v>49</v>
      </c>
      <c r="E921" s="3" t="s">
        <v>14</v>
      </c>
      <c r="F921" s="3" t="s">
        <v>65</v>
      </c>
      <c r="G921" s="30">
        <v>0</v>
      </c>
      <c r="H921" s="39">
        <v>0</v>
      </c>
    </row>
    <row r="922" spans="1:8" hidden="1" x14ac:dyDescent="0.35">
      <c r="A922" s="10" t="s">
        <v>190</v>
      </c>
      <c r="B922" s="11">
        <v>46235</v>
      </c>
      <c r="C922" s="3" t="s">
        <v>22</v>
      </c>
      <c r="D922" s="3" t="s">
        <v>11</v>
      </c>
      <c r="E922" s="3" t="str">
        <f>_xlfn.XLOOKUP(TabReceitas[[#This Row],[ID]],TabCondicoesComerciais[ID],TabCondicoesComerciais[Congênere],"Verificar")</f>
        <v>Rede Sol</v>
      </c>
      <c r="F922" s="3" t="s">
        <v>7</v>
      </c>
      <c r="G922" s="30">
        <v>0</v>
      </c>
      <c r="H922" s="39">
        <v>0</v>
      </c>
    </row>
    <row r="923" spans="1:8" hidden="1" x14ac:dyDescent="0.35">
      <c r="A923" s="10" t="s">
        <v>190</v>
      </c>
      <c r="B923" s="11">
        <v>46235</v>
      </c>
      <c r="C923" s="3" t="s">
        <v>22</v>
      </c>
      <c r="D923" s="3" t="s">
        <v>11</v>
      </c>
      <c r="E923" s="3" t="str">
        <f>_xlfn.XLOOKUP(TabReceitas[[#This Row],[ID]],TabCondicoesComerciais[ID],TabCondicoesComerciais[Congênere],"Verificar")</f>
        <v>Rede Sol</v>
      </c>
      <c r="F923" s="3" t="s">
        <v>8</v>
      </c>
      <c r="G923" s="30">
        <v>0</v>
      </c>
      <c r="H923" s="39">
        <v>0</v>
      </c>
    </row>
    <row r="924" spans="1:8" hidden="1" x14ac:dyDescent="0.35">
      <c r="A924" s="10" t="s">
        <v>190</v>
      </c>
      <c r="B924" s="11">
        <v>46235</v>
      </c>
      <c r="C924" s="3" t="s">
        <v>22</v>
      </c>
      <c r="D924" s="3" t="s">
        <v>11</v>
      </c>
      <c r="E924" s="3" t="str">
        <f>_xlfn.XLOOKUP(TabReceitas[[#This Row],[ID]],TabCondicoesComerciais[ID],TabCondicoesComerciais[Congênere],"Verificar")</f>
        <v>Rede Sol</v>
      </c>
      <c r="F924" s="3" t="s">
        <v>15</v>
      </c>
      <c r="G924" s="30">
        <v>0</v>
      </c>
      <c r="H924" s="39">
        <v>0</v>
      </c>
    </row>
    <row r="925" spans="1:8" hidden="1" x14ac:dyDescent="0.35">
      <c r="A925" s="10" t="s">
        <v>190</v>
      </c>
      <c r="B925" s="11">
        <v>46235</v>
      </c>
      <c r="C925" s="3" t="s">
        <v>22</v>
      </c>
      <c r="D925" s="3" t="s">
        <v>11</v>
      </c>
      <c r="E925" s="3" t="str">
        <f>_xlfn.XLOOKUP(TabReceitas[[#This Row],[ID]],TabCondicoesComerciais[ID],TabCondicoesComerciais[Congênere],"Verificar")</f>
        <v>Rede Sol</v>
      </c>
      <c r="F925" s="3" t="s">
        <v>65</v>
      </c>
      <c r="G925" s="30">
        <v>0</v>
      </c>
      <c r="H925" s="39">
        <v>0</v>
      </c>
    </row>
    <row r="926" spans="1:8" hidden="1" x14ac:dyDescent="0.35">
      <c r="A926" s="10" t="s">
        <v>172</v>
      </c>
      <c r="B926" s="11">
        <v>46235</v>
      </c>
      <c r="C926" s="3" t="s">
        <v>22</v>
      </c>
      <c r="D926" s="3" t="s">
        <v>11</v>
      </c>
      <c r="E926" s="3" t="str">
        <f>_xlfn.XLOOKUP(TabReceitas[[#This Row],[ID]],TabCondicoesComerciais[ID],TabCondicoesComerciais[Congênere],"Verificar")</f>
        <v>Ruff</v>
      </c>
      <c r="F926" s="3" t="s">
        <v>7</v>
      </c>
      <c r="G926" s="30">
        <v>0</v>
      </c>
      <c r="H926" s="39">
        <v>0</v>
      </c>
    </row>
    <row r="927" spans="1:8" hidden="1" x14ac:dyDescent="0.35">
      <c r="A927" s="10" t="s">
        <v>172</v>
      </c>
      <c r="B927" s="11">
        <v>46235</v>
      </c>
      <c r="C927" s="3" t="s">
        <v>22</v>
      </c>
      <c r="D927" s="3" t="s">
        <v>11</v>
      </c>
      <c r="E927" s="3" t="str">
        <f>_xlfn.XLOOKUP(TabReceitas[[#This Row],[ID]],TabCondicoesComerciais[ID],TabCondicoesComerciais[Congênere],"Verificar")</f>
        <v>Ruff</v>
      </c>
      <c r="F927" s="3" t="s">
        <v>8</v>
      </c>
      <c r="G927" s="30">
        <v>0</v>
      </c>
      <c r="H927" s="39">
        <v>0</v>
      </c>
    </row>
    <row r="928" spans="1:8" hidden="1" x14ac:dyDescent="0.35">
      <c r="A928" s="10" t="s">
        <v>172</v>
      </c>
      <c r="B928" s="11">
        <v>46235</v>
      </c>
      <c r="C928" s="3" t="s">
        <v>22</v>
      </c>
      <c r="D928" s="3" t="s">
        <v>11</v>
      </c>
      <c r="E928" s="3" t="str">
        <f>_xlfn.XLOOKUP(TabReceitas[[#This Row],[ID]],TabCondicoesComerciais[ID],TabCondicoesComerciais[Congênere],"Verificar")</f>
        <v>Ruff</v>
      </c>
      <c r="F928" s="3" t="s">
        <v>15</v>
      </c>
      <c r="G928" s="30">
        <v>0</v>
      </c>
      <c r="H928" s="39">
        <v>0</v>
      </c>
    </row>
    <row r="929" spans="1:8" hidden="1" x14ac:dyDescent="0.35">
      <c r="A929" s="10" t="s">
        <v>172</v>
      </c>
      <c r="B929" s="11">
        <v>46235</v>
      </c>
      <c r="C929" s="3" t="s">
        <v>22</v>
      </c>
      <c r="D929" s="3" t="s">
        <v>11</v>
      </c>
      <c r="E929" s="3" t="str">
        <f>_xlfn.XLOOKUP(TabReceitas[[#This Row],[ID]],TabCondicoesComerciais[ID],TabCondicoesComerciais[Congênere],"Verificar")</f>
        <v>Ruff</v>
      </c>
      <c r="F929" s="3" t="s">
        <v>65</v>
      </c>
      <c r="G929" s="30">
        <v>0</v>
      </c>
      <c r="H929" s="39">
        <v>0</v>
      </c>
    </row>
    <row r="930" spans="1:8" hidden="1" x14ac:dyDescent="0.35">
      <c r="A930" s="10" t="s">
        <v>177</v>
      </c>
      <c r="B930" s="11">
        <v>46235</v>
      </c>
      <c r="C930" s="3" t="s">
        <v>46</v>
      </c>
      <c r="D930" s="3" t="s">
        <v>87</v>
      </c>
      <c r="E930" s="3" t="s">
        <v>9</v>
      </c>
      <c r="F930" s="3" t="s">
        <v>7</v>
      </c>
      <c r="G930" s="30">
        <v>0</v>
      </c>
      <c r="H930" s="39">
        <v>0</v>
      </c>
    </row>
    <row r="931" spans="1:8" hidden="1" x14ac:dyDescent="0.35">
      <c r="A931" s="10" t="s">
        <v>177</v>
      </c>
      <c r="B931" s="11">
        <v>46235</v>
      </c>
      <c r="C931" s="3" t="s">
        <v>46</v>
      </c>
      <c r="D931" s="3" t="s">
        <v>87</v>
      </c>
      <c r="E931" s="3" t="s">
        <v>9</v>
      </c>
      <c r="F931" s="3" t="s">
        <v>8</v>
      </c>
      <c r="G931" s="30">
        <v>0</v>
      </c>
      <c r="H931" s="39">
        <v>0</v>
      </c>
    </row>
    <row r="932" spans="1:8" hidden="1" x14ac:dyDescent="0.35">
      <c r="A932" s="10" t="s">
        <v>177</v>
      </c>
      <c r="B932" s="11">
        <v>46235</v>
      </c>
      <c r="C932" s="3" t="s">
        <v>46</v>
      </c>
      <c r="D932" s="3" t="s">
        <v>87</v>
      </c>
      <c r="E932" s="3" t="s">
        <v>9</v>
      </c>
      <c r="F932" s="3" t="s">
        <v>15</v>
      </c>
      <c r="G932" s="30">
        <v>65348.32</v>
      </c>
      <c r="H932" s="39">
        <v>1926</v>
      </c>
    </row>
    <row r="933" spans="1:8" hidden="1" x14ac:dyDescent="0.35">
      <c r="A933" s="10" t="s">
        <v>177</v>
      </c>
      <c r="B933" s="11">
        <v>46235</v>
      </c>
      <c r="C933" s="3" t="s">
        <v>46</v>
      </c>
      <c r="D933" s="3" t="s">
        <v>87</v>
      </c>
      <c r="E933" s="3" t="s">
        <v>9</v>
      </c>
      <c r="F933" s="3" t="s">
        <v>65</v>
      </c>
      <c r="G933" s="30">
        <v>0</v>
      </c>
      <c r="H933" s="39">
        <v>0</v>
      </c>
    </row>
    <row r="934" spans="1:8" hidden="1" x14ac:dyDescent="0.35">
      <c r="A934" s="68">
        <v>16205</v>
      </c>
      <c r="B934" s="11">
        <v>46143</v>
      </c>
      <c r="C934" s="3" t="s">
        <v>25</v>
      </c>
      <c r="D934" s="3" t="s">
        <v>12</v>
      </c>
      <c r="E934" s="3" t="s">
        <v>9</v>
      </c>
      <c r="F934" s="3" t="s">
        <v>7</v>
      </c>
      <c r="G934" s="30">
        <v>0</v>
      </c>
      <c r="H934" s="39">
        <v>0</v>
      </c>
    </row>
    <row r="935" spans="1:8" hidden="1" x14ac:dyDescent="0.35">
      <c r="A935" s="68">
        <v>16205</v>
      </c>
      <c r="B935" s="11">
        <v>46143</v>
      </c>
      <c r="C935" s="3" t="s">
        <v>25</v>
      </c>
      <c r="D935" s="3" t="s">
        <v>12</v>
      </c>
      <c r="E935" s="3" t="s">
        <v>9</v>
      </c>
      <c r="F935" s="3" t="s">
        <v>8</v>
      </c>
      <c r="G935" s="30">
        <v>0</v>
      </c>
      <c r="H935" s="39">
        <v>0</v>
      </c>
    </row>
    <row r="936" spans="1:8" hidden="1" x14ac:dyDescent="0.35">
      <c r="A936" s="68">
        <v>16205</v>
      </c>
      <c r="B936" s="11">
        <v>46143</v>
      </c>
      <c r="C936" s="3" t="s">
        <v>25</v>
      </c>
      <c r="D936" s="3" t="s">
        <v>12</v>
      </c>
      <c r="E936" s="3" t="s">
        <v>9</v>
      </c>
      <c r="F936" s="3" t="s">
        <v>15</v>
      </c>
      <c r="G936" s="30">
        <v>179058.61</v>
      </c>
      <c r="H936" s="39">
        <v>6100</v>
      </c>
    </row>
    <row r="937" spans="1:8" hidden="1" x14ac:dyDescent="0.35">
      <c r="A937" s="10" t="s">
        <v>134</v>
      </c>
      <c r="B937" s="11">
        <v>46143</v>
      </c>
      <c r="C937" s="3" t="s">
        <v>57</v>
      </c>
      <c r="D937" s="3" t="s">
        <v>58</v>
      </c>
      <c r="E937" s="3" t="s">
        <v>10</v>
      </c>
      <c r="F937" s="3" t="s">
        <v>7</v>
      </c>
      <c r="G937" s="30">
        <v>0</v>
      </c>
      <c r="H937" s="39">
        <v>0</v>
      </c>
    </row>
    <row r="938" spans="1:8" hidden="1" x14ac:dyDescent="0.35">
      <c r="A938" s="10" t="s">
        <v>134</v>
      </c>
      <c r="B938" s="11">
        <v>46143</v>
      </c>
      <c r="C938" s="3" t="s">
        <v>57</v>
      </c>
      <c r="D938" s="3" t="s">
        <v>58</v>
      </c>
      <c r="E938" s="3" t="s">
        <v>10</v>
      </c>
      <c r="F938" s="3" t="s">
        <v>8</v>
      </c>
      <c r="G938" s="30">
        <v>0</v>
      </c>
      <c r="H938" s="39">
        <v>0</v>
      </c>
    </row>
    <row r="939" spans="1:8" hidden="1" x14ac:dyDescent="0.35">
      <c r="A939" s="10" t="s">
        <v>134</v>
      </c>
      <c r="B939" s="11">
        <v>46143</v>
      </c>
      <c r="C939" s="3" t="s">
        <v>57</v>
      </c>
      <c r="D939" s="3" t="s">
        <v>58</v>
      </c>
      <c r="E939" s="3" t="s">
        <v>10</v>
      </c>
      <c r="F939" s="3" t="s">
        <v>15</v>
      </c>
      <c r="G939" s="30">
        <v>35019.49</v>
      </c>
      <c r="H939" s="39">
        <v>1100</v>
      </c>
    </row>
    <row r="940" spans="1:8" hidden="1" x14ac:dyDescent="0.35">
      <c r="A940" s="10" t="s">
        <v>134</v>
      </c>
      <c r="B940" s="11">
        <v>46143</v>
      </c>
      <c r="C940" s="3" t="s">
        <v>57</v>
      </c>
      <c r="D940" s="3" t="s">
        <v>58</v>
      </c>
      <c r="E940" s="3" t="s">
        <v>10</v>
      </c>
      <c r="F940" s="3" t="s">
        <v>65</v>
      </c>
      <c r="G940" s="30">
        <v>0</v>
      </c>
      <c r="H940" s="39">
        <v>0</v>
      </c>
    </row>
    <row r="941" spans="1:8" hidden="1" x14ac:dyDescent="0.35">
      <c r="A941" s="10" t="s">
        <v>274</v>
      </c>
      <c r="B941" s="11">
        <v>46266</v>
      </c>
      <c r="C941" s="3" t="s">
        <v>48</v>
      </c>
      <c r="D941" s="3" t="s">
        <v>49</v>
      </c>
      <c r="E941" s="3" t="s">
        <v>52</v>
      </c>
      <c r="F941" s="3" t="s">
        <v>7</v>
      </c>
      <c r="G941" s="30">
        <v>0</v>
      </c>
      <c r="H941" s="39">
        <v>0</v>
      </c>
    </row>
    <row r="942" spans="1:8" hidden="1" x14ac:dyDescent="0.35">
      <c r="A942" s="10" t="s">
        <v>274</v>
      </c>
      <c r="B942" s="11">
        <v>46266</v>
      </c>
      <c r="C942" s="3" t="s">
        <v>48</v>
      </c>
      <c r="D942" s="3" t="s">
        <v>49</v>
      </c>
      <c r="E942" s="3" t="s">
        <v>52</v>
      </c>
      <c r="F942" s="3" t="s">
        <v>8</v>
      </c>
      <c r="G942" s="30">
        <v>0</v>
      </c>
      <c r="H942" s="39">
        <v>0</v>
      </c>
    </row>
    <row r="943" spans="1:8" hidden="1" x14ac:dyDescent="0.35">
      <c r="A943" s="10" t="s">
        <v>274</v>
      </c>
      <c r="B943" s="11">
        <v>46266</v>
      </c>
      <c r="C943" s="3" t="s">
        <v>48</v>
      </c>
      <c r="D943" s="3" t="s">
        <v>49</v>
      </c>
      <c r="E943" s="3" t="s">
        <v>52</v>
      </c>
      <c r="F943" s="3" t="s">
        <v>15</v>
      </c>
      <c r="G943" s="30">
        <v>89789.370062370057</v>
      </c>
      <c r="H943" s="39">
        <v>2040</v>
      </c>
    </row>
    <row r="944" spans="1:8" hidden="1" x14ac:dyDescent="0.35">
      <c r="A944" s="10" t="s">
        <v>274</v>
      </c>
      <c r="B944" s="11">
        <v>46266</v>
      </c>
      <c r="C944" s="3" t="s">
        <v>48</v>
      </c>
      <c r="D944" s="3" t="s">
        <v>49</v>
      </c>
      <c r="E944" s="3" t="s">
        <v>52</v>
      </c>
      <c r="F944" s="3" t="s">
        <v>65</v>
      </c>
      <c r="G944" s="30">
        <v>0</v>
      </c>
      <c r="H944" s="39">
        <v>0</v>
      </c>
    </row>
    <row r="945" spans="1:8" hidden="1" x14ac:dyDescent="0.35">
      <c r="A945" s="10" t="s">
        <v>275</v>
      </c>
      <c r="B945" s="11">
        <v>46266</v>
      </c>
      <c r="C945" s="3" t="s">
        <v>48</v>
      </c>
      <c r="D945" s="3" t="s">
        <v>49</v>
      </c>
      <c r="E945" s="3" t="s">
        <v>14</v>
      </c>
      <c r="F945" s="3" t="s">
        <v>7</v>
      </c>
      <c r="G945" s="30">
        <v>0</v>
      </c>
      <c r="H945" s="39">
        <v>0</v>
      </c>
    </row>
    <row r="946" spans="1:8" hidden="1" x14ac:dyDescent="0.35">
      <c r="A946" s="10" t="s">
        <v>275</v>
      </c>
      <c r="B946" s="11">
        <v>46266</v>
      </c>
      <c r="C946" s="3" t="s">
        <v>48</v>
      </c>
      <c r="D946" s="3" t="s">
        <v>49</v>
      </c>
      <c r="E946" s="3" t="s">
        <v>14</v>
      </c>
      <c r="F946" s="3" t="s">
        <v>8</v>
      </c>
      <c r="G946" s="30">
        <v>0</v>
      </c>
      <c r="H946" s="39">
        <v>0</v>
      </c>
    </row>
    <row r="947" spans="1:8" hidden="1" x14ac:dyDescent="0.35">
      <c r="A947" s="10" t="s">
        <v>275</v>
      </c>
      <c r="B947" s="11">
        <v>46266</v>
      </c>
      <c r="C947" s="3" t="s">
        <v>48</v>
      </c>
      <c r="D947" s="3" t="s">
        <v>49</v>
      </c>
      <c r="E947" s="3" t="s">
        <v>14</v>
      </c>
      <c r="F947" s="3" t="s">
        <v>15</v>
      </c>
      <c r="G947" s="30">
        <v>17995.57</v>
      </c>
      <c r="H947" s="39">
        <v>936</v>
      </c>
    </row>
    <row r="948" spans="1:8" hidden="1" x14ac:dyDescent="0.35">
      <c r="A948" s="10" t="s">
        <v>275</v>
      </c>
      <c r="B948" s="11">
        <v>46266</v>
      </c>
      <c r="C948" s="3" t="s">
        <v>48</v>
      </c>
      <c r="D948" s="3" t="s">
        <v>49</v>
      </c>
      <c r="E948" s="3" t="s">
        <v>14</v>
      </c>
      <c r="F948" s="3" t="s">
        <v>65</v>
      </c>
      <c r="G948" s="30">
        <v>0</v>
      </c>
      <c r="H948" s="39">
        <v>0</v>
      </c>
    </row>
    <row r="949" spans="1:8" hidden="1" x14ac:dyDescent="0.35">
      <c r="A949" s="10" t="s">
        <v>190</v>
      </c>
      <c r="B949" s="11">
        <v>46266</v>
      </c>
      <c r="C949" s="3" t="s">
        <v>22</v>
      </c>
      <c r="D949" s="3" t="s">
        <v>11</v>
      </c>
      <c r="E949" s="3" t="str">
        <f>_xlfn.XLOOKUP(TabReceitas[[#This Row],[ID]],TabCondicoesComerciais[ID],TabCondicoesComerciais[Congênere],"Verificar")</f>
        <v>Rede Sol</v>
      </c>
      <c r="F949" s="3" t="s">
        <v>7</v>
      </c>
      <c r="G949" s="30">
        <v>0</v>
      </c>
      <c r="H949" s="39">
        <v>0</v>
      </c>
    </row>
    <row r="950" spans="1:8" hidden="1" x14ac:dyDescent="0.35">
      <c r="A950" s="10" t="s">
        <v>190</v>
      </c>
      <c r="B950" s="11">
        <v>46266</v>
      </c>
      <c r="C950" s="3" t="s">
        <v>22</v>
      </c>
      <c r="D950" s="3" t="s">
        <v>11</v>
      </c>
      <c r="E950" s="3" t="str">
        <f>_xlfn.XLOOKUP(TabReceitas[[#This Row],[ID]],TabCondicoesComerciais[ID],TabCondicoesComerciais[Congênere],"Verificar")</f>
        <v>Rede Sol</v>
      </c>
      <c r="F950" s="3" t="s">
        <v>8</v>
      </c>
      <c r="G950" s="30">
        <v>0</v>
      </c>
      <c r="H950" s="39">
        <v>0</v>
      </c>
    </row>
    <row r="951" spans="1:8" hidden="1" x14ac:dyDescent="0.35">
      <c r="A951" s="10" t="s">
        <v>190</v>
      </c>
      <c r="B951" s="11">
        <v>46266</v>
      </c>
      <c r="C951" s="3" t="s">
        <v>22</v>
      </c>
      <c r="D951" s="3" t="s">
        <v>11</v>
      </c>
      <c r="E951" s="3" t="str">
        <f>_xlfn.XLOOKUP(TabReceitas[[#This Row],[ID]],TabCondicoesComerciais[ID],TabCondicoesComerciais[Congênere],"Verificar")</f>
        <v>Rede Sol</v>
      </c>
      <c r="F951" s="3" t="s">
        <v>15</v>
      </c>
      <c r="G951" s="30">
        <v>0</v>
      </c>
      <c r="H951" s="39">
        <v>0</v>
      </c>
    </row>
    <row r="952" spans="1:8" hidden="1" x14ac:dyDescent="0.35">
      <c r="A952" s="10" t="s">
        <v>190</v>
      </c>
      <c r="B952" s="11">
        <v>46266</v>
      </c>
      <c r="C952" s="3" t="s">
        <v>22</v>
      </c>
      <c r="D952" s="3" t="s">
        <v>11</v>
      </c>
      <c r="E952" s="3" t="str">
        <f>_xlfn.XLOOKUP(TabReceitas[[#This Row],[ID]],TabCondicoesComerciais[ID],TabCondicoesComerciais[Congênere],"Verificar")</f>
        <v>Rede Sol</v>
      </c>
      <c r="F952" s="3" t="s">
        <v>65</v>
      </c>
      <c r="G952" s="30">
        <v>0</v>
      </c>
      <c r="H952" s="39">
        <v>0</v>
      </c>
    </row>
    <row r="953" spans="1:8" hidden="1" x14ac:dyDescent="0.35">
      <c r="A953" s="10" t="s">
        <v>172</v>
      </c>
      <c r="B953" s="11">
        <v>46266</v>
      </c>
      <c r="C953" s="3" t="s">
        <v>22</v>
      </c>
      <c r="D953" s="3" t="s">
        <v>11</v>
      </c>
      <c r="E953" s="3" t="str">
        <f>_xlfn.XLOOKUP(TabReceitas[[#This Row],[ID]],TabCondicoesComerciais[ID],TabCondicoesComerciais[Congênere],"Verificar")</f>
        <v>Ruff</v>
      </c>
      <c r="F953" s="3" t="s">
        <v>7</v>
      </c>
      <c r="G953" s="30">
        <v>0</v>
      </c>
      <c r="H953" s="39">
        <v>0</v>
      </c>
    </row>
    <row r="954" spans="1:8" hidden="1" x14ac:dyDescent="0.35">
      <c r="A954" s="10" t="s">
        <v>172</v>
      </c>
      <c r="B954" s="11">
        <v>46266</v>
      </c>
      <c r="C954" s="3" t="s">
        <v>22</v>
      </c>
      <c r="D954" s="3" t="s">
        <v>11</v>
      </c>
      <c r="E954" s="3" t="str">
        <f>_xlfn.XLOOKUP(TabReceitas[[#This Row],[ID]],TabCondicoesComerciais[ID],TabCondicoesComerciais[Congênere],"Verificar")</f>
        <v>Ruff</v>
      </c>
      <c r="F954" s="3" t="s">
        <v>8</v>
      </c>
      <c r="G954" s="30">
        <v>0</v>
      </c>
      <c r="H954" s="39">
        <v>0</v>
      </c>
    </row>
    <row r="955" spans="1:8" hidden="1" x14ac:dyDescent="0.35">
      <c r="A955" s="10" t="s">
        <v>172</v>
      </c>
      <c r="B955" s="11">
        <v>46266</v>
      </c>
      <c r="C955" s="3" t="s">
        <v>22</v>
      </c>
      <c r="D955" s="3" t="s">
        <v>11</v>
      </c>
      <c r="E955" s="3" t="str">
        <f>_xlfn.XLOOKUP(TabReceitas[[#This Row],[ID]],TabCondicoesComerciais[ID],TabCondicoesComerciais[Congênere],"Verificar")</f>
        <v>Ruff</v>
      </c>
      <c r="F955" s="3" t="s">
        <v>15</v>
      </c>
      <c r="G955" s="30">
        <v>0</v>
      </c>
      <c r="H955" s="39">
        <v>0</v>
      </c>
    </row>
    <row r="956" spans="1:8" hidden="1" x14ac:dyDescent="0.35">
      <c r="A956" s="10" t="s">
        <v>172</v>
      </c>
      <c r="B956" s="11">
        <v>46266</v>
      </c>
      <c r="C956" s="3" t="s">
        <v>22</v>
      </c>
      <c r="D956" s="3" t="s">
        <v>11</v>
      </c>
      <c r="E956" s="3" t="str">
        <f>_xlfn.XLOOKUP(TabReceitas[[#This Row],[ID]],TabCondicoesComerciais[ID],TabCondicoesComerciais[Congênere],"Verificar")</f>
        <v>Ruff</v>
      </c>
      <c r="F956" s="3" t="s">
        <v>65</v>
      </c>
      <c r="G956" s="30">
        <v>0</v>
      </c>
      <c r="H956" s="39">
        <v>0</v>
      </c>
    </row>
    <row r="957" spans="1:8" hidden="1" x14ac:dyDescent="0.35">
      <c r="A957" s="10" t="s">
        <v>177</v>
      </c>
      <c r="B957" s="11">
        <v>46266</v>
      </c>
      <c r="C957" s="3" t="s">
        <v>46</v>
      </c>
      <c r="D957" s="3" t="s">
        <v>87</v>
      </c>
      <c r="E957" s="3" t="s">
        <v>9</v>
      </c>
      <c r="F957" s="3" t="s">
        <v>7</v>
      </c>
      <c r="G957" s="30">
        <v>0</v>
      </c>
      <c r="H957" s="39">
        <v>0</v>
      </c>
    </row>
    <row r="958" spans="1:8" hidden="1" x14ac:dyDescent="0.35">
      <c r="A958" s="10" t="s">
        <v>177</v>
      </c>
      <c r="B958" s="11">
        <v>46266</v>
      </c>
      <c r="C958" s="3" t="s">
        <v>46</v>
      </c>
      <c r="D958" s="3" t="s">
        <v>87</v>
      </c>
      <c r="E958" s="3" t="s">
        <v>9</v>
      </c>
      <c r="F958" s="3" t="s">
        <v>8</v>
      </c>
      <c r="G958" s="30">
        <v>0</v>
      </c>
      <c r="H958" s="39">
        <v>0</v>
      </c>
    </row>
    <row r="959" spans="1:8" hidden="1" x14ac:dyDescent="0.35">
      <c r="A959" s="10" t="s">
        <v>177</v>
      </c>
      <c r="B959" s="11">
        <v>46266</v>
      </c>
      <c r="C959" s="3" t="s">
        <v>46</v>
      </c>
      <c r="D959" s="3" t="s">
        <v>87</v>
      </c>
      <c r="E959" s="3" t="s">
        <v>9</v>
      </c>
      <c r="F959" s="3" t="s">
        <v>15</v>
      </c>
      <c r="G959" s="30">
        <v>65348.32</v>
      </c>
      <c r="H959" s="39">
        <v>1926</v>
      </c>
    </row>
    <row r="960" spans="1:8" hidden="1" x14ac:dyDescent="0.35">
      <c r="A960" s="10" t="s">
        <v>177</v>
      </c>
      <c r="B960" s="11">
        <v>46266</v>
      </c>
      <c r="C960" s="3" t="s">
        <v>46</v>
      </c>
      <c r="D960" s="3" t="s">
        <v>87</v>
      </c>
      <c r="E960" s="3" t="s">
        <v>9</v>
      </c>
      <c r="F960" s="3" t="s">
        <v>65</v>
      </c>
      <c r="G960" s="30">
        <v>0</v>
      </c>
      <c r="H960" s="39">
        <v>0</v>
      </c>
    </row>
    <row r="961" spans="1:8" hidden="1" x14ac:dyDescent="0.35">
      <c r="A961" s="68">
        <v>16205</v>
      </c>
      <c r="B961" s="11">
        <v>46143</v>
      </c>
      <c r="C961" s="3" t="s">
        <v>25</v>
      </c>
      <c r="D961" s="3" t="s">
        <v>12</v>
      </c>
      <c r="E961" s="3" t="s">
        <v>9</v>
      </c>
      <c r="F961" s="3" t="s">
        <v>65</v>
      </c>
      <c r="G961" s="30">
        <v>0</v>
      </c>
      <c r="H961" s="39">
        <v>0</v>
      </c>
    </row>
    <row r="962" spans="1:8" hidden="1" x14ac:dyDescent="0.35">
      <c r="A962" s="10" t="s">
        <v>134</v>
      </c>
      <c r="B962" s="11">
        <v>46266</v>
      </c>
      <c r="C962" s="3" t="s">
        <v>57</v>
      </c>
      <c r="D962" s="3" t="s">
        <v>58</v>
      </c>
      <c r="E962" s="3" t="s">
        <v>10</v>
      </c>
      <c r="F962" s="3" t="s">
        <v>7</v>
      </c>
      <c r="G962" s="30">
        <v>0</v>
      </c>
      <c r="H962" s="39">
        <v>0</v>
      </c>
    </row>
    <row r="963" spans="1:8" hidden="1" x14ac:dyDescent="0.35">
      <c r="A963" s="10" t="s">
        <v>134</v>
      </c>
      <c r="B963" s="11">
        <v>46266</v>
      </c>
      <c r="C963" s="3" t="s">
        <v>57</v>
      </c>
      <c r="D963" s="3" t="s">
        <v>58</v>
      </c>
      <c r="E963" s="3" t="s">
        <v>10</v>
      </c>
      <c r="F963" s="3" t="s">
        <v>8</v>
      </c>
      <c r="G963" s="30">
        <v>0</v>
      </c>
      <c r="H963" s="39">
        <v>0</v>
      </c>
    </row>
    <row r="964" spans="1:8" hidden="1" x14ac:dyDescent="0.35">
      <c r="A964" s="10" t="s">
        <v>134</v>
      </c>
      <c r="B964" s="11">
        <v>46266</v>
      </c>
      <c r="C964" s="3" t="s">
        <v>57</v>
      </c>
      <c r="D964" s="3" t="s">
        <v>58</v>
      </c>
      <c r="E964" s="3" t="s">
        <v>10</v>
      </c>
      <c r="F964" s="3" t="s">
        <v>15</v>
      </c>
      <c r="G964" s="30">
        <v>35019.49</v>
      </c>
      <c r="H964" s="39">
        <v>1100</v>
      </c>
    </row>
    <row r="965" spans="1:8" hidden="1" x14ac:dyDescent="0.35">
      <c r="A965" s="10" t="s">
        <v>134</v>
      </c>
      <c r="B965" s="11">
        <v>46266</v>
      </c>
      <c r="C965" s="3" t="s">
        <v>57</v>
      </c>
      <c r="D965" s="3" t="s">
        <v>58</v>
      </c>
      <c r="E965" s="3" t="s">
        <v>10</v>
      </c>
      <c r="F965" s="3" t="s">
        <v>65</v>
      </c>
      <c r="G965" s="30">
        <v>0</v>
      </c>
      <c r="H965" s="39">
        <v>0</v>
      </c>
    </row>
    <row r="966" spans="1:8" x14ac:dyDescent="0.35">
      <c r="A966" s="10" t="s">
        <v>343</v>
      </c>
      <c r="B966" s="11">
        <v>46266</v>
      </c>
      <c r="C966" s="3" t="s">
        <v>26</v>
      </c>
      <c r="D966" s="3" t="s">
        <v>19</v>
      </c>
      <c r="E966" s="3" t="s">
        <v>13</v>
      </c>
      <c r="F966" s="3" t="s">
        <v>7</v>
      </c>
      <c r="G966" s="30">
        <v>0</v>
      </c>
      <c r="H966" s="39">
        <v>0</v>
      </c>
    </row>
    <row r="967" spans="1:8" x14ac:dyDescent="0.35">
      <c r="A967" s="10" t="s">
        <v>343</v>
      </c>
      <c r="B967" s="11">
        <v>46266</v>
      </c>
      <c r="C967" s="3" t="s">
        <v>26</v>
      </c>
      <c r="D967" s="3" t="s">
        <v>19</v>
      </c>
      <c r="E967" s="3" t="s">
        <v>13</v>
      </c>
      <c r="F967" s="3" t="s">
        <v>8</v>
      </c>
      <c r="G967" s="30">
        <v>0</v>
      </c>
      <c r="H967" s="39">
        <v>0</v>
      </c>
    </row>
    <row r="968" spans="1:8" x14ac:dyDescent="0.35">
      <c r="A968" s="10" t="s">
        <v>343</v>
      </c>
      <c r="B968" s="11">
        <v>46266</v>
      </c>
      <c r="C968" s="3" t="s">
        <v>26</v>
      </c>
      <c r="D968" s="3" t="s">
        <v>19</v>
      </c>
      <c r="E968" s="3" t="s">
        <v>13</v>
      </c>
      <c r="F968" s="3" t="s">
        <v>15</v>
      </c>
      <c r="G968" s="30">
        <v>15310.52</v>
      </c>
      <c r="H968" s="39">
        <v>510</v>
      </c>
    </row>
    <row r="969" spans="1:8" x14ac:dyDescent="0.35">
      <c r="A969" s="10" t="s">
        <v>343</v>
      </c>
      <c r="B969" s="11">
        <v>46266</v>
      </c>
      <c r="C969" s="3" t="s">
        <v>26</v>
      </c>
      <c r="D969" s="3" t="s">
        <v>19</v>
      </c>
      <c r="E969" s="3" t="s">
        <v>13</v>
      </c>
      <c r="F969" s="3" t="s">
        <v>65</v>
      </c>
      <c r="G969" s="30">
        <v>0</v>
      </c>
      <c r="H969" s="39">
        <v>0</v>
      </c>
    </row>
    <row r="970" spans="1:8" hidden="1" x14ac:dyDescent="0.35">
      <c r="A970" s="10" t="s">
        <v>274</v>
      </c>
      <c r="B970" s="11">
        <v>46296</v>
      </c>
      <c r="C970" s="3" t="s">
        <v>48</v>
      </c>
      <c r="D970" s="3" t="s">
        <v>49</v>
      </c>
      <c r="E970" s="3" t="s">
        <v>52</v>
      </c>
      <c r="F970" s="3" t="s">
        <v>7</v>
      </c>
      <c r="G970" s="30">
        <v>0</v>
      </c>
      <c r="H970" s="39">
        <v>0</v>
      </c>
    </row>
    <row r="971" spans="1:8" hidden="1" x14ac:dyDescent="0.35">
      <c r="A971" s="10" t="s">
        <v>274</v>
      </c>
      <c r="B971" s="11">
        <v>46296</v>
      </c>
      <c r="C971" s="3" t="s">
        <v>48</v>
      </c>
      <c r="D971" s="3" t="s">
        <v>49</v>
      </c>
      <c r="E971" s="3" t="s">
        <v>52</v>
      </c>
      <c r="F971" s="3" t="s">
        <v>8</v>
      </c>
      <c r="G971" s="30">
        <v>0</v>
      </c>
      <c r="H971" s="39">
        <v>0</v>
      </c>
    </row>
    <row r="972" spans="1:8" hidden="1" x14ac:dyDescent="0.35">
      <c r="A972" s="10" t="s">
        <v>274</v>
      </c>
      <c r="B972" s="11">
        <v>46296</v>
      </c>
      <c r="C972" s="3" t="s">
        <v>48</v>
      </c>
      <c r="D972" s="3" t="s">
        <v>49</v>
      </c>
      <c r="E972" s="3" t="s">
        <v>52</v>
      </c>
      <c r="F972" s="3" t="s">
        <v>15</v>
      </c>
      <c r="G972" s="30">
        <v>93380.944864864854</v>
      </c>
      <c r="H972" s="39">
        <v>2040</v>
      </c>
    </row>
    <row r="973" spans="1:8" hidden="1" x14ac:dyDescent="0.35">
      <c r="A973" s="10" t="s">
        <v>274</v>
      </c>
      <c r="B973" s="11">
        <v>46296</v>
      </c>
      <c r="C973" s="3" t="s">
        <v>48</v>
      </c>
      <c r="D973" s="3" t="s">
        <v>49</v>
      </c>
      <c r="E973" s="3" t="s">
        <v>52</v>
      </c>
      <c r="F973" s="3" t="s">
        <v>65</v>
      </c>
      <c r="G973" s="30">
        <v>0</v>
      </c>
      <c r="H973" s="39">
        <v>0</v>
      </c>
    </row>
    <row r="974" spans="1:8" hidden="1" x14ac:dyDescent="0.35">
      <c r="A974" s="10" t="s">
        <v>275</v>
      </c>
      <c r="B974" s="11">
        <v>46296</v>
      </c>
      <c r="C974" s="3" t="s">
        <v>48</v>
      </c>
      <c r="D974" s="3" t="s">
        <v>49</v>
      </c>
      <c r="E974" s="3" t="s">
        <v>14</v>
      </c>
      <c r="F974" s="3" t="s">
        <v>7</v>
      </c>
      <c r="G974" s="30">
        <v>0</v>
      </c>
      <c r="H974" s="39">
        <v>0</v>
      </c>
    </row>
    <row r="975" spans="1:8" hidden="1" x14ac:dyDescent="0.35">
      <c r="A975" s="10" t="s">
        <v>275</v>
      </c>
      <c r="B975" s="11">
        <v>46296</v>
      </c>
      <c r="C975" s="3" t="s">
        <v>48</v>
      </c>
      <c r="D975" s="3" t="s">
        <v>49</v>
      </c>
      <c r="E975" s="3" t="s">
        <v>14</v>
      </c>
      <c r="F975" s="3" t="s">
        <v>8</v>
      </c>
      <c r="G975" s="30">
        <v>0</v>
      </c>
      <c r="H975" s="39">
        <v>0</v>
      </c>
    </row>
    <row r="976" spans="1:8" hidden="1" x14ac:dyDescent="0.35">
      <c r="A976" s="10" t="s">
        <v>275</v>
      </c>
      <c r="B976" s="11">
        <v>46296</v>
      </c>
      <c r="C976" s="3" t="s">
        <v>48</v>
      </c>
      <c r="D976" s="3" t="s">
        <v>49</v>
      </c>
      <c r="E976" s="3" t="s">
        <v>14</v>
      </c>
      <c r="F976" s="3" t="s">
        <v>15</v>
      </c>
      <c r="G976" s="30">
        <v>17995.57</v>
      </c>
      <c r="H976" s="39">
        <v>936</v>
      </c>
    </row>
    <row r="977" spans="1:8" hidden="1" x14ac:dyDescent="0.35">
      <c r="A977" s="10" t="s">
        <v>275</v>
      </c>
      <c r="B977" s="11">
        <v>46296</v>
      </c>
      <c r="C977" s="3" t="s">
        <v>48</v>
      </c>
      <c r="D977" s="3" t="s">
        <v>49</v>
      </c>
      <c r="E977" s="3" t="s">
        <v>14</v>
      </c>
      <c r="F977" s="3" t="s">
        <v>65</v>
      </c>
      <c r="G977" s="30">
        <v>0</v>
      </c>
      <c r="H977" s="39">
        <v>0</v>
      </c>
    </row>
    <row r="978" spans="1:8" hidden="1" x14ac:dyDescent="0.35">
      <c r="A978" s="10" t="s">
        <v>190</v>
      </c>
      <c r="B978" s="11">
        <v>46296</v>
      </c>
      <c r="C978" s="3" t="s">
        <v>22</v>
      </c>
      <c r="D978" s="3" t="s">
        <v>11</v>
      </c>
      <c r="E978" s="3" t="str">
        <f>_xlfn.XLOOKUP(TabReceitas[[#This Row],[ID]],TabCondicoesComerciais[ID],TabCondicoesComerciais[Congênere],"Verificar")</f>
        <v>Rede Sol</v>
      </c>
      <c r="F978" s="3" t="s">
        <v>7</v>
      </c>
      <c r="G978" s="30">
        <v>0</v>
      </c>
      <c r="H978" s="39">
        <v>0</v>
      </c>
    </row>
    <row r="979" spans="1:8" hidden="1" x14ac:dyDescent="0.35">
      <c r="A979" s="10" t="s">
        <v>190</v>
      </c>
      <c r="B979" s="11">
        <v>46296</v>
      </c>
      <c r="C979" s="3" t="s">
        <v>22</v>
      </c>
      <c r="D979" s="3" t="s">
        <v>11</v>
      </c>
      <c r="E979" s="3" t="str">
        <f>_xlfn.XLOOKUP(TabReceitas[[#This Row],[ID]],TabCondicoesComerciais[ID],TabCondicoesComerciais[Congênere],"Verificar")</f>
        <v>Rede Sol</v>
      </c>
      <c r="F979" s="3" t="s">
        <v>8</v>
      </c>
      <c r="G979" s="30">
        <v>0</v>
      </c>
      <c r="H979" s="39">
        <v>0</v>
      </c>
    </row>
    <row r="980" spans="1:8" hidden="1" x14ac:dyDescent="0.35">
      <c r="A980" s="10" t="s">
        <v>190</v>
      </c>
      <c r="B980" s="11">
        <v>46296</v>
      </c>
      <c r="C980" s="3" t="s">
        <v>22</v>
      </c>
      <c r="D980" s="3" t="s">
        <v>11</v>
      </c>
      <c r="E980" s="3" t="str">
        <f>_xlfn.XLOOKUP(TabReceitas[[#This Row],[ID]],TabCondicoesComerciais[ID],TabCondicoesComerciais[Congênere],"Verificar")</f>
        <v>Rede Sol</v>
      </c>
      <c r="F980" s="3" t="s">
        <v>15</v>
      </c>
      <c r="G980" s="30">
        <v>0</v>
      </c>
      <c r="H980" s="39">
        <v>0</v>
      </c>
    </row>
    <row r="981" spans="1:8" hidden="1" x14ac:dyDescent="0.35">
      <c r="A981" s="10" t="s">
        <v>190</v>
      </c>
      <c r="B981" s="11">
        <v>46296</v>
      </c>
      <c r="C981" s="3" t="s">
        <v>22</v>
      </c>
      <c r="D981" s="3" t="s">
        <v>11</v>
      </c>
      <c r="E981" s="3" t="str">
        <f>_xlfn.XLOOKUP(TabReceitas[[#This Row],[ID]],TabCondicoesComerciais[ID],TabCondicoesComerciais[Congênere],"Verificar")</f>
        <v>Rede Sol</v>
      </c>
      <c r="F981" s="3" t="s">
        <v>65</v>
      </c>
      <c r="G981" s="30">
        <v>0</v>
      </c>
      <c r="H981" s="39">
        <v>0</v>
      </c>
    </row>
    <row r="982" spans="1:8" hidden="1" x14ac:dyDescent="0.35">
      <c r="A982" s="10" t="s">
        <v>172</v>
      </c>
      <c r="B982" s="11">
        <v>46296</v>
      </c>
      <c r="C982" s="3" t="s">
        <v>22</v>
      </c>
      <c r="D982" s="3" t="s">
        <v>11</v>
      </c>
      <c r="E982" s="3" t="str">
        <f>_xlfn.XLOOKUP(TabReceitas[[#This Row],[ID]],TabCondicoesComerciais[ID],TabCondicoesComerciais[Congênere],"Verificar")</f>
        <v>Ruff</v>
      </c>
      <c r="F982" s="3" t="s">
        <v>7</v>
      </c>
      <c r="G982" s="30">
        <v>0</v>
      </c>
      <c r="H982" s="39">
        <v>0</v>
      </c>
    </row>
    <row r="983" spans="1:8" hidden="1" x14ac:dyDescent="0.35">
      <c r="A983" s="10" t="s">
        <v>172</v>
      </c>
      <c r="B983" s="11">
        <v>46296</v>
      </c>
      <c r="C983" s="3" t="s">
        <v>22</v>
      </c>
      <c r="D983" s="3" t="s">
        <v>11</v>
      </c>
      <c r="E983" s="3" t="str">
        <f>_xlfn.XLOOKUP(TabReceitas[[#This Row],[ID]],TabCondicoesComerciais[ID],TabCondicoesComerciais[Congênere],"Verificar")</f>
        <v>Ruff</v>
      </c>
      <c r="F983" s="3" t="s">
        <v>8</v>
      </c>
      <c r="G983" s="30">
        <v>0</v>
      </c>
      <c r="H983" s="39">
        <v>0</v>
      </c>
    </row>
    <row r="984" spans="1:8" hidden="1" x14ac:dyDescent="0.35">
      <c r="A984" s="10" t="s">
        <v>172</v>
      </c>
      <c r="B984" s="11">
        <v>46296</v>
      </c>
      <c r="C984" s="3" t="s">
        <v>22</v>
      </c>
      <c r="D984" s="3" t="s">
        <v>11</v>
      </c>
      <c r="E984" s="3" t="str">
        <f>_xlfn.XLOOKUP(TabReceitas[[#This Row],[ID]],TabCondicoesComerciais[ID],TabCondicoesComerciais[Congênere],"Verificar")</f>
        <v>Ruff</v>
      </c>
      <c r="F984" s="3" t="s">
        <v>15</v>
      </c>
      <c r="G984" s="30">
        <v>0</v>
      </c>
      <c r="H984" s="39">
        <v>0</v>
      </c>
    </row>
    <row r="985" spans="1:8" hidden="1" x14ac:dyDescent="0.35">
      <c r="A985" s="10" t="s">
        <v>172</v>
      </c>
      <c r="B985" s="11">
        <v>46296</v>
      </c>
      <c r="C985" s="3" t="s">
        <v>22</v>
      </c>
      <c r="D985" s="3" t="s">
        <v>11</v>
      </c>
      <c r="E985" s="3" t="str">
        <f>_xlfn.XLOOKUP(TabReceitas[[#This Row],[ID]],TabCondicoesComerciais[ID],TabCondicoesComerciais[Congênere],"Verificar")</f>
        <v>Ruff</v>
      </c>
      <c r="F985" s="3" t="s">
        <v>65</v>
      </c>
      <c r="G985" s="30">
        <v>0</v>
      </c>
      <c r="H985" s="39">
        <v>0</v>
      </c>
    </row>
    <row r="986" spans="1:8" hidden="1" x14ac:dyDescent="0.35">
      <c r="A986" s="10" t="s">
        <v>263</v>
      </c>
      <c r="B986" s="11">
        <v>46296</v>
      </c>
      <c r="C986" s="3" t="s">
        <v>46</v>
      </c>
      <c r="D986" s="3" t="s">
        <v>87</v>
      </c>
      <c r="E986" s="3" t="s">
        <v>9</v>
      </c>
      <c r="F986" s="3" t="s">
        <v>7</v>
      </c>
      <c r="G986" s="30">
        <v>0</v>
      </c>
      <c r="H986" s="39">
        <v>0</v>
      </c>
    </row>
    <row r="987" spans="1:8" hidden="1" x14ac:dyDescent="0.35">
      <c r="A987" s="10" t="s">
        <v>263</v>
      </c>
      <c r="B987" s="11">
        <v>46296</v>
      </c>
      <c r="C987" s="3" t="s">
        <v>46</v>
      </c>
      <c r="D987" s="3" t="s">
        <v>87</v>
      </c>
      <c r="E987" s="3" t="s">
        <v>9</v>
      </c>
      <c r="F987" s="3" t="s">
        <v>8</v>
      </c>
      <c r="G987" s="30">
        <v>0</v>
      </c>
      <c r="H987" s="39">
        <v>0</v>
      </c>
    </row>
    <row r="988" spans="1:8" hidden="1" x14ac:dyDescent="0.35">
      <c r="A988" s="10" t="s">
        <v>263</v>
      </c>
      <c r="B988" s="11">
        <v>46296</v>
      </c>
      <c r="C988" s="3" t="s">
        <v>46</v>
      </c>
      <c r="D988" s="3" t="s">
        <v>87</v>
      </c>
      <c r="E988" s="3" t="s">
        <v>9</v>
      </c>
      <c r="F988" s="3" t="s">
        <v>15</v>
      </c>
      <c r="G988" s="66">
        <v>65348.32</v>
      </c>
      <c r="H988" s="39">
        <v>1926</v>
      </c>
    </row>
    <row r="989" spans="1:8" hidden="1" x14ac:dyDescent="0.35">
      <c r="A989" s="10" t="s">
        <v>263</v>
      </c>
      <c r="B989" s="11">
        <v>46296</v>
      </c>
      <c r="C989" s="3" t="s">
        <v>46</v>
      </c>
      <c r="D989" s="3" t="s">
        <v>87</v>
      </c>
      <c r="E989" s="3" t="s">
        <v>9</v>
      </c>
      <c r="F989" s="3" t="s">
        <v>65</v>
      </c>
      <c r="G989" s="30">
        <v>0</v>
      </c>
      <c r="H989" s="39">
        <v>0</v>
      </c>
    </row>
    <row r="990" spans="1:8" hidden="1" x14ac:dyDescent="0.35">
      <c r="A990" s="68" t="s">
        <v>342</v>
      </c>
      <c r="B990" s="11">
        <v>46174</v>
      </c>
      <c r="C990" s="3" t="s">
        <v>25</v>
      </c>
      <c r="D990" s="3" t="s">
        <v>12</v>
      </c>
      <c r="E990" s="3" t="s">
        <v>9</v>
      </c>
      <c r="F990" s="3" t="s">
        <v>7</v>
      </c>
      <c r="G990" s="30">
        <v>0</v>
      </c>
      <c r="H990" s="39">
        <v>0</v>
      </c>
    </row>
    <row r="991" spans="1:8" hidden="1" x14ac:dyDescent="0.35">
      <c r="A991" s="68" t="s">
        <v>342</v>
      </c>
      <c r="B991" s="11">
        <v>46174</v>
      </c>
      <c r="C991" s="3" t="s">
        <v>25</v>
      </c>
      <c r="D991" s="3" t="s">
        <v>12</v>
      </c>
      <c r="E991" s="3" t="s">
        <v>9</v>
      </c>
      <c r="F991" s="3" t="s">
        <v>8</v>
      </c>
      <c r="G991" s="30">
        <v>0</v>
      </c>
      <c r="H991" s="39">
        <v>0</v>
      </c>
    </row>
    <row r="992" spans="1:8" hidden="1" x14ac:dyDescent="0.35">
      <c r="A992" s="68" t="s">
        <v>342</v>
      </c>
      <c r="B992" s="11">
        <v>46174</v>
      </c>
      <c r="C992" s="3" t="s">
        <v>25</v>
      </c>
      <c r="D992" s="3" t="s">
        <v>12</v>
      </c>
      <c r="E992" s="3" t="s">
        <v>9</v>
      </c>
      <c r="F992" s="3" t="s">
        <v>15</v>
      </c>
      <c r="G992" s="30">
        <v>179058.61</v>
      </c>
      <c r="H992" s="39">
        <v>6100</v>
      </c>
    </row>
    <row r="993" spans="1:8" hidden="1" x14ac:dyDescent="0.35">
      <c r="A993" s="10" t="s">
        <v>134</v>
      </c>
      <c r="B993" s="11">
        <v>46296</v>
      </c>
      <c r="C993" s="3" t="s">
        <v>57</v>
      </c>
      <c r="D993" s="3" t="s">
        <v>58</v>
      </c>
      <c r="E993" s="3" t="s">
        <v>10</v>
      </c>
      <c r="F993" s="3" t="s">
        <v>7</v>
      </c>
      <c r="G993" s="30">
        <v>0</v>
      </c>
      <c r="H993" s="39">
        <v>0</v>
      </c>
    </row>
    <row r="994" spans="1:8" hidden="1" x14ac:dyDescent="0.35">
      <c r="A994" s="10" t="s">
        <v>134</v>
      </c>
      <c r="B994" s="11">
        <v>46296</v>
      </c>
      <c r="C994" s="3" t="s">
        <v>57</v>
      </c>
      <c r="D994" s="3" t="s">
        <v>58</v>
      </c>
      <c r="E994" s="3" t="s">
        <v>10</v>
      </c>
      <c r="F994" s="3" t="s">
        <v>8</v>
      </c>
      <c r="G994" s="30">
        <v>0</v>
      </c>
      <c r="H994" s="39">
        <v>0</v>
      </c>
    </row>
    <row r="995" spans="1:8" hidden="1" x14ac:dyDescent="0.35">
      <c r="A995" s="10" t="s">
        <v>134</v>
      </c>
      <c r="B995" s="11">
        <v>46296</v>
      </c>
      <c r="C995" s="3" t="s">
        <v>57</v>
      </c>
      <c r="D995" s="3" t="s">
        <v>58</v>
      </c>
      <c r="E995" s="3" t="s">
        <v>10</v>
      </c>
      <c r="F995" s="3" t="s">
        <v>15</v>
      </c>
      <c r="G995" s="30">
        <v>35019.49</v>
      </c>
      <c r="H995" s="39">
        <v>1100</v>
      </c>
    </row>
    <row r="996" spans="1:8" hidden="1" x14ac:dyDescent="0.35">
      <c r="A996" s="10" t="s">
        <v>134</v>
      </c>
      <c r="B996" s="11">
        <v>46296</v>
      </c>
      <c r="C996" s="3" t="s">
        <v>57</v>
      </c>
      <c r="D996" s="3" t="s">
        <v>58</v>
      </c>
      <c r="E996" s="3" t="s">
        <v>10</v>
      </c>
      <c r="F996" s="3" t="s">
        <v>65</v>
      </c>
      <c r="G996" s="30">
        <v>0</v>
      </c>
      <c r="H996" s="39">
        <v>0</v>
      </c>
    </row>
    <row r="997" spans="1:8" x14ac:dyDescent="0.35">
      <c r="A997" s="10" t="s">
        <v>343</v>
      </c>
      <c r="B997" s="11">
        <v>46296</v>
      </c>
      <c r="C997" s="3" t="s">
        <v>26</v>
      </c>
      <c r="D997" s="3" t="s">
        <v>19</v>
      </c>
      <c r="E997" s="3" t="s">
        <v>13</v>
      </c>
      <c r="F997" s="3" t="s">
        <v>7</v>
      </c>
      <c r="G997" s="30">
        <v>0</v>
      </c>
      <c r="H997" s="39">
        <v>0</v>
      </c>
    </row>
    <row r="998" spans="1:8" x14ac:dyDescent="0.35">
      <c r="A998" s="10" t="s">
        <v>343</v>
      </c>
      <c r="B998" s="11">
        <v>46296</v>
      </c>
      <c r="C998" s="3" t="s">
        <v>26</v>
      </c>
      <c r="D998" s="3" t="s">
        <v>19</v>
      </c>
      <c r="E998" s="3" t="s">
        <v>13</v>
      </c>
      <c r="F998" s="3" t="s">
        <v>8</v>
      </c>
      <c r="G998" s="30">
        <v>0</v>
      </c>
      <c r="H998" s="39">
        <v>0</v>
      </c>
    </row>
    <row r="999" spans="1:8" x14ac:dyDescent="0.35">
      <c r="A999" s="10" t="s">
        <v>343</v>
      </c>
      <c r="B999" s="11">
        <v>46296</v>
      </c>
      <c r="C999" s="3" t="s">
        <v>26</v>
      </c>
      <c r="D999" s="3" t="s">
        <v>19</v>
      </c>
      <c r="E999" s="3" t="s">
        <v>13</v>
      </c>
      <c r="F999" s="3" t="s">
        <v>15</v>
      </c>
      <c r="G999" s="30">
        <v>15310.52</v>
      </c>
      <c r="H999" s="39">
        <v>510</v>
      </c>
    </row>
    <row r="1000" spans="1:8" x14ac:dyDescent="0.35">
      <c r="A1000" s="10" t="s">
        <v>343</v>
      </c>
      <c r="B1000" s="11">
        <v>46296</v>
      </c>
      <c r="C1000" s="3" t="s">
        <v>26</v>
      </c>
      <c r="D1000" s="3" t="s">
        <v>19</v>
      </c>
      <c r="E1000" s="3" t="s">
        <v>13</v>
      </c>
      <c r="F1000" s="3" t="s">
        <v>65</v>
      </c>
      <c r="G1000" s="30">
        <v>0</v>
      </c>
      <c r="H1000" s="39">
        <v>0</v>
      </c>
    </row>
    <row r="1001" spans="1:8" hidden="1" x14ac:dyDescent="0.35">
      <c r="A1001" s="10" t="s">
        <v>274</v>
      </c>
      <c r="B1001" s="11">
        <v>46327</v>
      </c>
      <c r="C1001" s="3" t="s">
        <v>48</v>
      </c>
      <c r="D1001" s="3" t="s">
        <v>49</v>
      </c>
      <c r="E1001" s="3" t="s">
        <v>52</v>
      </c>
      <c r="F1001" s="3" t="s">
        <v>7</v>
      </c>
      <c r="G1001" s="30">
        <v>0</v>
      </c>
      <c r="H1001" s="39">
        <v>0</v>
      </c>
    </row>
    <row r="1002" spans="1:8" hidden="1" x14ac:dyDescent="0.35">
      <c r="A1002" s="10" t="s">
        <v>274</v>
      </c>
      <c r="B1002" s="11">
        <v>46327</v>
      </c>
      <c r="C1002" s="3" t="s">
        <v>48</v>
      </c>
      <c r="D1002" s="3" t="s">
        <v>49</v>
      </c>
      <c r="E1002" s="3" t="s">
        <v>52</v>
      </c>
      <c r="F1002" s="3" t="s">
        <v>8</v>
      </c>
      <c r="G1002" s="30">
        <v>0</v>
      </c>
      <c r="H1002" s="39">
        <v>0</v>
      </c>
    </row>
    <row r="1003" spans="1:8" hidden="1" x14ac:dyDescent="0.35">
      <c r="A1003" s="10" t="s">
        <v>274</v>
      </c>
      <c r="B1003" s="11">
        <v>46327</v>
      </c>
      <c r="C1003" s="3" t="s">
        <v>48</v>
      </c>
      <c r="D1003" s="3" t="s">
        <v>49</v>
      </c>
      <c r="E1003" s="3" t="s">
        <v>52</v>
      </c>
      <c r="F1003" s="3" t="s">
        <v>15</v>
      </c>
      <c r="G1003" s="30">
        <v>93380.944864864854</v>
      </c>
      <c r="H1003" s="39">
        <v>2040</v>
      </c>
    </row>
    <row r="1004" spans="1:8" hidden="1" x14ac:dyDescent="0.35">
      <c r="A1004" s="10" t="s">
        <v>274</v>
      </c>
      <c r="B1004" s="11">
        <v>46327</v>
      </c>
      <c r="C1004" s="3" t="s">
        <v>48</v>
      </c>
      <c r="D1004" s="3" t="s">
        <v>49</v>
      </c>
      <c r="E1004" s="3" t="s">
        <v>52</v>
      </c>
      <c r="F1004" s="3" t="s">
        <v>65</v>
      </c>
      <c r="G1004" s="30">
        <v>0</v>
      </c>
      <c r="H1004" s="39">
        <v>0</v>
      </c>
    </row>
    <row r="1005" spans="1:8" hidden="1" x14ac:dyDescent="0.35">
      <c r="A1005" s="10" t="s">
        <v>275</v>
      </c>
      <c r="B1005" s="11">
        <v>46327</v>
      </c>
      <c r="C1005" s="3" t="s">
        <v>48</v>
      </c>
      <c r="D1005" s="3" t="s">
        <v>49</v>
      </c>
      <c r="E1005" s="3" t="s">
        <v>14</v>
      </c>
      <c r="F1005" s="3" t="s">
        <v>7</v>
      </c>
      <c r="G1005" s="30">
        <v>0</v>
      </c>
      <c r="H1005" s="39">
        <v>0</v>
      </c>
    </row>
    <row r="1006" spans="1:8" hidden="1" x14ac:dyDescent="0.35">
      <c r="A1006" s="10" t="s">
        <v>275</v>
      </c>
      <c r="B1006" s="11">
        <v>46327</v>
      </c>
      <c r="C1006" s="3" t="s">
        <v>48</v>
      </c>
      <c r="D1006" s="3" t="s">
        <v>49</v>
      </c>
      <c r="E1006" s="3" t="s">
        <v>14</v>
      </c>
      <c r="F1006" s="3" t="s">
        <v>8</v>
      </c>
      <c r="G1006" s="30">
        <v>0</v>
      </c>
      <c r="H1006" s="39">
        <v>0</v>
      </c>
    </row>
    <row r="1007" spans="1:8" hidden="1" x14ac:dyDescent="0.35">
      <c r="A1007" s="10" t="s">
        <v>275</v>
      </c>
      <c r="B1007" s="11">
        <v>46327</v>
      </c>
      <c r="C1007" s="3" t="s">
        <v>48</v>
      </c>
      <c r="D1007" s="3" t="s">
        <v>49</v>
      </c>
      <c r="E1007" s="3" t="s">
        <v>14</v>
      </c>
      <c r="F1007" s="3" t="s">
        <v>15</v>
      </c>
      <c r="G1007" s="30">
        <v>18715.400000000001</v>
      </c>
      <c r="H1007" s="39">
        <v>936</v>
      </c>
    </row>
    <row r="1008" spans="1:8" hidden="1" x14ac:dyDescent="0.35">
      <c r="A1008" s="10" t="s">
        <v>275</v>
      </c>
      <c r="B1008" s="11">
        <v>46327</v>
      </c>
      <c r="C1008" s="3" t="s">
        <v>48</v>
      </c>
      <c r="D1008" s="3" t="s">
        <v>49</v>
      </c>
      <c r="E1008" s="3" t="s">
        <v>14</v>
      </c>
      <c r="F1008" s="3" t="s">
        <v>65</v>
      </c>
      <c r="G1008" s="30">
        <v>0</v>
      </c>
      <c r="H1008" s="39">
        <v>0</v>
      </c>
    </row>
    <row r="1009" spans="1:8" hidden="1" x14ac:dyDescent="0.35">
      <c r="A1009" s="10" t="s">
        <v>190</v>
      </c>
      <c r="B1009" s="11">
        <v>46327</v>
      </c>
      <c r="C1009" s="3" t="s">
        <v>22</v>
      </c>
      <c r="D1009" s="3" t="s">
        <v>11</v>
      </c>
      <c r="E1009" s="3" t="str">
        <f>_xlfn.XLOOKUP(TabReceitas[[#This Row],[ID]],TabCondicoesComerciais[ID],TabCondicoesComerciais[Congênere],"Verificar")</f>
        <v>Rede Sol</v>
      </c>
      <c r="F1009" s="3" t="s">
        <v>7</v>
      </c>
      <c r="G1009" s="30">
        <v>0</v>
      </c>
      <c r="H1009" s="39">
        <v>0</v>
      </c>
    </row>
    <row r="1010" spans="1:8" hidden="1" x14ac:dyDescent="0.35">
      <c r="A1010" s="10" t="s">
        <v>190</v>
      </c>
      <c r="B1010" s="11">
        <v>46327</v>
      </c>
      <c r="C1010" s="3" t="s">
        <v>22</v>
      </c>
      <c r="D1010" s="3" t="s">
        <v>11</v>
      </c>
      <c r="E1010" s="3" t="str">
        <f>_xlfn.XLOOKUP(TabReceitas[[#This Row],[ID]],TabCondicoesComerciais[ID],TabCondicoesComerciais[Congênere],"Verificar")</f>
        <v>Rede Sol</v>
      </c>
      <c r="F1010" s="3" t="s">
        <v>8</v>
      </c>
      <c r="G1010" s="30">
        <v>0</v>
      </c>
      <c r="H1010" s="39">
        <v>0</v>
      </c>
    </row>
    <row r="1011" spans="1:8" hidden="1" x14ac:dyDescent="0.35">
      <c r="A1011" s="10" t="s">
        <v>190</v>
      </c>
      <c r="B1011" s="11">
        <v>46327</v>
      </c>
      <c r="C1011" s="3" t="s">
        <v>22</v>
      </c>
      <c r="D1011" s="3" t="s">
        <v>11</v>
      </c>
      <c r="E1011" s="3" t="str">
        <f>_xlfn.XLOOKUP(TabReceitas[[#This Row],[ID]],TabCondicoesComerciais[ID],TabCondicoesComerciais[Congênere],"Verificar")</f>
        <v>Rede Sol</v>
      </c>
      <c r="F1011" s="3" t="s">
        <v>15</v>
      </c>
      <c r="G1011" s="30">
        <v>0</v>
      </c>
      <c r="H1011" s="39">
        <v>0</v>
      </c>
    </row>
    <row r="1012" spans="1:8" hidden="1" x14ac:dyDescent="0.35">
      <c r="A1012" s="10" t="s">
        <v>190</v>
      </c>
      <c r="B1012" s="11">
        <v>46327</v>
      </c>
      <c r="C1012" s="3" t="s">
        <v>22</v>
      </c>
      <c r="D1012" s="3" t="s">
        <v>11</v>
      </c>
      <c r="E1012" s="3" t="str">
        <f>_xlfn.XLOOKUP(TabReceitas[[#This Row],[ID]],TabCondicoesComerciais[ID],TabCondicoesComerciais[Congênere],"Verificar")</f>
        <v>Rede Sol</v>
      </c>
      <c r="F1012" s="3" t="s">
        <v>65</v>
      </c>
      <c r="G1012" s="30">
        <v>0</v>
      </c>
      <c r="H1012" s="39">
        <v>0</v>
      </c>
    </row>
    <row r="1013" spans="1:8" hidden="1" x14ac:dyDescent="0.35">
      <c r="A1013" s="10" t="s">
        <v>172</v>
      </c>
      <c r="B1013" s="11">
        <v>46327</v>
      </c>
      <c r="C1013" s="3" t="s">
        <v>22</v>
      </c>
      <c r="D1013" s="3" t="s">
        <v>11</v>
      </c>
      <c r="E1013" s="3" t="str">
        <f>_xlfn.XLOOKUP(TabReceitas[[#This Row],[ID]],TabCondicoesComerciais[ID],TabCondicoesComerciais[Congênere],"Verificar")</f>
        <v>Ruff</v>
      </c>
      <c r="F1013" s="3" t="s">
        <v>7</v>
      </c>
      <c r="G1013" s="30">
        <v>0</v>
      </c>
      <c r="H1013" s="39">
        <v>0</v>
      </c>
    </row>
    <row r="1014" spans="1:8" hidden="1" x14ac:dyDescent="0.35">
      <c r="A1014" s="10" t="s">
        <v>172</v>
      </c>
      <c r="B1014" s="11">
        <v>46327</v>
      </c>
      <c r="C1014" s="3" t="s">
        <v>22</v>
      </c>
      <c r="D1014" s="3" t="s">
        <v>11</v>
      </c>
      <c r="E1014" s="3" t="str">
        <f>_xlfn.XLOOKUP(TabReceitas[[#This Row],[ID]],TabCondicoesComerciais[ID],TabCondicoesComerciais[Congênere],"Verificar")</f>
        <v>Ruff</v>
      </c>
      <c r="F1014" s="3" t="s">
        <v>8</v>
      </c>
      <c r="G1014" s="30">
        <v>0</v>
      </c>
      <c r="H1014" s="39">
        <v>0</v>
      </c>
    </row>
    <row r="1015" spans="1:8" hidden="1" x14ac:dyDescent="0.35">
      <c r="A1015" s="10" t="s">
        <v>172</v>
      </c>
      <c r="B1015" s="11">
        <v>46327</v>
      </c>
      <c r="C1015" s="3" t="s">
        <v>22</v>
      </c>
      <c r="D1015" s="3" t="s">
        <v>11</v>
      </c>
      <c r="E1015" s="3" t="str">
        <f>_xlfn.XLOOKUP(TabReceitas[[#This Row],[ID]],TabCondicoesComerciais[ID],TabCondicoesComerciais[Congênere],"Verificar")</f>
        <v>Ruff</v>
      </c>
      <c r="F1015" s="3" t="s">
        <v>15</v>
      </c>
      <c r="G1015" s="30">
        <v>0</v>
      </c>
      <c r="H1015" s="39">
        <v>0</v>
      </c>
    </row>
    <row r="1016" spans="1:8" hidden="1" x14ac:dyDescent="0.35">
      <c r="A1016" s="10" t="s">
        <v>172</v>
      </c>
      <c r="B1016" s="11">
        <v>46327</v>
      </c>
      <c r="C1016" s="3" t="s">
        <v>22</v>
      </c>
      <c r="D1016" s="3" t="s">
        <v>11</v>
      </c>
      <c r="E1016" s="3" t="str">
        <f>_xlfn.XLOOKUP(TabReceitas[[#This Row],[ID]],TabCondicoesComerciais[ID],TabCondicoesComerciais[Congênere],"Verificar")</f>
        <v>Ruff</v>
      </c>
      <c r="F1016" s="3" t="s">
        <v>65</v>
      </c>
      <c r="G1016" s="30">
        <v>0</v>
      </c>
      <c r="H1016" s="39">
        <v>0</v>
      </c>
    </row>
    <row r="1017" spans="1:8" hidden="1" x14ac:dyDescent="0.35">
      <c r="A1017" s="10" t="s">
        <v>263</v>
      </c>
      <c r="B1017" s="11">
        <v>46327</v>
      </c>
      <c r="C1017" s="3" t="s">
        <v>46</v>
      </c>
      <c r="D1017" s="3" t="s">
        <v>87</v>
      </c>
      <c r="E1017" s="3" t="s">
        <v>9</v>
      </c>
      <c r="F1017" s="3" t="s">
        <v>7</v>
      </c>
      <c r="G1017" s="30">
        <v>0</v>
      </c>
      <c r="H1017" s="39">
        <v>0</v>
      </c>
    </row>
    <row r="1018" spans="1:8" hidden="1" x14ac:dyDescent="0.35">
      <c r="A1018" s="10" t="s">
        <v>263</v>
      </c>
      <c r="B1018" s="11">
        <v>46327</v>
      </c>
      <c r="C1018" s="3" t="s">
        <v>46</v>
      </c>
      <c r="D1018" s="3" t="s">
        <v>87</v>
      </c>
      <c r="E1018" s="3" t="s">
        <v>9</v>
      </c>
      <c r="F1018" s="3" t="s">
        <v>8</v>
      </c>
      <c r="G1018" s="30">
        <v>0</v>
      </c>
      <c r="H1018" s="39">
        <v>0</v>
      </c>
    </row>
    <row r="1019" spans="1:8" hidden="1" x14ac:dyDescent="0.35">
      <c r="A1019" s="10" t="s">
        <v>263</v>
      </c>
      <c r="B1019" s="11">
        <v>46327</v>
      </c>
      <c r="C1019" s="3" t="s">
        <v>46</v>
      </c>
      <c r="D1019" s="3" t="s">
        <v>87</v>
      </c>
      <c r="E1019" s="3" t="s">
        <v>9</v>
      </c>
      <c r="F1019" s="3" t="s">
        <v>15</v>
      </c>
      <c r="G1019" s="30">
        <v>65348.32</v>
      </c>
      <c r="H1019" s="39">
        <v>1926</v>
      </c>
    </row>
    <row r="1020" spans="1:8" hidden="1" x14ac:dyDescent="0.35">
      <c r="A1020" s="10" t="s">
        <v>263</v>
      </c>
      <c r="B1020" s="11">
        <v>46327</v>
      </c>
      <c r="C1020" s="3" t="s">
        <v>46</v>
      </c>
      <c r="D1020" s="3" t="s">
        <v>87</v>
      </c>
      <c r="E1020" s="3" t="s">
        <v>9</v>
      </c>
      <c r="F1020" s="3" t="s">
        <v>65</v>
      </c>
      <c r="G1020" s="30">
        <v>0</v>
      </c>
      <c r="H1020" s="39">
        <v>0</v>
      </c>
    </row>
    <row r="1021" spans="1:8" hidden="1" x14ac:dyDescent="0.35">
      <c r="A1021" s="68" t="s">
        <v>342</v>
      </c>
      <c r="B1021" s="11">
        <v>46174</v>
      </c>
      <c r="C1021" s="3" t="s">
        <v>25</v>
      </c>
      <c r="D1021" s="3" t="s">
        <v>12</v>
      </c>
      <c r="E1021" s="3" t="s">
        <v>9</v>
      </c>
      <c r="F1021" s="3" t="s">
        <v>65</v>
      </c>
      <c r="G1021" s="30">
        <v>0</v>
      </c>
      <c r="H1021" s="39">
        <v>0</v>
      </c>
    </row>
    <row r="1022" spans="1:8" hidden="1" x14ac:dyDescent="0.35">
      <c r="A1022" s="10" t="s">
        <v>134</v>
      </c>
      <c r="B1022" s="11">
        <v>46327</v>
      </c>
      <c r="C1022" s="3" t="s">
        <v>57</v>
      </c>
      <c r="D1022" s="3" t="s">
        <v>58</v>
      </c>
      <c r="E1022" s="3" t="s">
        <v>10</v>
      </c>
      <c r="F1022" s="3" t="s">
        <v>7</v>
      </c>
      <c r="G1022" s="30">
        <v>0</v>
      </c>
      <c r="H1022" s="39">
        <v>0</v>
      </c>
    </row>
    <row r="1023" spans="1:8" hidden="1" x14ac:dyDescent="0.35">
      <c r="A1023" s="10" t="s">
        <v>134</v>
      </c>
      <c r="B1023" s="11">
        <v>46327</v>
      </c>
      <c r="C1023" s="3" t="s">
        <v>57</v>
      </c>
      <c r="D1023" s="3" t="s">
        <v>58</v>
      </c>
      <c r="E1023" s="3" t="s">
        <v>10</v>
      </c>
      <c r="F1023" s="3" t="s">
        <v>8</v>
      </c>
      <c r="G1023" s="30">
        <v>0</v>
      </c>
      <c r="H1023" s="39">
        <v>0</v>
      </c>
    </row>
    <row r="1024" spans="1:8" hidden="1" x14ac:dyDescent="0.35">
      <c r="A1024" s="10" t="s">
        <v>134</v>
      </c>
      <c r="B1024" s="11">
        <v>46327</v>
      </c>
      <c r="C1024" s="3" t="s">
        <v>57</v>
      </c>
      <c r="D1024" s="3" t="s">
        <v>58</v>
      </c>
      <c r="E1024" s="3" t="s">
        <v>10</v>
      </c>
      <c r="F1024" s="3" t="s">
        <v>15</v>
      </c>
      <c r="G1024" s="30">
        <v>35019.49</v>
      </c>
      <c r="H1024" s="39">
        <v>1100</v>
      </c>
    </row>
    <row r="1025" spans="1:8" hidden="1" x14ac:dyDescent="0.35">
      <c r="A1025" s="10" t="s">
        <v>134</v>
      </c>
      <c r="B1025" s="11">
        <v>46327</v>
      </c>
      <c r="C1025" s="3" t="s">
        <v>57</v>
      </c>
      <c r="D1025" s="3" t="s">
        <v>58</v>
      </c>
      <c r="E1025" s="3" t="s">
        <v>10</v>
      </c>
      <c r="F1025" s="3" t="s">
        <v>65</v>
      </c>
      <c r="G1025" s="30">
        <v>0</v>
      </c>
      <c r="H1025" s="39">
        <v>0</v>
      </c>
    </row>
    <row r="1026" spans="1:8" x14ac:dyDescent="0.35">
      <c r="A1026" s="10" t="s">
        <v>343</v>
      </c>
      <c r="B1026" s="11">
        <v>46327</v>
      </c>
      <c r="C1026" s="3" t="s">
        <v>26</v>
      </c>
      <c r="D1026" s="3" t="s">
        <v>19</v>
      </c>
      <c r="E1026" s="3" t="s">
        <v>13</v>
      </c>
      <c r="F1026" s="3" t="s">
        <v>7</v>
      </c>
      <c r="G1026" s="30">
        <v>0</v>
      </c>
      <c r="H1026" s="39">
        <v>0</v>
      </c>
    </row>
    <row r="1027" spans="1:8" x14ac:dyDescent="0.35">
      <c r="A1027" s="10" t="s">
        <v>343</v>
      </c>
      <c r="B1027" s="11">
        <v>46327</v>
      </c>
      <c r="C1027" s="3" t="s">
        <v>26</v>
      </c>
      <c r="D1027" s="3" t="s">
        <v>19</v>
      </c>
      <c r="E1027" s="3" t="s">
        <v>13</v>
      </c>
      <c r="F1027" s="3" t="s">
        <v>8</v>
      </c>
      <c r="G1027" s="30">
        <v>0</v>
      </c>
      <c r="H1027" s="39">
        <v>0</v>
      </c>
    </row>
    <row r="1028" spans="1:8" x14ac:dyDescent="0.35">
      <c r="A1028" s="10" t="s">
        <v>343</v>
      </c>
      <c r="B1028" s="11">
        <v>46327</v>
      </c>
      <c r="C1028" s="3" t="s">
        <v>26</v>
      </c>
      <c r="D1028" s="3" t="s">
        <v>19</v>
      </c>
      <c r="E1028" s="3" t="s">
        <v>13</v>
      </c>
      <c r="F1028" s="3" t="s">
        <v>15</v>
      </c>
      <c r="G1028" s="30">
        <v>15310.52</v>
      </c>
      <c r="H1028" s="39">
        <v>510</v>
      </c>
    </row>
    <row r="1029" spans="1:8" x14ac:dyDescent="0.35">
      <c r="A1029" s="10" t="s">
        <v>343</v>
      </c>
      <c r="B1029" s="11">
        <v>46327</v>
      </c>
      <c r="C1029" s="3" t="s">
        <v>26</v>
      </c>
      <c r="D1029" s="3" t="s">
        <v>19</v>
      </c>
      <c r="E1029" s="3" t="s">
        <v>13</v>
      </c>
      <c r="F1029" s="3" t="s">
        <v>65</v>
      </c>
      <c r="G1029" s="30">
        <v>0</v>
      </c>
      <c r="H1029" s="39">
        <v>0</v>
      </c>
    </row>
    <row r="1030" spans="1:8" hidden="1" x14ac:dyDescent="0.35">
      <c r="A1030" s="10" t="s">
        <v>274</v>
      </c>
      <c r="B1030" s="11">
        <v>46357</v>
      </c>
      <c r="C1030" s="3" t="s">
        <v>48</v>
      </c>
      <c r="D1030" s="3" t="s">
        <v>49</v>
      </c>
      <c r="E1030" s="3" t="s">
        <v>52</v>
      </c>
      <c r="F1030" s="3" t="s">
        <v>7</v>
      </c>
      <c r="G1030" s="30">
        <v>0</v>
      </c>
      <c r="H1030" s="39">
        <v>0</v>
      </c>
    </row>
    <row r="1031" spans="1:8" hidden="1" x14ac:dyDescent="0.35">
      <c r="A1031" s="10" t="s">
        <v>274</v>
      </c>
      <c r="B1031" s="11">
        <v>46357</v>
      </c>
      <c r="C1031" s="3" t="s">
        <v>48</v>
      </c>
      <c r="D1031" s="3" t="s">
        <v>49</v>
      </c>
      <c r="E1031" s="3" t="s">
        <v>52</v>
      </c>
      <c r="F1031" s="3" t="s">
        <v>8</v>
      </c>
      <c r="G1031" s="30">
        <v>0</v>
      </c>
      <c r="H1031" s="39">
        <v>0</v>
      </c>
    </row>
    <row r="1032" spans="1:8" hidden="1" x14ac:dyDescent="0.35">
      <c r="A1032" s="10" t="s">
        <v>274</v>
      </c>
      <c r="B1032" s="11">
        <v>46357</v>
      </c>
      <c r="C1032" s="3" t="s">
        <v>48</v>
      </c>
      <c r="D1032" s="3" t="s">
        <v>49</v>
      </c>
      <c r="E1032" s="3" t="s">
        <v>52</v>
      </c>
      <c r="F1032" s="3" t="s">
        <v>15</v>
      </c>
      <c r="G1032" s="30">
        <v>93380.944864864854</v>
      </c>
      <c r="H1032" s="39">
        <v>2040</v>
      </c>
    </row>
    <row r="1033" spans="1:8" hidden="1" x14ac:dyDescent="0.35">
      <c r="A1033" s="10" t="s">
        <v>274</v>
      </c>
      <c r="B1033" s="11">
        <v>46357</v>
      </c>
      <c r="C1033" s="3" t="s">
        <v>48</v>
      </c>
      <c r="D1033" s="3" t="s">
        <v>49</v>
      </c>
      <c r="E1033" s="3" t="s">
        <v>52</v>
      </c>
      <c r="F1033" s="3" t="s">
        <v>65</v>
      </c>
      <c r="G1033" s="30">
        <v>0</v>
      </c>
      <c r="H1033" s="39">
        <v>0</v>
      </c>
    </row>
    <row r="1034" spans="1:8" hidden="1" x14ac:dyDescent="0.35">
      <c r="A1034" s="10" t="s">
        <v>275</v>
      </c>
      <c r="B1034" s="11">
        <v>46357</v>
      </c>
      <c r="C1034" s="3" t="s">
        <v>48</v>
      </c>
      <c r="D1034" s="3" t="s">
        <v>49</v>
      </c>
      <c r="E1034" s="3" t="s">
        <v>14</v>
      </c>
      <c r="F1034" s="3" t="s">
        <v>7</v>
      </c>
      <c r="G1034" s="30">
        <v>0</v>
      </c>
      <c r="H1034" s="39">
        <v>0</v>
      </c>
    </row>
    <row r="1035" spans="1:8" hidden="1" x14ac:dyDescent="0.35">
      <c r="A1035" s="10" t="s">
        <v>275</v>
      </c>
      <c r="B1035" s="11">
        <v>46357</v>
      </c>
      <c r="C1035" s="3" t="s">
        <v>48</v>
      </c>
      <c r="D1035" s="3" t="s">
        <v>49</v>
      </c>
      <c r="E1035" s="3" t="s">
        <v>14</v>
      </c>
      <c r="F1035" s="3" t="s">
        <v>8</v>
      </c>
      <c r="G1035" s="30">
        <v>0</v>
      </c>
      <c r="H1035" s="39">
        <v>0</v>
      </c>
    </row>
    <row r="1036" spans="1:8" hidden="1" x14ac:dyDescent="0.35">
      <c r="A1036" s="10" t="s">
        <v>275</v>
      </c>
      <c r="B1036" s="11">
        <v>46357</v>
      </c>
      <c r="C1036" s="3" t="s">
        <v>48</v>
      </c>
      <c r="D1036" s="3" t="s">
        <v>49</v>
      </c>
      <c r="E1036" s="3" t="s">
        <v>14</v>
      </c>
      <c r="F1036" s="3" t="s">
        <v>15</v>
      </c>
      <c r="G1036" s="30">
        <v>18715.400000000001</v>
      </c>
      <c r="H1036" s="39">
        <v>936</v>
      </c>
    </row>
    <row r="1037" spans="1:8" hidden="1" x14ac:dyDescent="0.35">
      <c r="A1037" s="10" t="s">
        <v>275</v>
      </c>
      <c r="B1037" s="11">
        <v>46357</v>
      </c>
      <c r="C1037" s="3" t="s">
        <v>48</v>
      </c>
      <c r="D1037" s="3" t="s">
        <v>49</v>
      </c>
      <c r="E1037" s="3" t="s">
        <v>14</v>
      </c>
      <c r="F1037" s="3" t="s">
        <v>65</v>
      </c>
      <c r="G1037" s="30">
        <v>0</v>
      </c>
      <c r="H1037" s="39">
        <v>0</v>
      </c>
    </row>
    <row r="1038" spans="1:8" hidden="1" x14ac:dyDescent="0.35">
      <c r="A1038" s="10" t="s">
        <v>190</v>
      </c>
      <c r="B1038" s="11">
        <v>46357</v>
      </c>
      <c r="C1038" s="3" t="s">
        <v>22</v>
      </c>
      <c r="D1038" s="3" t="s">
        <v>11</v>
      </c>
      <c r="E1038" s="3" t="str">
        <f>_xlfn.XLOOKUP(TabReceitas[[#This Row],[ID]],TabCondicoesComerciais[ID],TabCondicoesComerciais[Congênere],"Verificar")</f>
        <v>Rede Sol</v>
      </c>
      <c r="F1038" s="3" t="s">
        <v>7</v>
      </c>
      <c r="G1038" s="30">
        <v>0</v>
      </c>
      <c r="H1038" s="39">
        <v>0</v>
      </c>
    </row>
    <row r="1039" spans="1:8" hidden="1" x14ac:dyDescent="0.35">
      <c r="A1039" s="10" t="s">
        <v>190</v>
      </c>
      <c r="B1039" s="11">
        <v>46357</v>
      </c>
      <c r="C1039" s="3" t="s">
        <v>22</v>
      </c>
      <c r="D1039" s="3" t="s">
        <v>11</v>
      </c>
      <c r="E1039" s="3" t="str">
        <f>_xlfn.XLOOKUP(TabReceitas[[#This Row],[ID]],TabCondicoesComerciais[ID],TabCondicoesComerciais[Congênere],"Verificar")</f>
        <v>Rede Sol</v>
      </c>
      <c r="F1039" s="3" t="s">
        <v>8</v>
      </c>
      <c r="G1039" s="30">
        <v>0</v>
      </c>
      <c r="H1039" s="39">
        <v>0</v>
      </c>
    </row>
    <row r="1040" spans="1:8" hidden="1" x14ac:dyDescent="0.35">
      <c r="A1040" s="10" t="s">
        <v>190</v>
      </c>
      <c r="B1040" s="11">
        <v>46357</v>
      </c>
      <c r="C1040" s="3" t="s">
        <v>22</v>
      </c>
      <c r="D1040" s="3" t="s">
        <v>11</v>
      </c>
      <c r="E1040" s="3" t="str">
        <f>_xlfn.XLOOKUP(TabReceitas[[#This Row],[ID]],TabCondicoesComerciais[ID],TabCondicoesComerciais[Congênere],"Verificar")</f>
        <v>Rede Sol</v>
      </c>
      <c r="F1040" s="3" t="s">
        <v>15</v>
      </c>
      <c r="G1040" s="30">
        <v>0</v>
      </c>
      <c r="H1040" s="39">
        <v>0</v>
      </c>
    </row>
    <row r="1041" spans="1:8" hidden="1" x14ac:dyDescent="0.35">
      <c r="A1041" s="10" t="s">
        <v>190</v>
      </c>
      <c r="B1041" s="11">
        <v>46357</v>
      </c>
      <c r="C1041" s="3" t="s">
        <v>22</v>
      </c>
      <c r="D1041" s="3" t="s">
        <v>11</v>
      </c>
      <c r="E1041" s="3" t="str">
        <f>_xlfn.XLOOKUP(TabReceitas[[#This Row],[ID]],TabCondicoesComerciais[ID],TabCondicoesComerciais[Congênere],"Verificar")</f>
        <v>Rede Sol</v>
      </c>
      <c r="F1041" s="3" t="s">
        <v>65</v>
      </c>
      <c r="G1041" s="30">
        <v>0</v>
      </c>
      <c r="H1041" s="39">
        <v>0</v>
      </c>
    </row>
    <row r="1042" spans="1:8" hidden="1" x14ac:dyDescent="0.35">
      <c r="A1042" s="10" t="s">
        <v>201</v>
      </c>
      <c r="B1042" s="11">
        <v>46143</v>
      </c>
      <c r="C1042" s="3" t="str">
        <f>_xlfn.XLOOKUP(TabReceitas[[#This Row],[ID]],TabCondicoesComerciais[ID],TabCondicoesComerciais[Nº Filial],0)</f>
        <v>11</v>
      </c>
      <c r="D1042" s="3" t="str">
        <f>_xlfn.XLOOKUP(TabReceitas[[#This Row],[ID]],TabCondicoesComerciais[ID],TabCondicoesComerciais[Base],"Verificar")</f>
        <v>Duque de Caxias</v>
      </c>
      <c r="E1042" s="3" t="str">
        <f>_xlfn.XLOOKUP(TabReceitas[[#This Row],[ID]],TabCondicoesComerciais[ID],TabCondicoesComerciais[Congênere],"Verificar")</f>
        <v>Vibra</v>
      </c>
      <c r="F1042" s="3" t="s">
        <v>7</v>
      </c>
      <c r="G1042" s="30"/>
      <c r="H1042" s="39"/>
    </row>
    <row r="1043" spans="1:8" hidden="1" x14ac:dyDescent="0.35">
      <c r="A1043" s="10" t="s">
        <v>201</v>
      </c>
      <c r="B1043" s="11">
        <v>46143</v>
      </c>
      <c r="C1043" s="3" t="str">
        <f>_xlfn.XLOOKUP(TabReceitas[[#This Row],[ID]],TabCondicoesComerciais[ID],TabCondicoesComerciais[Nº Filial],0)</f>
        <v>11</v>
      </c>
      <c r="D1043" s="3" t="str">
        <f>_xlfn.XLOOKUP(TabReceitas[[#This Row],[ID]],TabCondicoesComerciais[ID],TabCondicoesComerciais[Base],"Verificar")</f>
        <v>Duque de Caxias</v>
      </c>
      <c r="E1043" s="3" t="str">
        <f>_xlfn.XLOOKUP(TabReceitas[[#This Row],[ID]],TabCondicoesComerciais[ID],TabCondicoesComerciais[Congênere],"Verificar")</f>
        <v>Vibra</v>
      </c>
      <c r="F1043" s="3" t="s">
        <v>8</v>
      </c>
      <c r="G1043" s="30"/>
      <c r="H1043" s="39"/>
    </row>
    <row r="1044" spans="1:8" hidden="1" x14ac:dyDescent="0.35">
      <c r="A1044" s="10" t="s">
        <v>201</v>
      </c>
      <c r="B1044" s="11">
        <v>46143</v>
      </c>
      <c r="C1044" s="3" t="str">
        <f>_xlfn.XLOOKUP(TabReceitas[[#This Row],[ID]],TabCondicoesComerciais[ID],TabCondicoesComerciais[Nº Filial],0)</f>
        <v>11</v>
      </c>
      <c r="D1044" s="3" t="str">
        <f>_xlfn.XLOOKUP(TabReceitas[[#This Row],[ID]],TabCondicoesComerciais[ID],TabCondicoesComerciais[Base],"Verificar")</f>
        <v>Duque de Caxias</v>
      </c>
      <c r="E1044" s="3" t="str">
        <f>_xlfn.XLOOKUP(TabReceitas[[#This Row],[ID]],TabCondicoesComerciais[ID],TabCondicoesComerciais[Congênere],"Verificar")</f>
        <v>Vibra</v>
      </c>
      <c r="F1044" s="3" t="s">
        <v>15</v>
      </c>
      <c r="G1044" s="30"/>
      <c r="H1044" s="39"/>
    </row>
    <row r="1045" spans="1:8" hidden="1" x14ac:dyDescent="0.35">
      <c r="A1045" s="10" t="s">
        <v>201</v>
      </c>
      <c r="B1045" s="11">
        <v>46143</v>
      </c>
      <c r="C1045" s="3" t="str">
        <f>_xlfn.XLOOKUP(TabReceitas[[#This Row],[ID]],TabCondicoesComerciais[ID],TabCondicoesComerciais[Nº Filial],0)</f>
        <v>11</v>
      </c>
      <c r="D1045" s="3" t="str">
        <f>_xlfn.XLOOKUP(TabReceitas[[#This Row],[ID]],TabCondicoesComerciais[ID],TabCondicoesComerciais[Base],"Verificar")</f>
        <v>Duque de Caxias</v>
      </c>
      <c r="E1045" s="3" t="str">
        <f>_xlfn.XLOOKUP(TabReceitas[[#This Row],[ID]],TabCondicoesComerciais[ID],TabCondicoesComerciais[Congênere],"Verificar")</f>
        <v>Vibra</v>
      </c>
      <c r="F1045" s="3" t="s">
        <v>65</v>
      </c>
      <c r="G1045" s="30"/>
      <c r="H1045" s="39"/>
    </row>
    <row r="1046" spans="1:8" hidden="1" x14ac:dyDescent="0.35">
      <c r="A1046" s="10" t="s">
        <v>201</v>
      </c>
      <c r="B1046" s="11">
        <v>46174</v>
      </c>
      <c r="C1046" s="3" t="str">
        <f>_xlfn.XLOOKUP(TabReceitas[[#This Row],[ID]],TabCondicoesComerciais[ID],TabCondicoesComerciais[Nº Filial],0)</f>
        <v>11</v>
      </c>
      <c r="D1046" s="3" t="str">
        <f>_xlfn.XLOOKUP(TabReceitas[[#This Row],[ID]],TabCondicoesComerciais[ID],TabCondicoesComerciais[Base],"Verificar")</f>
        <v>Duque de Caxias</v>
      </c>
      <c r="E1046" s="3" t="str">
        <f>_xlfn.XLOOKUP(TabReceitas[[#This Row],[ID]],TabCondicoesComerciais[ID],TabCondicoesComerciais[Congênere],"Verificar")</f>
        <v>Vibra</v>
      </c>
      <c r="F1046" s="3" t="s">
        <v>7</v>
      </c>
      <c r="G1046" s="30"/>
      <c r="H1046" s="39"/>
    </row>
    <row r="1047" spans="1:8" hidden="1" x14ac:dyDescent="0.35">
      <c r="A1047" s="10" t="s">
        <v>201</v>
      </c>
      <c r="B1047" s="11">
        <v>46174</v>
      </c>
      <c r="C1047" s="3" t="str">
        <f>_xlfn.XLOOKUP(TabReceitas[[#This Row],[ID]],TabCondicoesComerciais[ID],TabCondicoesComerciais[Nº Filial],0)</f>
        <v>11</v>
      </c>
      <c r="D1047" s="3" t="str">
        <f>_xlfn.XLOOKUP(TabReceitas[[#This Row],[ID]],TabCondicoesComerciais[ID],TabCondicoesComerciais[Base],"Verificar")</f>
        <v>Duque de Caxias</v>
      </c>
      <c r="E1047" s="3" t="str">
        <f>_xlfn.XLOOKUP(TabReceitas[[#This Row],[ID]],TabCondicoesComerciais[ID],TabCondicoesComerciais[Congênere],"Verificar")</f>
        <v>Vibra</v>
      </c>
      <c r="F1047" s="3" t="s">
        <v>8</v>
      </c>
      <c r="G1047" s="30"/>
      <c r="H1047" s="39"/>
    </row>
    <row r="1048" spans="1:8" hidden="1" x14ac:dyDescent="0.35">
      <c r="A1048" s="10" t="s">
        <v>201</v>
      </c>
      <c r="B1048" s="11">
        <v>46174</v>
      </c>
      <c r="C1048" s="3" t="str">
        <f>_xlfn.XLOOKUP(TabReceitas[[#This Row],[ID]],TabCondicoesComerciais[ID],TabCondicoesComerciais[Nº Filial],0)</f>
        <v>11</v>
      </c>
      <c r="D1048" s="3" t="str">
        <f>_xlfn.XLOOKUP(TabReceitas[[#This Row],[ID]],TabCondicoesComerciais[ID],TabCondicoesComerciais[Base],"Verificar")</f>
        <v>Duque de Caxias</v>
      </c>
      <c r="E1048" s="3" t="str">
        <f>_xlfn.XLOOKUP(TabReceitas[[#This Row],[ID]],TabCondicoesComerciais[ID],TabCondicoesComerciais[Congênere],"Verificar")</f>
        <v>Vibra</v>
      </c>
      <c r="F1048" s="3" t="s">
        <v>15</v>
      </c>
      <c r="G1048" s="30"/>
      <c r="H1048" s="39"/>
    </row>
    <row r="1049" spans="1:8" hidden="1" x14ac:dyDescent="0.35">
      <c r="A1049" s="10" t="s">
        <v>201</v>
      </c>
      <c r="B1049" s="11">
        <v>46174</v>
      </c>
      <c r="C1049" s="3" t="str">
        <f>_xlfn.XLOOKUP(TabReceitas[[#This Row],[ID]],TabCondicoesComerciais[ID],TabCondicoesComerciais[Nº Filial],0)</f>
        <v>11</v>
      </c>
      <c r="D1049" s="3" t="str">
        <f>_xlfn.XLOOKUP(TabReceitas[[#This Row],[ID]],TabCondicoesComerciais[ID],TabCondicoesComerciais[Base],"Verificar")</f>
        <v>Duque de Caxias</v>
      </c>
      <c r="E1049" s="3" t="str">
        <f>_xlfn.XLOOKUP(TabReceitas[[#This Row],[ID]],TabCondicoesComerciais[ID],TabCondicoesComerciais[Congênere],"Verificar")</f>
        <v>Vibra</v>
      </c>
      <c r="F1049" s="3" t="s">
        <v>65</v>
      </c>
      <c r="G1049" s="30"/>
      <c r="H1049" s="39"/>
    </row>
    <row r="1050" spans="1:8" hidden="1" x14ac:dyDescent="0.35">
      <c r="A1050" s="10" t="s">
        <v>201</v>
      </c>
      <c r="B1050" s="11">
        <v>46204</v>
      </c>
      <c r="C1050" s="3" t="str">
        <f>_xlfn.XLOOKUP(TabReceitas[[#This Row],[ID]],TabCondicoesComerciais[ID],TabCondicoesComerciais[Nº Filial],0)</f>
        <v>11</v>
      </c>
      <c r="D1050" s="3" t="str">
        <f>_xlfn.XLOOKUP(TabReceitas[[#This Row],[ID]],TabCondicoesComerciais[ID],TabCondicoesComerciais[Base],"Verificar")</f>
        <v>Duque de Caxias</v>
      </c>
      <c r="E1050" s="3" t="str">
        <f>_xlfn.XLOOKUP(TabReceitas[[#This Row],[ID]],TabCondicoesComerciais[ID],TabCondicoesComerciais[Congênere],"Verificar")</f>
        <v>Vibra</v>
      </c>
      <c r="F1050" s="3" t="s">
        <v>7</v>
      </c>
      <c r="G1050" s="30"/>
      <c r="H1050" s="39"/>
    </row>
    <row r="1051" spans="1:8" hidden="1" x14ac:dyDescent="0.35">
      <c r="A1051" s="10" t="s">
        <v>201</v>
      </c>
      <c r="B1051" s="11">
        <v>46204</v>
      </c>
      <c r="C1051" s="3" t="str">
        <f>_xlfn.XLOOKUP(TabReceitas[[#This Row],[ID]],TabCondicoesComerciais[ID],TabCondicoesComerciais[Nº Filial],0)</f>
        <v>11</v>
      </c>
      <c r="D1051" s="3" t="str">
        <f>_xlfn.XLOOKUP(TabReceitas[[#This Row],[ID]],TabCondicoesComerciais[ID],TabCondicoesComerciais[Base],"Verificar")</f>
        <v>Duque de Caxias</v>
      </c>
      <c r="E1051" s="3" t="str">
        <f>_xlfn.XLOOKUP(TabReceitas[[#This Row],[ID]],TabCondicoesComerciais[ID],TabCondicoesComerciais[Congênere],"Verificar")</f>
        <v>Vibra</v>
      </c>
      <c r="F1051" s="3" t="s">
        <v>8</v>
      </c>
      <c r="G1051" s="30"/>
      <c r="H1051" s="39"/>
    </row>
    <row r="1052" spans="1:8" hidden="1" x14ac:dyDescent="0.35">
      <c r="A1052" s="10" t="s">
        <v>201</v>
      </c>
      <c r="B1052" s="11">
        <v>46204</v>
      </c>
      <c r="C1052" s="3" t="str">
        <f>_xlfn.XLOOKUP(TabReceitas[[#This Row],[ID]],TabCondicoesComerciais[ID],TabCondicoesComerciais[Nº Filial],0)</f>
        <v>11</v>
      </c>
      <c r="D1052" s="3" t="str">
        <f>_xlfn.XLOOKUP(TabReceitas[[#This Row],[ID]],TabCondicoesComerciais[ID],TabCondicoesComerciais[Base],"Verificar")</f>
        <v>Duque de Caxias</v>
      </c>
      <c r="E1052" s="3" t="str">
        <f>_xlfn.XLOOKUP(TabReceitas[[#This Row],[ID]],TabCondicoesComerciais[ID],TabCondicoesComerciais[Congênere],"Verificar")</f>
        <v>Vibra</v>
      </c>
      <c r="F1052" s="3" t="s">
        <v>15</v>
      </c>
      <c r="G1052" s="30"/>
      <c r="H1052" s="39"/>
    </row>
    <row r="1053" spans="1:8" hidden="1" x14ac:dyDescent="0.35">
      <c r="A1053" s="10" t="s">
        <v>201</v>
      </c>
      <c r="B1053" s="11">
        <v>46204</v>
      </c>
      <c r="C1053" s="3" t="str">
        <f>_xlfn.XLOOKUP(TabReceitas[[#This Row],[ID]],TabCondicoesComerciais[ID],TabCondicoesComerciais[Nº Filial],0)</f>
        <v>11</v>
      </c>
      <c r="D1053" s="3" t="str">
        <f>_xlfn.XLOOKUP(TabReceitas[[#This Row],[ID]],TabCondicoesComerciais[ID],TabCondicoesComerciais[Base],"Verificar")</f>
        <v>Duque de Caxias</v>
      </c>
      <c r="E1053" s="3" t="str">
        <f>_xlfn.XLOOKUP(TabReceitas[[#This Row],[ID]],TabCondicoesComerciais[ID],TabCondicoesComerciais[Congênere],"Verificar")</f>
        <v>Vibra</v>
      </c>
      <c r="F1053" s="3" t="s">
        <v>65</v>
      </c>
      <c r="G1053" s="30"/>
      <c r="H1053" s="39"/>
    </row>
    <row r="1054" spans="1:8" hidden="1" x14ac:dyDescent="0.35">
      <c r="A1054" s="10" t="s">
        <v>201</v>
      </c>
      <c r="B1054" s="11">
        <v>46235</v>
      </c>
      <c r="C1054" s="3" t="str">
        <f>_xlfn.XLOOKUP(TabReceitas[[#This Row],[ID]],TabCondicoesComerciais[ID],TabCondicoesComerciais[Nº Filial],0)</f>
        <v>11</v>
      </c>
      <c r="D1054" s="3" t="str">
        <f>_xlfn.XLOOKUP(TabReceitas[[#This Row],[ID]],TabCondicoesComerciais[ID],TabCondicoesComerciais[Base],"Verificar")</f>
        <v>Duque de Caxias</v>
      </c>
      <c r="E1054" s="3" t="str">
        <f>_xlfn.XLOOKUP(TabReceitas[[#This Row],[ID]],TabCondicoesComerciais[ID],TabCondicoesComerciais[Congênere],"Verificar")</f>
        <v>Vibra</v>
      </c>
      <c r="F1054" s="3" t="s">
        <v>7</v>
      </c>
      <c r="G1054" s="30"/>
      <c r="H1054" s="39"/>
    </row>
    <row r="1055" spans="1:8" hidden="1" x14ac:dyDescent="0.35">
      <c r="A1055" s="10" t="s">
        <v>201</v>
      </c>
      <c r="B1055" s="11">
        <v>46235</v>
      </c>
      <c r="C1055" s="3" t="str">
        <f>_xlfn.XLOOKUP(TabReceitas[[#This Row],[ID]],TabCondicoesComerciais[ID],TabCondicoesComerciais[Nº Filial],0)</f>
        <v>11</v>
      </c>
      <c r="D1055" s="3" t="str">
        <f>_xlfn.XLOOKUP(TabReceitas[[#This Row],[ID]],TabCondicoesComerciais[ID],TabCondicoesComerciais[Base],"Verificar")</f>
        <v>Duque de Caxias</v>
      </c>
      <c r="E1055" s="3" t="str">
        <f>_xlfn.XLOOKUP(TabReceitas[[#This Row],[ID]],TabCondicoesComerciais[ID],TabCondicoesComerciais[Congênere],"Verificar")</f>
        <v>Vibra</v>
      </c>
      <c r="F1055" s="3" t="s">
        <v>8</v>
      </c>
      <c r="G1055" s="30"/>
      <c r="H1055" s="39"/>
    </row>
    <row r="1056" spans="1:8" hidden="1" x14ac:dyDescent="0.35">
      <c r="A1056" s="10" t="s">
        <v>201</v>
      </c>
      <c r="B1056" s="11">
        <v>46235</v>
      </c>
      <c r="C1056" s="3" t="str">
        <f>_xlfn.XLOOKUP(TabReceitas[[#This Row],[ID]],TabCondicoesComerciais[ID],TabCondicoesComerciais[Nº Filial],0)</f>
        <v>11</v>
      </c>
      <c r="D1056" s="3" t="str">
        <f>_xlfn.XLOOKUP(TabReceitas[[#This Row],[ID]],TabCondicoesComerciais[ID],TabCondicoesComerciais[Base],"Verificar")</f>
        <v>Duque de Caxias</v>
      </c>
      <c r="E1056" s="3" t="str">
        <f>_xlfn.XLOOKUP(TabReceitas[[#This Row],[ID]],TabCondicoesComerciais[ID],TabCondicoesComerciais[Congênere],"Verificar")</f>
        <v>Vibra</v>
      </c>
      <c r="F1056" s="3" t="s">
        <v>15</v>
      </c>
      <c r="G1056" s="30"/>
      <c r="H1056" s="39"/>
    </row>
    <row r="1057" spans="1:8" hidden="1" x14ac:dyDescent="0.35">
      <c r="A1057" s="10" t="s">
        <v>201</v>
      </c>
      <c r="B1057" s="11">
        <v>46235</v>
      </c>
      <c r="C1057" s="3" t="str">
        <f>_xlfn.XLOOKUP(TabReceitas[[#This Row],[ID]],TabCondicoesComerciais[ID],TabCondicoesComerciais[Nº Filial],0)</f>
        <v>11</v>
      </c>
      <c r="D1057" s="3" t="str">
        <f>_xlfn.XLOOKUP(TabReceitas[[#This Row],[ID]],TabCondicoesComerciais[ID],TabCondicoesComerciais[Base],"Verificar")</f>
        <v>Duque de Caxias</v>
      </c>
      <c r="E1057" s="3" t="str">
        <f>_xlfn.XLOOKUP(TabReceitas[[#This Row],[ID]],TabCondicoesComerciais[ID],TabCondicoesComerciais[Congênere],"Verificar")</f>
        <v>Vibra</v>
      </c>
      <c r="F1057" s="3" t="s">
        <v>65</v>
      </c>
      <c r="G1057" s="30"/>
      <c r="H1057" s="39"/>
    </row>
    <row r="1058" spans="1:8" hidden="1" x14ac:dyDescent="0.35">
      <c r="A1058" s="10" t="s">
        <v>201</v>
      </c>
      <c r="B1058" s="11">
        <v>46266</v>
      </c>
      <c r="C1058" s="3" t="str">
        <f>_xlfn.XLOOKUP(TabReceitas[[#This Row],[ID]],TabCondicoesComerciais[ID],TabCondicoesComerciais[Nº Filial],0)</f>
        <v>11</v>
      </c>
      <c r="D1058" s="3" t="str">
        <f>_xlfn.XLOOKUP(TabReceitas[[#This Row],[ID]],TabCondicoesComerciais[ID],TabCondicoesComerciais[Base],"Verificar")</f>
        <v>Duque de Caxias</v>
      </c>
      <c r="E1058" s="3" t="str">
        <f>_xlfn.XLOOKUP(TabReceitas[[#This Row],[ID]],TabCondicoesComerciais[ID],TabCondicoesComerciais[Congênere],"Verificar")</f>
        <v>Vibra</v>
      </c>
      <c r="F1058" s="3" t="s">
        <v>7</v>
      </c>
      <c r="G1058" s="30"/>
      <c r="H1058" s="39"/>
    </row>
    <row r="1059" spans="1:8" hidden="1" x14ac:dyDescent="0.35">
      <c r="A1059" s="10" t="s">
        <v>201</v>
      </c>
      <c r="B1059" s="11">
        <v>46266</v>
      </c>
      <c r="C1059" s="3" t="str">
        <f>_xlfn.XLOOKUP(TabReceitas[[#This Row],[ID]],TabCondicoesComerciais[ID],TabCondicoesComerciais[Nº Filial],0)</f>
        <v>11</v>
      </c>
      <c r="D1059" s="3" t="str">
        <f>_xlfn.XLOOKUP(TabReceitas[[#This Row],[ID]],TabCondicoesComerciais[ID],TabCondicoesComerciais[Base],"Verificar")</f>
        <v>Duque de Caxias</v>
      </c>
      <c r="E1059" s="3" t="str">
        <f>_xlfn.XLOOKUP(TabReceitas[[#This Row],[ID]],TabCondicoesComerciais[ID],TabCondicoesComerciais[Congênere],"Verificar")</f>
        <v>Vibra</v>
      </c>
      <c r="F1059" s="3" t="s">
        <v>8</v>
      </c>
      <c r="G1059" s="30"/>
      <c r="H1059" s="39"/>
    </row>
    <row r="1060" spans="1:8" hidden="1" x14ac:dyDescent="0.35">
      <c r="A1060" s="10" t="s">
        <v>201</v>
      </c>
      <c r="B1060" s="11">
        <v>46266</v>
      </c>
      <c r="C1060" s="3" t="str">
        <f>_xlfn.XLOOKUP(TabReceitas[[#This Row],[ID]],TabCondicoesComerciais[ID],TabCondicoesComerciais[Nº Filial],0)</f>
        <v>11</v>
      </c>
      <c r="D1060" s="3" t="str">
        <f>_xlfn.XLOOKUP(TabReceitas[[#This Row],[ID]],TabCondicoesComerciais[ID],TabCondicoesComerciais[Base],"Verificar")</f>
        <v>Duque de Caxias</v>
      </c>
      <c r="E1060" s="3" t="str">
        <f>_xlfn.XLOOKUP(TabReceitas[[#This Row],[ID]],TabCondicoesComerciais[ID],TabCondicoesComerciais[Congênere],"Verificar")</f>
        <v>Vibra</v>
      </c>
      <c r="F1060" s="3" t="s">
        <v>15</v>
      </c>
      <c r="G1060" s="30"/>
      <c r="H1060" s="39"/>
    </row>
    <row r="1061" spans="1:8" hidden="1" x14ac:dyDescent="0.35">
      <c r="A1061" s="10" t="s">
        <v>201</v>
      </c>
      <c r="B1061" s="11">
        <v>46266</v>
      </c>
      <c r="C1061" s="3" t="str">
        <f>_xlfn.XLOOKUP(TabReceitas[[#This Row],[ID]],TabCondicoesComerciais[ID],TabCondicoesComerciais[Nº Filial],0)</f>
        <v>11</v>
      </c>
      <c r="D1061" s="3" t="str">
        <f>_xlfn.XLOOKUP(TabReceitas[[#This Row],[ID]],TabCondicoesComerciais[ID],TabCondicoesComerciais[Base],"Verificar")</f>
        <v>Duque de Caxias</v>
      </c>
      <c r="E1061" s="3" t="str">
        <f>_xlfn.XLOOKUP(TabReceitas[[#This Row],[ID]],TabCondicoesComerciais[ID],TabCondicoesComerciais[Congênere],"Verificar")</f>
        <v>Vibra</v>
      </c>
      <c r="F1061" s="3" t="s">
        <v>65</v>
      </c>
      <c r="G1061" s="30"/>
      <c r="H1061" s="39"/>
    </row>
    <row r="1062" spans="1:8" hidden="1" x14ac:dyDescent="0.35">
      <c r="A1062" s="10" t="s">
        <v>201</v>
      </c>
      <c r="B1062" s="11">
        <v>46296</v>
      </c>
      <c r="C1062" s="3" t="str">
        <f>_xlfn.XLOOKUP(TabReceitas[[#This Row],[ID]],TabCondicoesComerciais[ID],TabCondicoesComerciais[Nº Filial],0)</f>
        <v>11</v>
      </c>
      <c r="D1062" s="3" t="str">
        <f>_xlfn.XLOOKUP(TabReceitas[[#This Row],[ID]],TabCondicoesComerciais[ID],TabCondicoesComerciais[Base],"Verificar")</f>
        <v>Duque de Caxias</v>
      </c>
      <c r="E1062" s="3" t="str">
        <f>_xlfn.XLOOKUP(TabReceitas[[#This Row],[ID]],TabCondicoesComerciais[ID],TabCondicoesComerciais[Congênere],"Verificar")</f>
        <v>Vibra</v>
      </c>
      <c r="F1062" s="3" t="s">
        <v>7</v>
      </c>
      <c r="G1062" s="30"/>
      <c r="H1062" s="39"/>
    </row>
    <row r="1063" spans="1:8" hidden="1" x14ac:dyDescent="0.35">
      <c r="A1063" s="10" t="s">
        <v>201</v>
      </c>
      <c r="B1063" s="11">
        <v>46296</v>
      </c>
      <c r="C1063" s="3" t="str">
        <f>_xlfn.XLOOKUP(TabReceitas[[#This Row],[ID]],TabCondicoesComerciais[ID],TabCondicoesComerciais[Nº Filial],0)</f>
        <v>11</v>
      </c>
      <c r="D1063" s="3" t="str">
        <f>_xlfn.XLOOKUP(TabReceitas[[#This Row],[ID]],TabCondicoesComerciais[ID],TabCondicoesComerciais[Base],"Verificar")</f>
        <v>Duque de Caxias</v>
      </c>
      <c r="E1063" s="3" t="str">
        <f>_xlfn.XLOOKUP(TabReceitas[[#This Row],[ID]],TabCondicoesComerciais[ID],TabCondicoesComerciais[Congênere],"Verificar")</f>
        <v>Vibra</v>
      </c>
      <c r="F1063" s="3" t="s">
        <v>8</v>
      </c>
      <c r="G1063" s="30"/>
      <c r="H1063" s="39"/>
    </row>
    <row r="1064" spans="1:8" hidden="1" x14ac:dyDescent="0.35">
      <c r="A1064" s="10" t="s">
        <v>201</v>
      </c>
      <c r="B1064" s="11">
        <v>46296</v>
      </c>
      <c r="C1064" s="3" t="str">
        <f>_xlfn.XLOOKUP(TabReceitas[[#This Row],[ID]],TabCondicoesComerciais[ID],TabCondicoesComerciais[Nº Filial],0)</f>
        <v>11</v>
      </c>
      <c r="D1064" s="3" t="str">
        <f>_xlfn.XLOOKUP(TabReceitas[[#This Row],[ID]],TabCondicoesComerciais[ID],TabCondicoesComerciais[Base],"Verificar")</f>
        <v>Duque de Caxias</v>
      </c>
      <c r="E1064" s="3" t="str">
        <f>_xlfn.XLOOKUP(TabReceitas[[#This Row],[ID]],TabCondicoesComerciais[ID],TabCondicoesComerciais[Congênere],"Verificar")</f>
        <v>Vibra</v>
      </c>
      <c r="F1064" s="3" t="s">
        <v>15</v>
      </c>
      <c r="G1064" s="30"/>
      <c r="H1064" s="39"/>
    </row>
    <row r="1065" spans="1:8" hidden="1" x14ac:dyDescent="0.35">
      <c r="A1065" s="10" t="s">
        <v>201</v>
      </c>
      <c r="B1065" s="11">
        <v>46296</v>
      </c>
      <c r="C1065" s="3" t="str">
        <f>_xlfn.XLOOKUP(TabReceitas[[#This Row],[ID]],TabCondicoesComerciais[ID],TabCondicoesComerciais[Nº Filial],0)</f>
        <v>11</v>
      </c>
      <c r="D1065" s="3" t="str">
        <f>_xlfn.XLOOKUP(TabReceitas[[#This Row],[ID]],TabCondicoesComerciais[ID],TabCondicoesComerciais[Base],"Verificar")</f>
        <v>Duque de Caxias</v>
      </c>
      <c r="E1065" s="3" t="str">
        <f>_xlfn.XLOOKUP(TabReceitas[[#This Row],[ID]],TabCondicoesComerciais[ID],TabCondicoesComerciais[Congênere],"Verificar")</f>
        <v>Vibra</v>
      </c>
      <c r="F1065" s="3" t="s">
        <v>65</v>
      </c>
      <c r="G1065" s="30"/>
      <c r="H1065" s="39"/>
    </row>
    <row r="1066" spans="1:8" hidden="1" x14ac:dyDescent="0.35">
      <c r="A1066" s="10" t="s">
        <v>201</v>
      </c>
      <c r="B1066" s="11">
        <v>46327</v>
      </c>
      <c r="C1066" s="3" t="str">
        <f>_xlfn.XLOOKUP(TabReceitas[[#This Row],[ID]],TabCondicoesComerciais[ID],TabCondicoesComerciais[Nº Filial],0)</f>
        <v>11</v>
      </c>
      <c r="D1066" s="3" t="str">
        <f>_xlfn.XLOOKUP(TabReceitas[[#This Row],[ID]],TabCondicoesComerciais[ID],TabCondicoesComerciais[Base],"Verificar")</f>
        <v>Duque de Caxias</v>
      </c>
      <c r="E1066" s="3" t="str">
        <f>_xlfn.XLOOKUP(TabReceitas[[#This Row],[ID]],TabCondicoesComerciais[ID],TabCondicoesComerciais[Congênere],"Verificar")</f>
        <v>Vibra</v>
      </c>
      <c r="F1066" s="3" t="s">
        <v>7</v>
      </c>
      <c r="G1066" s="30"/>
      <c r="H1066" s="39"/>
    </row>
    <row r="1067" spans="1:8" hidden="1" x14ac:dyDescent="0.35">
      <c r="A1067" s="10" t="s">
        <v>201</v>
      </c>
      <c r="B1067" s="11">
        <v>46327</v>
      </c>
      <c r="C1067" s="3" t="str">
        <f>_xlfn.XLOOKUP(TabReceitas[[#This Row],[ID]],TabCondicoesComerciais[ID],TabCondicoesComerciais[Nº Filial],0)</f>
        <v>11</v>
      </c>
      <c r="D1067" s="3" t="str">
        <f>_xlfn.XLOOKUP(TabReceitas[[#This Row],[ID]],TabCondicoesComerciais[ID],TabCondicoesComerciais[Base],"Verificar")</f>
        <v>Duque de Caxias</v>
      </c>
      <c r="E1067" s="3" t="str">
        <f>_xlfn.XLOOKUP(TabReceitas[[#This Row],[ID]],TabCondicoesComerciais[ID],TabCondicoesComerciais[Congênere],"Verificar")</f>
        <v>Vibra</v>
      </c>
      <c r="F1067" s="3" t="s">
        <v>8</v>
      </c>
      <c r="G1067" s="30"/>
      <c r="H1067" s="39"/>
    </row>
    <row r="1068" spans="1:8" hidden="1" x14ac:dyDescent="0.35">
      <c r="A1068" s="10" t="s">
        <v>201</v>
      </c>
      <c r="B1068" s="11">
        <v>46327</v>
      </c>
      <c r="C1068" s="3" t="str">
        <f>_xlfn.XLOOKUP(TabReceitas[[#This Row],[ID]],TabCondicoesComerciais[ID],TabCondicoesComerciais[Nº Filial],0)</f>
        <v>11</v>
      </c>
      <c r="D1068" s="3" t="str">
        <f>_xlfn.XLOOKUP(TabReceitas[[#This Row],[ID]],TabCondicoesComerciais[ID],TabCondicoesComerciais[Base],"Verificar")</f>
        <v>Duque de Caxias</v>
      </c>
      <c r="E1068" s="3" t="str">
        <f>_xlfn.XLOOKUP(TabReceitas[[#This Row],[ID]],TabCondicoesComerciais[ID],TabCondicoesComerciais[Congênere],"Verificar")</f>
        <v>Vibra</v>
      </c>
      <c r="F1068" s="3" t="s">
        <v>15</v>
      </c>
      <c r="G1068" s="30"/>
      <c r="H1068" s="39"/>
    </row>
    <row r="1069" spans="1:8" hidden="1" x14ac:dyDescent="0.35">
      <c r="A1069" s="10" t="s">
        <v>201</v>
      </c>
      <c r="B1069" s="11">
        <v>46327</v>
      </c>
      <c r="C1069" s="3" t="str">
        <f>_xlfn.XLOOKUP(TabReceitas[[#This Row],[ID]],TabCondicoesComerciais[ID],TabCondicoesComerciais[Nº Filial],0)</f>
        <v>11</v>
      </c>
      <c r="D1069" s="3" t="str">
        <f>_xlfn.XLOOKUP(TabReceitas[[#This Row],[ID]],TabCondicoesComerciais[ID],TabCondicoesComerciais[Base],"Verificar")</f>
        <v>Duque de Caxias</v>
      </c>
      <c r="E1069" s="3" t="str">
        <f>_xlfn.XLOOKUP(TabReceitas[[#This Row],[ID]],TabCondicoesComerciais[ID],TabCondicoesComerciais[Congênere],"Verificar")</f>
        <v>Vibra</v>
      </c>
      <c r="F1069" s="3" t="s">
        <v>65</v>
      </c>
      <c r="G1069" s="30"/>
      <c r="H1069" s="39"/>
    </row>
    <row r="1070" spans="1:8" hidden="1" x14ac:dyDescent="0.35">
      <c r="A1070" s="10" t="s">
        <v>201</v>
      </c>
      <c r="B1070" s="11">
        <v>46357</v>
      </c>
      <c r="C1070" s="3" t="str">
        <f>_xlfn.XLOOKUP(TabReceitas[[#This Row],[ID]],TabCondicoesComerciais[ID],TabCondicoesComerciais[Nº Filial],0)</f>
        <v>11</v>
      </c>
      <c r="D1070" s="3" t="str">
        <f>_xlfn.XLOOKUP(TabReceitas[[#This Row],[ID]],TabCondicoesComerciais[ID],TabCondicoesComerciais[Base],"Verificar")</f>
        <v>Duque de Caxias</v>
      </c>
      <c r="E1070" s="3" t="str">
        <f>_xlfn.XLOOKUP(TabReceitas[[#This Row],[ID]],TabCondicoesComerciais[ID],TabCondicoesComerciais[Congênere],"Verificar")</f>
        <v>Vibra</v>
      </c>
      <c r="F1070" s="3" t="s">
        <v>7</v>
      </c>
      <c r="G1070" s="30"/>
      <c r="H1070" s="39"/>
    </row>
    <row r="1071" spans="1:8" hidden="1" x14ac:dyDescent="0.35">
      <c r="A1071" s="10" t="s">
        <v>201</v>
      </c>
      <c r="B1071" s="11">
        <v>46357</v>
      </c>
      <c r="C1071" s="3" t="str">
        <f>_xlfn.XLOOKUP(TabReceitas[[#This Row],[ID]],TabCondicoesComerciais[ID],TabCondicoesComerciais[Nº Filial],0)</f>
        <v>11</v>
      </c>
      <c r="D1071" s="3" t="str">
        <f>_xlfn.XLOOKUP(TabReceitas[[#This Row],[ID]],TabCondicoesComerciais[ID],TabCondicoesComerciais[Base],"Verificar")</f>
        <v>Duque de Caxias</v>
      </c>
      <c r="E1071" s="3" t="str">
        <f>_xlfn.XLOOKUP(TabReceitas[[#This Row],[ID]],TabCondicoesComerciais[ID],TabCondicoesComerciais[Congênere],"Verificar")</f>
        <v>Vibra</v>
      </c>
      <c r="F1071" s="3" t="s">
        <v>8</v>
      </c>
      <c r="G1071" s="30"/>
      <c r="H1071" s="39"/>
    </row>
    <row r="1072" spans="1:8" hidden="1" x14ac:dyDescent="0.35">
      <c r="A1072" s="10" t="s">
        <v>201</v>
      </c>
      <c r="B1072" s="11">
        <v>46357</v>
      </c>
      <c r="C1072" s="3" t="str">
        <f>_xlfn.XLOOKUP(TabReceitas[[#This Row],[ID]],TabCondicoesComerciais[ID],TabCondicoesComerciais[Nº Filial],0)</f>
        <v>11</v>
      </c>
      <c r="D1072" s="3" t="str">
        <f>_xlfn.XLOOKUP(TabReceitas[[#This Row],[ID]],TabCondicoesComerciais[ID],TabCondicoesComerciais[Base],"Verificar")</f>
        <v>Duque de Caxias</v>
      </c>
      <c r="E1072" s="3" t="str">
        <f>_xlfn.XLOOKUP(TabReceitas[[#This Row],[ID]],TabCondicoesComerciais[ID],TabCondicoesComerciais[Congênere],"Verificar")</f>
        <v>Vibra</v>
      </c>
      <c r="F1072" s="3" t="s">
        <v>15</v>
      </c>
      <c r="G1072" s="30"/>
      <c r="H1072" s="39"/>
    </row>
    <row r="1073" spans="1:8" hidden="1" x14ac:dyDescent="0.35">
      <c r="A1073" s="10" t="s">
        <v>201</v>
      </c>
      <c r="B1073" s="11">
        <v>46357</v>
      </c>
      <c r="C1073" s="3" t="str">
        <f>_xlfn.XLOOKUP(TabReceitas[[#This Row],[ID]],TabCondicoesComerciais[ID],TabCondicoesComerciais[Nº Filial],0)</f>
        <v>11</v>
      </c>
      <c r="D1073" s="3" t="str">
        <f>_xlfn.XLOOKUP(TabReceitas[[#This Row],[ID]],TabCondicoesComerciais[ID],TabCondicoesComerciais[Base],"Verificar")</f>
        <v>Duque de Caxias</v>
      </c>
      <c r="E1073" s="3" t="str">
        <f>_xlfn.XLOOKUP(TabReceitas[[#This Row],[ID]],TabCondicoesComerciais[ID],TabCondicoesComerciais[Congênere],"Verificar")</f>
        <v>Vibra</v>
      </c>
      <c r="F1073" s="3" t="s">
        <v>65</v>
      </c>
      <c r="G1073" s="30"/>
      <c r="H1073" s="39"/>
    </row>
    <row r="1074" spans="1:8" hidden="1" x14ac:dyDescent="0.35">
      <c r="A1074" s="10" t="s">
        <v>172</v>
      </c>
      <c r="B1074" s="11">
        <v>46357</v>
      </c>
      <c r="C1074" s="3" t="s">
        <v>22</v>
      </c>
      <c r="D1074" s="3" t="s">
        <v>11</v>
      </c>
      <c r="E1074" s="3" t="str">
        <f>_xlfn.XLOOKUP(TabReceitas[[#This Row],[ID]],TabCondicoesComerciais[ID],TabCondicoesComerciais[Congênere],"Verificar")</f>
        <v>Ruff</v>
      </c>
      <c r="F1074" s="3" t="s">
        <v>7</v>
      </c>
      <c r="G1074" s="30">
        <v>0</v>
      </c>
      <c r="H1074" s="39">
        <v>0</v>
      </c>
    </row>
    <row r="1075" spans="1:8" hidden="1" x14ac:dyDescent="0.35">
      <c r="A1075" s="10" t="s">
        <v>172</v>
      </c>
      <c r="B1075" s="11">
        <v>46357</v>
      </c>
      <c r="C1075" s="3" t="s">
        <v>22</v>
      </c>
      <c r="D1075" s="3" t="s">
        <v>11</v>
      </c>
      <c r="E1075" s="3" t="str">
        <f>_xlfn.XLOOKUP(TabReceitas[[#This Row],[ID]],TabCondicoesComerciais[ID],TabCondicoesComerciais[Congênere],"Verificar")</f>
        <v>Ruff</v>
      </c>
      <c r="F1075" s="3" t="s">
        <v>8</v>
      </c>
      <c r="G1075" s="30">
        <v>0</v>
      </c>
      <c r="H1075" s="39">
        <v>0</v>
      </c>
    </row>
    <row r="1076" spans="1:8" hidden="1" x14ac:dyDescent="0.35">
      <c r="A1076" s="10" t="s">
        <v>172</v>
      </c>
      <c r="B1076" s="11">
        <v>46357</v>
      </c>
      <c r="C1076" s="3" t="s">
        <v>22</v>
      </c>
      <c r="D1076" s="3" t="s">
        <v>11</v>
      </c>
      <c r="E1076" s="3" t="str">
        <f>_xlfn.XLOOKUP(TabReceitas[[#This Row],[ID]],TabCondicoesComerciais[ID],TabCondicoesComerciais[Congênere],"Verificar")</f>
        <v>Ruff</v>
      </c>
      <c r="F1076" s="3" t="s">
        <v>15</v>
      </c>
      <c r="G1076" s="30">
        <v>0</v>
      </c>
      <c r="H1076" s="39">
        <v>0</v>
      </c>
    </row>
    <row r="1077" spans="1:8" hidden="1" x14ac:dyDescent="0.35">
      <c r="A1077" s="10" t="s">
        <v>172</v>
      </c>
      <c r="B1077" s="11">
        <v>46357</v>
      </c>
      <c r="C1077" s="3" t="s">
        <v>22</v>
      </c>
      <c r="D1077" s="3" t="s">
        <v>11</v>
      </c>
      <c r="E1077" s="3" t="str">
        <f>_xlfn.XLOOKUP(TabReceitas[[#This Row],[ID]],TabCondicoesComerciais[ID],TabCondicoesComerciais[Congênere],"Verificar")</f>
        <v>Ruff</v>
      </c>
      <c r="F1077" s="3" t="s">
        <v>65</v>
      </c>
      <c r="G1077" s="30">
        <v>0</v>
      </c>
      <c r="H1077" s="39">
        <v>0</v>
      </c>
    </row>
    <row r="1078" spans="1:8" hidden="1" x14ac:dyDescent="0.35">
      <c r="A1078" s="10" t="s">
        <v>263</v>
      </c>
      <c r="B1078" s="11">
        <v>46357</v>
      </c>
      <c r="C1078" s="3" t="s">
        <v>46</v>
      </c>
      <c r="D1078" s="3" t="s">
        <v>87</v>
      </c>
      <c r="E1078" s="3" t="s">
        <v>9</v>
      </c>
      <c r="F1078" s="3" t="s">
        <v>7</v>
      </c>
      <c r="G1078" s="30">
        <v>0</v>
      </c>
      <c r="H1078" s="39">
        <v>0</v>
      </c>
    </row>
    <row r="1079" spans="1:8" hidden="1" x14ac:dyDescent="0.35">
      <c r="A1079" s="10" t="s">
        <v>263</v>
      </c>
      <c r="B1079" s="11">
        <v>46357</v>
      </c>
      <c r="C1079" s="3" t="s">
        <v>46</v>
      </c>
      <c r="D1079" s="3" t="s">
        <v>87</v>
      </c>
      <c r="E1079" s="3" t="s">
        <v>9</v>
      </c>
      <c r="F1079" s="3" t="s">
        <v>8</v>
      </c>
      <c r="G1079" s="30">
        <v>0</v>
      </c>
      <c r="H1079" s="39">
        <v>0</v>
      </c>
    </row>
    <row r="1080" spans="1:8" hidden="1" x14ac:dyDescent="0.35">
      <c r="A1080" s="10" t="s">
        <v>263</v>
      </c>
      <c r="B1080" s="11">
        <v>46357</v>
      </c>
      <c r="C1080" s="3" t="s">
        <v>46</v>
      </c>
      <c r="D1080" s="3" t="s">
        <v>87</v>
      </c>
      <c r="E1080" s="3" t="s">
        <v>9</v>
      </c>
      <c r="F1080" s="3" t="s">
        <v>15</v>
      </c>
      <c r="G1080" s="30">
        <v>65348.32</v>
      </c>
      <c r="H1080" s="39">
        <v>1926</v>
      </c>
    </row>
    <row r="1081" spans="1:8" hidden="1" x14ac:dyDescent="0.35">
      <c r="A1081" s="10" t="s">
        <v>263</v>
      </c>
      <c r="B1081" s="11">
        <v>46357</v>
      </c>
      <c r="C1081" s="3" t="s">
        <v>46</v>
      </c>
      <c r="D1081" s="3" t="s">
        <v>87</v>
      </c>
      <c r="E1081" s="3" t="s">
        <v>9</v>
      </c>
      <c r="F1081" s="3" t="s">
        <v>65</v>
      </c>
      <c r="G1081" s="30">
        <v>0</v>
      </c>
      <c r="H1081" s="39">
        <v>0</v>
      </c>
    </row>
    <row r="1082" spans="1:8" hidden="1" x14ac:dyDescent="0.35">
      <c r="A1082" s="68" t="s">
        <v>342</v>
      </c>
      <c r="B1082" s="11">
        <v>46204</v>
      </c>
      <c r="C1082" s="3" t="s">
        <v>25</v>
      </c>
      <c r="D1082" s="3" t="s">
        <v>12</v>
      </c>
      <c r="E1082" s="3" t="s">
        <v>9</v>
      </c>
      <c r="F1082" s="3" t="s">
        <v>7</v>
      </c>
      <c r="G1082" s="30">
        <v>0</v>
      </c>
      <c r="H1082" s="39">
        <v>0</v>
      </c>
    </row>
    <row r="1083" spans="1:8" hidden="1" x14ac:dyDescent="0.35">
      <c r="A1083" s="68" t="s">
        <v>342</v>
      </c>
      <c r="B1083" s="11">
        <v>46204</v>
      </c>
      <c r="C1083" s="3" t="s">
        <v>25</v>
      </c>
      <c r="D1083" s="3" t="s">
        <v>12</v>
      </c>
      <c r="E1083" s="3" t="s">
        <v>9</v>
      </c>
      <c r="F1083" s="3" t="s">
        <v>8</v>
      </c>
      <c r="G1083" s="30">
        <v>0</v>
      </c>
      <c r="H1083" s="39">
        <v>0</v>
      </c>
    </row>
    <row r="1084" spans="1:8" hidden="1" x14ac:dyDescent="0.35">
      <c r="A1084" s="68" t="s">
        <v>342</v>
      </c>
      <c r="B1084" s="11">
        <v>46204</v>
      </c>
      <c r="C1084" s="3" t="s">
        <v>25</v>
      </c>
      <c r="D1084" s="3" t="s">
        <v>12</v>
      </c>
      <c r="E1084" s="3" t="s">
        <v>9</v>
      </c>
      <c r="F1084" s="3" t="s">
        <v>15</v>
      </c>
      <c r="G1084" s="30">
        <v>165115.51999999999</v>
      </c>
      <c r="H1084" s="67">
        <v>5625</v>
      </c>
    </row>
    <row r="1085" spans="1:8" hidden="1" x14ac:dyDescent="0.35">
      <c r="A1085" s="10" t="s">
        <v>134</v>
      </c>
      <c r="B1085" s="11">
        <v>46357</v>
      </c>
      <c r="C1085" s="3" t="s">
        <v>57</v>
      </c>
      <c r="D1085" s="3" t="s">
        <v>58</v>
      </c>
      <c r="E1085" s="3" t="s">
        <v>10</v>
      </c>
      <c r="F1085" s="3" t="s">
        <v>7</v>
      </c>
      <c r="G1085" s="30">
        <v>0</v>
      </c>
      <c r="H1085" s="39">
        <v>0</v>
      </c>
    </row>
    <row r="1086" spans="1:8" hidden="1" x14ac:dyDescent="0.35">
      <c r="A1086" s="10" t="s">
        <v>134</v>
      </c>
      <c r="B1086" s="11">
        <v>46357</v>
      </c>
      <c r="C1086" s="3" t="s">
        <v>57</v>
      </c>
      <c r="D1086" s="3" t="s">
        <v>58</v>
      </c>
      <c r="E1086" s="3" t="s">
        <v>10</v>
      </c>
      <c r="F1086" s="3" t="s">
        <v>8</v>
      </c>
      <c r="G1086" s="30">
        <v>0</v>
      </c>
      <c r="H1086" s="39">
        <v>0</v>
      </c>
    </row>
    <row r="1087" spans="1:8" hidden="1" x14ac:dyDescent="0.35">
      <c r="A1087" s="10" t="s">
        <v>134</v>
      </c>
      <c r="B1087" s="11">
        <v>46357</v>
      </c>
      <c r="C1087" s="3" t="s">
        <v>57</v>
      </c>
      <c r="D1087" s="3" t="s">
        <v>58</v>
      </c>
      <c r="E1087" s="3" t="s">
        <v>10</v>
      </c>
      <c r="F1087" s="3" t="s">
        <v>15</v>
      </c>
      <c r="G1087" s="30">
        <v>36294.29</v>
      </c>
      <c r="H1087" s="39">
        <v>1100</v>
      </c>
    </row>
    <row r="1088" spans="1:8" hidden="1" x14ac:dyDescent="0.35">
      <c r="A1088" s="10" t="s">
        <v>134</v>
      </c>
      <c r="B1088" s="11">
        <v>46357</v>
      </c>
      <c r="C1088" s="3" t="s">
        <v>57</v>
      </c>
      <c r="D1088" s="3" t="s">
        <v>58</v>
      </c>
      <c r="E1088" s="3" t="s">
        <v>10</v>
      </c>
      <c r="F1088" s="3" t="s">
        <v>65</v>
      </c>
      <c r="G1088" s="30">
        <v>0</v>
      </c>
      <c r="H1088" s="39">
        <v>0</v>
      </c>
    </row>
    <row r="1089" spans="1:8" x14ac:dyDescent="0.35">
      <c r="A1089" s="10" t="s">
        <v>343</v>
      </c>
      <c r="B1089" s="11">
        <v>46357</v>
      </c>
      <c r="C1089" s="3" t="s">
        <v>26</v>
      </c>
      <c r="D1089" s="3" t="s">
        <v>19</v>
      </c>
      <c r="E1089" s="3" t="s">
        <v>13</v>
      </c>
      <c r="F1089" s="3" t="s">
        <v>7</v>
      </c>
      <c r="G1089" s="30">
        <v>0</v>
      </c>
      <c r="H1089" s="39">
        <v>0</v>
      </c>
    </row>
    <row r="1090" spans="1:8" x14ac:dyDescent="0.35">
      <c r="A1090" s="10" t="s">
        <v>343</v>
      </c>
      <c r="B1090" s="11">
        <v>46357</v>
      </c>
      <c r="C1090" s="3" t="s">
        <v>26</v>
      </c>
      <c r="D1090" s="3" t="s">
        <v>19</v>
      </c>
      <c r="E1090" s="3" t="s">
        <v>13</v>
      </c>
      <c r="F1090" s="3" t="s">
        <v>8</v>
      </c>
      <c r="G1090" s="30">
        <v>0</v>
      </c>
      <c r="H1090" s="39">
        <v>0</v>
      </c>
    </row>
    <row r="1091" spans="1:8" x14ac:dyDescent="0.35">
      <c r="A1091" s="10" t="s">
        <v>343</v>
      </c>
      <c r="B1091" s="11">
        <v>46357</v>
      </c>
      <c r="C1091" s="3" t="s">
        <v>26</v>
      </c>
      <c r="D1091" s="3" t="s">
        <v>19</v>
      </c>
      <c r="E1091" s="3" t="s">
        <v>13</v>
      </c>
      <c r="F1091" s="3" t="s">
        <v>15</v>
      </c>
      <c r="G1091" s="30">
        <v>15310.52</v>
      </c>
      <c r="H1091" s="39">
        <v>510</v>
      </c>
    </row>
    <row r="1092" spans="1:8" x14ac:dyDescent="0.35">
      <c r="A1092" s="10" t="s">
        <v>343</v>
      </c>
      <c r="B1092" s="11">
        <v>46357</v>
      </c>
      <c r="C1092" s="3" t="s">
        <v>26</v>
      </c>
      <c r="D1092" s="3" t="s">
        <v>19</v>
      </c>
      <c r="E1092" s="3" t="s">
        <v>13</v>
      </c>
      <c r="F1092" s="3" t="s">
        <v>65</v>
      </c>
      <c r="G1092" s="30">
        <v>0</v>
      </c>
      <c r="H1092" s="39">
        <v>0</v>
      </c>
    </row>
    <row r="1093" spans="1:8" hidden="1" x14ac:dyDescent="0.35">
      <c r="A1093" s="10">
        <v>49206</v>
      </c>
      <c r="B1093" s="11">
        <v>46023</v>
      </c>
      <c r="C1093" s="3" t="s">
        <v>57</v>
      </c>
      <c r="D1093" s="3" t="s">
        <v>58</v>
      </c>
      <c r="E1093" s="3" t="s">
        <v>6</v>
      </c>
      <c r="F1093" s="3" t="s">
        <v>7</v>
      </c>
      <c r="G1093" s="30">
        <v>0</v>
      </c>
      <c r="H1093" s="39">
        <v>0</v>
      </c>
    </row>
    <row r="1094" spans="1:8" hidden="1" x14ac:dyDescent="0.35">
      <c r="A1094" s="10">
        <v>49206</v>
      </c>
      <c r="B1094" s="11">
        <v>46023</v>
      </c>
      <c r="C1094" s="3" t="s">
        <v>57</v>
      </c>
      <c r="D1094" s="3" t="s">
        <v>58</v>
      </c>
      <c r="E1094" s="3" t="s">
        <v>6</v>
      </c>
      <c r="F1094" s="3" t="s">
        <v>8</v>
      </c>
      <c r="G1094" s="30">
        <v>0</v>
      </c>
      <c r="H1094" s="39">
        <v>0</v>
      </c>
    </row>
    <row r="1095" spans="1:8" hidden="1" x14ac:dyDescent="0.35">
      <c r="A1095" s="10">
        <v>49206</v>
      </c>
      <c r="B1095" s="11">
        <v>46023</v>
      </c>
      <c r="C1095" s="3" t="s">
        <v>57</v>
      </c>
      <c r="D1095" s="3" t="s">
        <v>58</v>
      </c>
      <c r="E1095" s="3" t="s">
        <v>6</v>
      </c>
      <c r="F1095" s="3" t="s">
        <v>15</v>
      </c>
      <c r="G1095" s="30">
        <v>0</v>
      </c>
      <c r="H1095" s="39">
        <v>0</v>
      </c>
    </row>
    <row r="1096" spans="1:8" hidden="1" x14ac:dyDescent="0.35">
      <c r="A1096" s="10">
        <v>49206</v>
      </c>
      <c r="B1096" s="11">
        <v>46023</v>
      </c>
      <c r="C1096" s="3" t="s">
        <v>57</v>
      </c>
      <c r="D1096" s="3" t="s">
        <v>58</v>
      </c>
      <c r="E1096" s="3" t="s">
        <v>6</v>
      </c>
      <c r="F1096" s="3" t="s">
        <v>65</v>
      </c>
      <c r="G1096" s="30">
        <v>0</v>
      </c>
      <c r="H1096" s="39">
        <v>0</v>
      </c>
    </row>
    <row r="1097" spans="1:8" hidden="1" x14ac:dyDescent="0.35">
      <c r="A1097" s="10">
        <v>49206</v>
      </c>
      <c r="B1097" s="11">
        <v>46054</v>
      </c>
      <c r="C1097" s="3" t="s">
        <v>57</v>
      </c>
      <c r="D1097" s="3" t="s">
        <v>58</v>
      </c>
      <c r="E1097" s="3" t="s">
        <v>6</v>
      </c>
      <c r="F1097" s="3" t="s">
        <v>7</v>
      </c>
      <c r="G1097" s="30">
        <v>0</v>
      </c>
      <c r="H1097" s="39">
        <v>0</v>
      </c>
    </row>
    <row r="1098" spans="1:8" hidden="1" x14ac:dyDescent="0.35">
      <c r="A1098" s="10">
        <v>49206</v>
      </c>
      <c r="B1098" s="11">
        <v>46054</v>
      </c>
      <c r="C1098" s="3" t="s">
        <v>57</v>
      </c>
      <c r="D1098" s="3" t="s">
        <v>58</v>
      </c>
      <c r="E1098" s="3" t="s">
        <v>6</v>
      </c>
      <c r="F1098" s="3" t="s">
        <v>8</v>
      </c>
      <c r="G1098" s="30">
        <v>0</v>
      </c>
      <c r="H1098" s="39">
        <v>0</v>
      </c>
    </row>
    <row r="1099" spans="1:8" hidden="1" x14ac:dyDescent="0.35">
      <c r="A1099" s="10">
        <v>49206</v>
      </c>
      <c r="B1099" s="11">
        <v>46054</v>
      </c>
      <c r="C1099" s="3" t="s">
        <v>57</v>
      </c>
      <c r="D1099" s="3" t="s">
        <v>58</v>
      </c>
      <c r="E1099" s="3" t="s">
        <v>6</v>
      </c>
      <c r="F1099" s="3" t="s">
        <v>15</v>
      </c>
      <c r="G1099" s="30">
        <v>0</v>
      </c>
      <c r="H1099" s="39">
        <v>0</v>
      </c>
    </row>
    <row r="1100" spans="1:8" hidden="1" x14ac:dyDescent="0.35">
      <c r="A1100" s="10">
        <v>49206</v>
      </c>
      <c r="B1100" s="11">
        <v>46054</v>
      </c>
      <c r="C1100" s="3" t="s">
        <v>57</v>
      </c>
      <c r="D1100" s="3" t="s">
        <v>58</v>
      </c>
      <c r="E1100" s="3" t="s">
        <v>6</v>
      </c>
      <c r="F1100" s="3" t="s">
        <v>65</v>
      </c>
      <c r="G1100" s="30">
        <v>0</v>
      </c>
      <c r="H1100" s="39">
        <v>0</v>
      </c>
    </row>
    <row r="1101" spans="1:8" hidden="1" x14ac:dyDescent="0.35">
      <c r="A1101" s="10">
        <v>49206</v>
      </c>
      <c r="B1101" s="11">
        <v>46082</v>
      </c>
      <c r="C1101" s="3" t="s">
        <v>57</v>
      </c>
      <c r="D1101" s="3" t="s">
        <v>58</v>
      </c>
      <c r="E1101" s="3" t="s">
        <v>6</v>
      </c>
      <c r="F1101" s="3" t="s">
        <v>7</v>
      </c>
      <c r="G1101" s="30">
        <v>0</v>
      </c>
      <c r="H1101" s="39">
        <v>0</v>
      </c>
    </row>
    <row r="1102" spans="1:8" hidden="1" x14ac:dyDescent="0.35">
      <c r="A1102" s="10">
        <v>49206</v>
      </c>
      <c r="B1102" s="11">
        <v>46082</v>
      </c>
      <c r="C1102" s="3" t="s">
        <v>57</v>
      </c>
      <c r="D1102" s="3" t="s">
        <v>58</v>
      </c>
      <c r="E1102" s="3" t="s">
        <v>6</v>
      </c>
      <c r="F1102" s="3" t="s">
        <v>8</v>
      </c>
      <c r="G1102" s="30">
        <v>0</v>
      </c>
      <c r="H1102" s="39">
        <v>0</v>
      </c>
    </row>
    <row r="1103" spans="1:8" hidden="1" x14ac:dyDescent="0.35">
      <c r="A1103" s="10">
        <v>49206</v>
      </c>
      <c r="B1103" s="11">
        <v>46082</v>
      </c>
      <c r="C1103" s="3" t="s">
        <v>57</v>
      </c>
      <c r="D1103" s="3" t="s">
        <v>58</v>
      </c>
      <c r="E1103" s="3" t="s">
        <v>6</v>
      </c>
      <c r="F1103" s="3" t="s">
        <v>15</v>
      </c>
      <c r="G1103" s="30">
        <v>0</v>
      </c>
      <c r="H1103" s="39">
        <v>0</v>
      </c>
    </row>
    <row r="1104" spans="1:8" hidden="1" x14ac:dyDescent="0.35">
      <c r="A1104" s="10">
        <v>49206</v>
      </c>
      <c r="B1104" s="11">
        <v>46082</v>
      </c>
      <c r="C1104" s="3" t="s">
        <v>57</v>
      </c>
      <c r="D1104" s="3" t="s">
        <v>58</v>
      </c>
      <c r="E1104" s="3" t="s">
        <v>6</v>
      </c>
      <c r="F1104" s="3" t="s">
        <v>65</v>
      </c>
      <c r="G1104" s="30">
        <v>0</v>
      </c>
      <c r="H1104" s="39">
        <v>0</v>
      </c>
    </row>
    <row r="1105" spans="1:8" hidden="1" x14ac:dyDescent="0.35">
      <c r="A1105" s="10">
        <v>49206</v>
      </c>
      <c r="B1105" s="11">
        <v>46113</v>
      </c>
      <c r="C1105" s="3" t="s">
        <v>57</v>
      </c>
      <c r="D1105" s="3" t="s">
        <v>58</v>
      </c>
      <c r="E1105" s="3" t="s">
        <v>6</v>
      </c>
      <c r="F1105" s="3" t="s">
        <v>7</v>
      </c>
      <c r="G1105" s="30">
        <v>0</v>
      </c>
      <c r="H1105" s="39">
        <v>0</v>
      </c>
    </row>
    <row r="1106" spans="1:8" hidden="1" x14ac:dyDescent="0.35">
      <c r="A1106" s="10">
        <v>49206</v>
      </c>
      <c r="B1106" s="11">
        <v>46113</v>
      </c>
      <c r="C1106" s="3" t="s">
        <v>57</v>
      </c>
      <c r="D1106" s="3" t="s">
        <v>58</v>
      </c>
      <c r="E1106" s="3" t="s">
        <v>6</v>
      </c>
      <c r="F1106" s="3" t="s">
        <v>8</v>
      </c>
      <c r="G1106" s="30">
        <v>0</v>
      </c>
      <c r="H1106" s="39">
        <v>0</v>
      </c>
    </row>
    <row r="1107" spans="1:8" hidden="1" x14ac:dyDescent="0.35">
      <c r="A1107" s="10">
        <v>49206</v>
      </c>
      <c r="B1107" s="11">
        <v>46113</v>
      </c>
      <c r="C1107" s="3" t="s">
        <v>57</v>
      </c>
      <c r="D1107" s="3" t="s">
        <v>58</v>
      </c>
      <c r="E1107" s="3" t="s">
        <v>6</v>
      </c>
      <c r="F1107" s="3" t="s">
        <v>15</v>
      </c>
      <c r="G1107" s="30">
        <v>0</v>
      </c>
      <c r="H1107" s="39">
        <v>0</v>
      </c>
    </row>
    <row r="1108" spans="1:8" hidden="1" x14ac:dyDescent="0.35">
      <c r="A1108" s="10">
        <v>49206</v>
      </c>
      <c r="B1108" s="11">
        <v>46113</v>
      </c>
      <c r="C1108" s="3" t="s">
        <v>57</v>
      </c>
      <c r="D1108" s="3" t="s">
        <v>58</v>
      </c>
      <c r="E1108" s="3" t="s">
        <v>6</v>
      </c>
      <c r="F1108" s="3" t="s">
        <v>65</v>
      </c>
      <c r="G1108" s="30">
        <v>0</v>
      </c>
      <c r="H1108" s="39">
        <v>0</v>
      </c>
    </row>
    <row r="1109" spans="1:8" hidden="1" x14ac:dyDescent="0.35">
      <c r="A1109" s="10">
        <v>49206</v>
      </c>
      <c r="B1109" s="11">
        <v>46143</v>
      </c>
      <c r="C1109" s="3" t="s">
        <v>57</v>
      </c>
      <c r="D1109" s="3" t="s">
        <v>58</v>
      </c>
      <c r="E1109" s="3" t="s">
        <v>6</v>
      </c>
      <c r="F1109" s="3" t="s">
        <v>7</v>
      </c>
      <c r="G1109" s="30">
        <v>0</v>
      </c>
      <c r="H1109" s="39">
        <v>0</v>
      </c>
    </row>
    <row r="1110" spans="1:8" hidden="1" x14ac:dyDescent="0.35">
      <c r="A1110" s="10">
        <v>49206</v>
      </c>
      <c r="B1110" s="11">
        <v>46143</v>
      </c>
      <c r="C1110" s="3" t="s">
        <v>57</v>
      </c>
      <c r="D1110" s="3" t="s">
        <v>58</v>
      </c>
      <c r="E1110" s="3" t="s">
        <v>6</v>
      </c>
      <c r="F1110" s="3" t="s">
        <v>8</v>
      </c>
      <c r="G1110" s="30">
        <v>0</v>
      </c>
      <c r="H1110" s="39">
        <v>0</v>
      </c>
    </row>
    <row r="1111" spans="1:8" hidden="1" x14ac:dyDescent="0.35">
      <c r="A1111" s="10">
        <v>49206</v>
      </c>
      <c r="B1111" s="11">
        <v>46143</v>
      </c>
      <c r="C1111" s="3" t="s">
        <v>57</v>
      </c>
      <c r="D1111" s="3" t="s">
        <v>58</v>
      </c>
      <c r="E1111" s="3" t="s">
        <v>6</v>
      </c>
      <c r="F1111" s="3" t="s">
        <v>15</v>
      </c>
      <c r="G1111" s="30">
        <v>82153.039999999994</v>
      </c>
      <c r="H1111" s="39">
        <v>3300</v>
      </c>
    </row>
    <row r="1112" spans="1:8" hidden="1" x14ac:dyDescent="0.35">
      <c r="A1112" s="10">
        <v>49206</v>
      </c>
      <c r="B1112" s="11">
        <v>46143</v>
      </c>
      <c r="C1112" s="3" t="s">
        <v>57</v>
      </c>
      <c r="D1112" s="3" t="s">
        <v>58</v>
      </c>
      <c r="E1112" s="3" t="s">
        <v>6</v>
      </c>
      <c r="F1112" s="3" t="s">
        <v>65</v>
      </c>
      <c r="G1112" s="30">
        <v>0</v>
      </c>
      <c r="H1112" s="39">
        <v>0</v>
      </c>
    </row>
    <row r="1113" spans="1:8" hidden="1" x14ac:dyDescent="0.35">
      <c r="A1113" s="10">
        <v>49206</v>
      </c>
      <c r="B1113" s="11">
        <v>46174</v>
      </c>
      <c r="C1113" s="3" t="s">
        <v>57</v>
      </c>
      <c r="D1113" s="3" t="s">
        <v>58</v>
      </c>
      <c r="E1113" s="3" t="s">
        <v>6</v>
      </c>
      <c r="F1113" s="3" t="s">
        <v>7</v>
      </c>
      <c r="G1113" s="30">
        <v>0</v>
      </c>
      <c r="H1113" s="39">
        <v>0</v>
      </c>
    </row>
    <row r="1114" spans="1:8" hidden="1" x14ac:dyDescent="0.35">
      <c r="A1114" s="10">
        <v>49206</v>
      </c>
      <c r="B1114" s="11">
        <v>46174</v>
      </c>
      <c r="C1114" s="3" t="s">
        <v>57</v>
      </c>
      <c r="D1114" s="3" t="s">
        <v>58</v>
      </c>
      <c r="E1114" s="3" t="s">
        <v>6</v>
      </c>
      <c r="F1114" s="3" t="s">
        <v>8</v>
      </c>
      <c r="G1114" s="30">
        <v>0</v>
      </c>
      <c r="H1114" s="39">
        <v>0</v>
      </c>
    </row>
    <row r="1115" spans="1:8" hidden="1" x14ac:dyDescent="0.35">
      <c r="A1115" s="10">
        <v>49206</v>
      </c>
      <c r="B1115" s="11">
        <v>46174</v>
      </c>
      <c r="C1115" s="3" t="s">
        <v>57</v>
      </c>
      <c r="D1115" s="3" t="s">
        <v>58</v>
      </c>
      <c r="E1115" s="3" t="s">
        <v>6</v>
      </c>
      <c r="F1115" s="3" t="s">
        <v>15</v>
      </c>
      <c r="G1115" s="30">
        <v>82153.039999999994</v>
      </c>
      <c r="H1115" s="39">
        <v>3300</v>
      </c>
    </row>
    <row r="1116" spans="1:8" hidden="1" x14ac:dyDescent="0.35">
      <c r="A1116" s="10">
        <v>49206</v>
      </c>
      <c r="B1116" s="11">
        <v>46174</v>
      </c>
      <c r="C1116" s="3" t="s">
        <v>57</v>
      </c>
      <c r="D1116" s="3" t="s">
        <v>58</v>
      </c>
      <c r="E1116" s="3" t="s">
        <v>6</v>
      </c>
      <c r="F1116" s="3" t="s">
        <v>65</v>
      </c>
      <c r="G1116" s="30">
        <v>0</v>
      </c>
      <c r="H1116" s="39">
        <v>0</v>
      </c>
    </row>
    <row r="1117" spans="1:8" hidden="1" x14ac:dyDescent="0.35">
      <c r="A1117" s="10">
        <v>49206</v>
      </c>
      <c r="B1117" s="11">
        <v>46204</v>
      </c>
      <c r="C1117" s="3" t="s">
        <v>57</v>
      </c>
      <c r="D1117" s="3" t="s">
        <v>58</v>
      </c>
      <c r="E1117" s="3" t="s">
        <v>6</v>
      </c>
      <c r="F1117" s="3" t="s">
        <v>7</v>
      </c>
      <c r="G1117" s="30">
        <v>0</v>
      </c>
      <c r="H1117" s="39">
        <v>0</v>
      </c>
    </row>
    <row r="1118" spans="1:8" hidden="1" x14ac:dyDescent="0.35">
      <c r="A1118" s="10">
        <v>49206</v>
      </c>
      <c r="B1118" s="11">
        <v>46204</v>
      </c>
      <c r="C1118" s="3" t="s">
        <v>57</v>
      </c>
      <c r="D1118" s="3" t="s">
        <v>58</v>
      </c>
      <c r="E1118" s="3" t="s">
        <v>6</v>
      </c>
      <c r="F1118" s="3" t="s">
        <v>8</v>
      </c>
      <c r="G1118" s="30">
        <v>0</v>
      </c>
      <c r="H1118" s="39">
        <v>0</v>
      </c>
    </row>
    <row r="1119" spans="1:8" hidden="1" x14ac:dyDescent="0.35">
      <c r="A1119" s="10">
        <v>49206</v>
      </c>
      <c r="B1119" s="11">
        <v>46204</v>
      </c>
      <c r="C1119" s="3" t="s">
        <v>57</v>
      </c>
      <c r="D1119" s="3" t="s">
        <v>58</v>
      </c>
      <c r="E1119" s="3" t="s">
        <v>6</v>
      </c>
      <c r="F1119" s="3" t="s">
        <v>15</v>
      </c>
      <c r="G1119" s="30">
        <v>82153.039999999994</v>
      </c>
      <c r="H1119" s="67">
        <v>3300</v>
      </c>
    </row>
    <row r="1120" spans="1:8" hidden="1" x14ac:dyDescent="0.35">
      <c r="A1120" s="10">
        <v>49206</v>
      </c>
      <c r="B1120" s="11">
        <v>46204</v>
      </c>
      <c r="C1120" s="3" t="s">
        <v>57</v>
      </c>
      <c r="D1120" s="3" t="s">
        <v>58</v>
      </c>
      <c r="E1120" s="3" t="s">
        <v>6</v>
      </c>
      <c r="F1120" s="3" t="s">
        <v>65</v>
      </c>
      <c r="G1120" s="30">
        <v>0</v>
      </c>
      <c r="H1120" s="39">
        <v>0</v>
      </c>
    </row>
    <row r="1121" spans="1:8" hidden="1" x14ac:dyDescent="0.35">
      <c r="A1121" s="10">
        <v>49206</v>
      </c>
      <c r="B1121" s="11">
        <v>46235</v>
      </c>
      <c r="C1121" s="3" t="s">
        <v>57</v>
      </c>
      <c r="D1121" s="3" t="s">
        <v>58</v>
      </c>
      <c r="E1121" s="3" t="s">
        <v>6</v>
      </c>
      <c r="F1121" s="3" t="s">
        <v>7</v>
      </c>
      <c r="G1121" s="30">
        <v>0</v>
      </c>
      <c r="H1121" s="39">
        <v>0</v>
      </c>
    </row>
    <row r="1122" spans="1:8" hidden="1" x14ac:dyDescent="0.35">
      <c r="A1122" s="10">
        <v>49206</v>
      </c>
      <c r="B1122" s="11">
        <v>46235</v>
      </c>
      <c r="C1122" s="3" t="s">
        <v>57</v>
      </c>
      <c r="D1122" s="3" t="s">
        <v>58</v>
      </c>
      <c r="E1122" s="3" t="s">
        <v>6</v>
      </c>
      <c r="F1122" s="3" t="s">
        <v>8</v>
      </c>
      <c r="G1122" s="30">
        <v>0</v>
      </c>
      <c r="H1122" s="39">
        <v>0</v>
      </c>
    </row>
    <row r="1123" spans="1:8" hidden="1" x14ac:dyDescent="0.35">
      <c r="A1123" s="10">
        <v>49206</v>
      </c>
      <c r="B1123" s="11">
        <v>46235</v>
      </c>
      <c r="C1123" s="3" t="s">
        <v>57</v>
      </c>
      <c r="D1123" s="3" t="s">
        <v>58</v>
      </c>
      <c r="E1123" s="3" t="s">
        <v>6</v>
      </c>
      <c r="F1123" s="3" t="s">
        <v>15</v>
      </c>
      <c r="G1123" s="30">
        <v>82153.039999999994</v>
      </c>
      <c r="H1123" s="39">
        <v>3300</v>
      </c>
    </row>
    <row r="1124" spans="1:8" hidden="1" x14ac:dyDescent="0.35">
      <c r="A1124" s="10">
        <v>49206</v>
      </c>
      <c r="B1124" s="11">
        <v>46235</v>
      </c>
      <c r="C1124" s="3" t="s">
        <v>57</v>
      </c>
      <c r="D1124" s="3" t="s">
        <v>58</v>
      </c>
      <c r="E1124" s="3" t="s">
        <v>6</v>
      </c>
      <c r="F1124" s="3" t="s">
        <v>65</v>
      </c>
      <c r="G1124" s="30">
        <v>0</v>
      </c>
      <c r="H1124" s="39">
        <v>0</v>
      </c>
    </row>
    <row r="1125" spans="1:8" hidden="1" x14ac:dyDescent="0.35">
      <c r="A1125" s="10">
        <v>49206</v>
      </c>
      <c r="B1125" s="11">
        <v>46266</v>
      </c>
      <c r="C1125" s="3" t="s">
        <v>57</v>
      </c>
      <c r="D1125" s="3" t="s">
        <v>58</v>
      </c>
      <c r="E1125" s="3" t="s">
        <v>6</v>
      </c>
      <c r="F1125" s="3" t="s">
        <v>7</v>
      </c>
      <c r="G1125" s="30">
        <v>0</v>
      </c>
      <c r="H1125" s="39">
        <v>0</v>
      </c>
    </row>
    <row r="1126" spans="1:8" hidden="1" x14ac:dyDescent="0.35">
      <c r="A1126" s="10">
        <v>49206</v>
      </c>
      <c r="B1126" s="11">
        <v>46266</v>
      </c>
      <c r="C1126" s="3" t="s">
        <v>57</v>
      </c>
      <c r="D1126" s="3" t="s">
        <v>58</v>
      </c>
      <c r="E1126" s="3" t="s">
        <v>6</v>
      </c>
      <c r="F1126" s="3" t="s">
        <v>8</v>
      </c>
      <c r="G1126" s="30">
        <v>0</v>
      </c>
      <c r="H1126" s="39">
        <v>0</v>
      </c>
    </row>
    <row r="1127" spans="1:8" hidden="1" x14ac:dyDescent="0.35">
      <c r="A1127" s="10">
        <v>49206</v>
      </c>
      <c r="B1127" s="11">
        <v>46266</v>
      </c>
      <c r="C1127" s="3" t="s">
        <v>57</v>
      </c>
      <c r="D1127" s="3" t="s">
        <v>58</v>
      </c>
      <c r="E1127" s="3" t="s">
        <v>6</v>
      </c>
      <c r="F1127" s="3" t="s">
        <v>15</v>
      </c>
      <c r="G1127" s="30">
        <v>82153.039999999994</v>
      </c>
      <c r="H1127" s="39">
        <v>3300</v>
      </c>
    </row>
    <row r="1128" spans="1:8" hidden="1" x14ac:dyDescent="0.35">
      <c r="A1128" s="10">
        <v>49206</v>
      </c>
      <c r="B1128" s="11">
        <v>46266</v>
      </c>
      <c r="C1128" s="3" t="s">
        <v>57</v>
      </c>
      <c r="D1128" s="3" t="s">
        <v>58</v>
      </c>
      <c r="E1128" s="3" t="s">
        <v>6</v>
      </c>
      <c r="F1128" s="3" t="s">
        <v>65</v>
      </c>
      <c r="G1128" s="30">
        <v>0</v>
      </c>
      <c r="H1128" s="39">
        <v>0</v>
      </c>
    </row>
    <row r="1129" spans="1:8" hidden="1" x14ac:dyDescent="0.35">
      <c r="A1129" s="10">
        <v>49206</v>
      </c>
      <c r="B1129" s="11">
        <v>46296</v>
      </c>
      <c r="C1129" s="3" t="s">
        <v>57</v>
      </c>
      <c r="D1129" s="3" t="s">
        <v>58</v>
      </c>
      <c r="E1129" s="3" t="s">
        <v>6</v>
      </c>
      <c r="F1129" s="3" t="s">
        <v>7</v>
      </c>
      <c r="G1129" s="30">
        <v>0</v>
      </c>
      <c r="H1129" s="39">
        <v>0</v>
      </c>
    </row>
    <row r="1130" spans="1:8" hidden="1" x14ac:dyDescent="0.35">
      <c r="A1130" s="10">
        <v>49206</v>
      </c>
      <c r="B1130" s="11">
        <v>46296</v>
      </c>
      <c r="C1130" s="3" t="s">
        <v>57</v>
      </c>
      <c r="D1130" s="3" t="s">
        <v>58</v>
      </c>
      <c r="E1130" s="3" t="s">
        <v>6</v>
      </c>
      <c r="F1130" s="3" t="s">
        <v>8</v>
      </c>
      <c r="G1130" s="30">
        <v>0</v>
      </c>
      <c r="H1130" s="39">
        <v>0</v>
      </c>
    </row>
    <row r="1131" spans="1:8" hidden="1" x14ac:dyDescent="0.35">
      <c r="A1131" s="10">
        <v>49206</v>
      </c>
      <c r="B1131" s="11">
        <v>46296</v>
      </c>
      <c r="C1131" s="3" t="s">
        <v>57</v>
      </c>
      <c r="D1131" s="3" t="s">
        <v>58</v>
      </c>
      <c r="E1131" s="3" t="s">
        <v>6</v>
      </c>
      <c r="F1131" s="3" t="s">
        <v>15</v>
      </c>
      <c r="G1131" s="30">
        <v>82153.039999999994</v>
      </c>
      <c r="H1131" s="39">
        <v>3300</v>
      </c>
    </row>
    <row r="1132" spans="1:8" hidden="1" x14ac:dyDescent="0.35">
      <c r="A1132" s="10">
        <v>49206</v>
      </c>
      <c r="B1132" s="11">
        <v>46296</v>
      </c>
      <c r="C1132" s="3" t="s">
        <v>57</v>
      </c>
      <c r="D1132" s="3" t="s">
        <v>58</v>
      </c>
      <c r="E1132" s="3" t="s">
        <v>6</v>
      </c>
      <c r="F1132" s="3" t="s">
        <v>65</v>
      </c>
      <c r="G1132" s="30">
        <v>0</v>
      </c>
      <c r="H1132" s="39">
        <v>0</v>
      </c>
    </row>
    <row r="1133" spans="1:8" hidden="1" x14ac:dyDescent="0.35">
      <c r="A1133" s="10">
        <v>49206</v>
      </c>
      <c r="B1133" s="11">
        <v>46327</v>
      </c>
      <c r="C1133" s="3" t="s">
        <v>57</v>
      </c>
      <c r="D1133" s="3" t="s">
        <v>58</v>
      </c>
      <c r="E1133" s="3" t="s">
        <v>6</v>
      </c>
      <c r="F1133" s="3" t="s">
        <v>7</v>
      </c>
      <c r="G1133" s="30">
        <v>0</v>
      </c>
      <c r="H1133" s="39">
        <v>0</v>
      </c>
    </row>
    <row r="1134" spans="1:8" hidden="1" x14ac:dyDescent="0.35">
      <c r="A1134" s="10">
        <v>49206</v>
      </c>
      <c r="B1134" s="11">
        <v>46327</v>
      </c>
      <c r="C1134" s="3" t="s">
        <v>57</v>
      </c>
      <c r="D1134" s="3" t="s">
        <v>58</v>
      </c>
      <c r="E1134" s="3" t="s">
        <v>6</v>
      </c>
      <c r="F1134" s="3" t="s">
        <v>8</v>
      </c>
      <c r="G1134" s="30">
        <v>0</v>
      </c>
      <c r="H1134" s="39">
        <v>0</v>
      </c>
    </row>
    <row r="1135" spans="1:8" hidden="1" x14ac:dyDescent="0.35">
      <c r="A1135" s="10">
        <v>49206</v>
      </c>
      <c r="B1135" s="11">
        <v>46327</v>
      </c>
      <c r="C1135" s="3" t="s">
        <v>57</v>
      </c>
      <c r="D1135" s="3" t="s">
        <v>58</v>
      </c>
      <c r="E1135" s="3" t="s">
        <v>6</v>
      </c>
      <c r="F1135" s="3" t="s">
        <v>15</v>
      </c>
      <c r="G1135" s="30">
        <v>82153.039999999994</v>
      </c>
      <c r="H1135" s="39">
        <v>3300</v>
      </c>
    </row>
    <row r="1136" spans="1:8" hidden="1" x14ac:dyDescent="0.35">
      <c r="A1136" s="10">
        <v>49206</v>
      </c>
      <c r="B1136" s="11">
        <v>46327</v>
      </c>
      <c r="C1136" s="3" t="s">
        <v>57</v>
      </c>
      <c r="D1136" s="3" t="s">
        <v>58</v>
      </c>
      <c r="E1136" s="3" t="s">
        <v>6</v>
      </c>
      <c r="F1136" s="3" t="s">
        <v>65</v>
      </c>
      <c r="G1136" s="30">
        <v>0</v>
      </c>
      <c r="H1136" s="39">
        <v>0</v>
      </c>
    </row>
    <row r="1137" spans="1:8" hidden="1" x14ac:dyDescent="0.35">
      <c r="A1137" s="10">
        <v>49206</v>
      </c>
      <c r="B1137" s="11">
        <v>46357</v>
      </c>
      <c r="C1137" s="3" t="s">
        <v>57</v>
      </c>
      <c r="D1137" s="3" t="s">
        <v>58</v>
      </c>
      <c r="E1137" s="3" t="s">
        <v>6</v>
      </c>
      <c r="F1137" s="3" t="s">
        <v>7</v>
      </c>
      <c r="G1137" s="30">
        <v>0</v>
      </c>
      <c r="H1137" s="39">
        <v>0</v>
      </c>
    </row>
    <row r="1138" spans="1:8" hidden="1" x14ac:dyDescent="0.35">
      <c r="A1138" s="10">
        <v>49206</v>
      </c>
      <c r="B1138" s="11">
        <v>46357</v>
      </c>
      <c r="C1138" s="3" t="s">
        <v>57</v>
      </c>
      <c r="D1138" s="3" t="s">
        <v>58</v>
      </c>
      <c r="E1138" s="3" t="s">
        <v>6</v>
      </c>
      <c r="F1138" s="3" t="s">
        <v>8</v>
      </c>
      <c r="G1138" s="30">
        <v>0</v>
      </c>
      <c r="H1138" s="39">
        <v>0</v>
      </c>
    </row>
    <row r="1139" spans="1:8" hidden="1" x14ac:dyDescent="0.35">
      <c r="A1139" s="10">
        <v>49206</v>
      </c>
      <c r="B1139" s="11">
        <v>46357</v>
      </c>
      <c r="C1139" s="3" t="s">
        <v>57</v>
      </c>
      <c r="D1139" s="3" t="s">
        <v>58</v>
      </c>
      <c r="E1139" s="3" t="s">
        <v>6</v>
      </c>
      <c r="F1139" s="3" t="s">
        <v>15</v>
      </c>
      <c r="G1139" s="30">
        <v>82153.039999999994</v>
      </c>
      <c r="H1139" s="39">
        <v>3300</v>
      </c>
    </row>
    <row r="1140" spans="1:8" hidden="1" x14ac:dyDescent="0.35">
      <c r="A1140" s="10">
        <v>49206</v>
      </c>
      <c r="B1140" s="11">
        <v>46357</v>
      </c>
      <c r="C1140" s="3" t="s">
        <v>57</v>
      </c>
      <c r="D1140" s="3" t="s">
        <v>58</v>
      </c>
      <c r="E1140" s="3" t="s">
        <v>6</v>
      </c>
      <c r="F1140" s="3" t="s">
        <v>65</v>
      </c>
      <c r="G1140" s="30">
        <v>0</v>
      </c>
      <c r="H1140" s="39">
        <v>0</v>
      </c>
    </row>
    <row r="1141" spans="1:8" hidden="1" x14ac:dyDescent="0.35">
      <c r="A1141" s="68" t="s">
        <v>342</v>
      </c>
      <c r="B1141" s="11">
        <v>46204</v>
      </c>
      <c r="C1141" s="3" t="s">
        <v>25</v>
      </c>
      <c r="D1141" s="3" t="s">
        <v>12</v>
      </c>
      <c r="E1141" s="3" t="s">
        <v>9</v>
      </c>
      <c r="F1141" s="3" t="s">
        <v>65</v>
      </c>
      <c r="G1141" s="30">
        <v>0</v>
      </c>
      <c r="H1141" s="39">
        <v>0</v>
      </c>
    </row>
    <row r="1142" spans="1:8" hidden="1" x14ac:dyDescent="0.35">
      <c r="A1142" s="68" t="s">
        <v>342</v>
      </c>
      <c r="B1142" s="11">
        <v>46235</v>
      </c>
      <c r="C1142" s="3" t="s">
        <v>25</v>
      </c>
      <c r="D1142" s="3" t="s">
        <v>12</v>
      </c>
      <c r="E1142" s="3" t="s">
        <v>9</v>
      </c>
      <c r="F1142" s="3" t="s">
        <v>7</v>
      </c>
      <c r="G1142" s="30">
        <v>0</v>
      </c>
      <c r="H1142" s="39">
        <v>0</v>
      </c>
    </row>
    <row r="1143" spans="1:8" hidden="1" x14ac:dyDescent="0.35">
      <c r="A1143" s="68" t="s">
        <v>342</v>
      </c>
      <c r="B1143" s="11">
        <v>46235</v>
      </c>
      <c r="C1143" s="3" t="s">
        <v>25</v>
      </c>
      <c r="D1143" s="3" t="s">
        <v>12</v>
      </c>
      <c r="E1143" s="3" t="s">
        <v>9</v>
      </c>
      <c r="F1143" s="3" t="s">
        <v>8</v>
      </c>
      <c r="G1143" s="30">
        <v>0</v>
      </c>
      <c r="H1143" s="39">
        <v>0</v>
      </c>
    </row>
    <row r="1144" spans="1:8" hidden="1" x14ac:dyDescent="0.35">
      <c r="A1144" s="68" t="s">
        <v>342</v>
      </c>
      <c r="B1144" s="11">
        <v>46235</v>
      </c>
      <c r="C1144" s="3" t="s">
        <v>25</v>
      </c>
      <c r="D1144" s="3" t="s">
        <v>12</v>
      </c>
      <c r="E1144" s="3" t="s">
        <v>9</v>
      </c>
      <c r="F1144" s="3" t="s">
        <v>15</v>
      </c>
      <c r="G1144" s="30">
        <v>165115.51999999999</v>
      </c>
      <c r="H1144" s="39">
        <v>5625</v>
      </c>
    </row>
    <row r="1145" spans="1:8" hidden="1" x14ac:dyDescent="0.35">
      <c r="A1145" s="68" t="s">
        <v>342</v>
      </c>
      <c r="B1145" s="11">
        <v>46235</v>
      </c>
      <c r="C1145" s="3" t="s">
        <v>25</v>
      </c>
      <c r="D1145" s="3" t="s">
        <v>12</v>
      </c>
      <c r="E1145" s="3" t="s">
        <v>9</v>
      </c>
      <c r="F1145" s="3" t="s">
        <v>65</v>
      </c>
      <c r="G1145" s="30">
        <v>0</v>
      </c>
      <c r="H1145" s="39">
        <v>0</v>
      </c>
    </row>
    <row r="1146" spans="1:8" hidden="1" x14ac:dyDescent="0.35">
      <c r="A1146" s="68" t="s">
        <v>342</v>
      </c>
      <c r="B1146" s="11">
        <v>46266</v>
      </c>
      <c r="C1146" s="3" t="s">
        <v>25</v>
      </c>
      <c r="D1146" s="3" t="s">
        <v>12</v>
      </c>
      <c r="E1146" s="3" t="s">
        <v>9</v>
      </c>
      <c r="F1146" s="3" t="s">
        <v>7</v>
      </c>
      <c r="G1146" s="30">
        <v>0</v>
      </c>
      <c r="H1146" s="39">
        <v>0</v>
      </c>
    </row>
    <row r="1147" spans="1:8" hidden="1" x14ac:dyDescent="0.35">
      <c r="A1147" s="68" t="s">
        <v>342</v>
      </c>
      <c r="B1147" s="11">
        <v>46266</v>
      </c>
      <c r="C1147" s="3" t="s">
        <v>25</v>
      </c>
      <c r="D1147" s="3" t="s">
        <v>12</v>
      </c>
      <c r="E1147" s="3" t="s">
        <v>9</v>
      </c>
      <c r="F1147" s="3" t="s">
        <v>8</v>
      </c>
      <c r="G1147" s="30">
        <v>0</v>
      </c>
      <c r="H1147" s="39">
        <v>0</v>
      </c>
    </row>
    <row r="1148" spans="1:8" hidden="1" x14ac:dyDescent="0.35">
      <c r="A1148" s="68" t="s">
        <v>342</v>
      </c>
      <c r="B1148" s="11">
        <v>46266</v>
      </c>
      <c r="C1148" s="3" t="s">
        <v>25</v>
      </c>
      <c r="D1148" s="3" t="s">
        <v>12</v>
      </c>
      <c r="E1148" s="3" t="s">
        <v>9</v>
      </c>
      <c r="F1148" s="3" t="s">
        <v>15</v>
      </c>
      <c r="G1148" s="30">
        <v>165115.51999999999</v>
      </c>
      <c r="H1148" s="39">
        <v>5625</v>
      </c>
    </row>
    <row r="1149" spans="1:8" hidden="1" x14ac:dyDescent="0.35">
      <c r="A1149" s="68" t="s">
        <v>342</v>
      </c>
      <c r="B1149" s="11">
        <v>46266</v>
      </c>
      <c r="C1149" s="3" t="s">
        <v>25</v>
      </c>
      <c r="D1149" s="3" t="s">
        <v>12</v>
      </c>
      <c r="E1149" s="3" t="s">
        <v>9</v>
      </c>
      <c r="F1149" s="3" t="s">
        <v>65</v>
      </c>
      <c r="G1149" s="30">
        <v>0</v>
      </c>
      <c r="H1149" s="39">
        <v>0</v>
      </c>
    </row>
    <row r="1150" spans="1:8" hidden="1" x14ac:dyDescent="0.35">
      <c r="A1150" s="68" t="s">
        <v>342</v>
      </c>
      <c r="B1150" s="11">
        <v>46296</v>
      </c>
      <c r="C1150" s="3" t="s">
        <v>25</v>
      </c>
      <c r="D1150" s="3" t="s">
        <v>12</v>
      </c>
      <c r="E1150" s="3" t="s">
        <v>9</v>
      </c>
      <c r="F1150" s="3" t="s">
        <v>7</v>
      </c>
      <c r="G1150" s="30">
        <v>0</v>
      </c>
      <c r="H1150" s="39">
        <v>0</v>
      </c>
    </row>
    <row r="1151" spans="1:8" hidden="1" x14ac:dyDescent="0.35">
      <c r="A1151" s="68" t="s">
        <v>342</v>
      </c>
      <c r="B1151" s="11">
        <v>46296</v>
      </c>
      <c r="C1151" s="3" t="s">
        <v>25</v>
      </c>
      <c r="D1151" s="3" t="s">
        <v>12</v>
      </c>
      <c r="E1151" s="3" t="s">
        <v>9</v>
      </c>
      <c r="F1151" s="3" t="s">
        <v>8</v>
      </c>
      <c r="G1151" s="30">
        <v>0</v>
      </c>
      <c r="H1151" s="39">
        <v>0</v>
      </c>
    </row>
    <row r="1152" spans="1:8" hidden="1" x14ac:dyDescent="0.35">
      <c r="A1152" s="68" t="s">
        <v>342</v>
      </c>
      <c r="B1152" s="11">
        <v>46296</v>
      </c>
      <c r="C1152" s="3" t="s">
        <v>25</v>
      </c>
      <c r="D1152" s="3" t="s">
        <v>12</v>
      </c>
      <c r="E1152" s="3" t="s">
        <v>9</v>
      </c>
      <c r="F1152" s="3" t="s">
        <v>15</v>
      </c>
      <c r="G1152" s="30">
        <v>165115.51999999999</v>
      </c>
      <c r="H1152" s="39">
        <v>5625</v>
      </c>
    </row>
    <row r="1153" spans="1:8" hidden="1" x14ac:dyDescent="0.35">
      <c r="A1153" s="68" t="s">
        <v>342</v>
      </c>
      <c r="B1153" s="11">
        <v>46296</v>
      </c>
      <c r="C1153" s="3">
        <v>16</v>
      </c>
      <c r="D1153" s="3" t="s">
        <v>12</v>
      </c>
      <c r="E1153" s="3" t="s">
        <v>9</v>
      </c>
      <c r="F1153" s="3" t="s">
        <v>65</v>
      </c>
      <c r="G1153" s="30">
        <v>0</v>
      </c>
      <c r="H1153" s="39">
        <v>0</v>
      </c>
    </row>
    <row r="1154" spans="1:8" hidden="1" x14ac:dyDescent="0.35">
      <c r="A1154" s="68" t="s">
        <v>342</v>
      </c>
      <c r="B1154" s="11">
        <v>46327</v>
      </c>
      <c r="C1154" s="3" t="s">
        <v>25</v>
      </c>
      <c r="D1154" s="3" t="s">
        <v>12</v>
      </c>
      <c r="E1154" s="3" t="s">
        <v>9</v>
      </c>
      <c r="F1154" s="3" t="s">
        <v>7</v>
      </c>
      <c r="G1154" s="30">
        <v>0</v>
      </c>
      <c r="H1154" s="39">
        <v>0</v>
      </c>
    </row>
    <row r="1155" spans="1:8" hidden="1" x14ac:dyDescent="0.35">
      <c r="A1155" s="68" t="s">
        <v>342</v>
      </c>
      <c r="B1155" s="11">
        <v>46327</v>
      </c>
      <c r="C1155" s="3" t="s">
        <v>25</v>
      </c>
      <c r="D1155" s="3" t="s">
        <v>12</v>
      </c>
      <c r="E1155" s="3" t="s">
        <v>9</v>
      </c>
      <c r="F1155" s="3" t="s">
        <v>8</v>
      </c>
      <c r="G1155" s="30">
        <v>0</v>
      </c>
      <c r="H1155" s="39">
        <v>0</v>
      </c>
    </row>
    <row r="1156" spans="1:8" hidden="1" x14ac:dyDescent="0.35">
      <c r="A1156" s="68" t="s">
        <v>342</v>
      </c>
      <c r="B1156" s="11">
        <v>46327</v>
      </c>
      <c r="C1156" s="3" t="s">
        <v>25</v>
      </c>
      <c r="D1156" s="3" t="s">
        <v>12</v>
      </c>
      <c r="E1156" s="3" t="s">
        <v>9</v>
      </c>
      <c r="F1156" s="3" t="s">
        <v>15</v>
      </c>
      <c r="G1156" s="30">
        <v>165115.51999999999</v>
      </c>
      <c r="H1156" s="39">
        <v>5625</v>
      </c>
    </row>
    <row r="1157" spans="1:8" hidden="1" x14ac:dyDescent="0.35">
      <c r="A1157" s="68" t="s">
        <v>342</v>
      </c>
      <c r="B1157" s="11">
        <v>46327</v>
      </c>
      <c r="C1157" s="3" t="s">
        <v>25</v>
      </c>
      <c r="D1157" s="3" t="s">
        <v>12</v>
      </c>
      <c r="E1157" s="3" t="s">
        <v>9</v>
      </c>
      <c r="F1157" s="3" t="s">
        <v>65</v>
      </c>
      <c r="G1157" s="30">
        <v>0</v>
      </c>
      <c r="H1157" s="39">
        <v>0</v>
      </c>
    </row>
    <row r="1158" spans="1:8" hidden="1" x14ac:dyDescent="0.35">
      <c r="A1158" s="68" t="s">
        <v>342</v>
      </c>
      <c r="B1158" s="11">
        <v>46357</v>
      </c>
      <c r="C1158" s="3" t="s">
        <v>25</v>
      </c>
      <c r="D1158" s="3" t="s">
        <v>12</v>
      </c>
      <c r="E1158" s="3" t="s">
        <v>9</v>
      </c>
      <c r="F1158" s="3" t="s">
        <v>7</v>
      </c>
      <c r="G1158" s="30">
        <v>0</v>
      </c>
      <c r="H1158" s="39">
        <v>0</v>
      </c>
    </row>
    <row r="1159" spans="1:8" hidden="1" x14ac:dyDescent="0.35">
      <c r="A1159" s="68" t="s">
        <v>342</v>
      </c>
      <c r="B1159" s="11">
        <v>46357</v>
      </c>
      <c r="C1159" s="3" t="s">
        <v>25</v>
      </c>
      <c r="D1159" s="3" t="s">
        <v>12</v>
      </c>
      <c r="E1159" s="3" t="s">
        <v>9</v>
      </c>
      <c r="F1159" s="3" t="s">
        <v>8</v>
      </c>
      <c r="G1159" s="30">
        <v>0</v>
      </c>
      <c r="H1159" s="39">
        <v>0</v>
      </c>
    </row>
    <row r="1160" spans="1:8" hidden="1" x14ac:dyDescent="0.35">
      <c r="A1160" s="68" t="s">
        <v>342</v>
      </c>
      <c r="B1160" s="11">
        <v>46357</v>
      </c>
      <c r="C1160" s="3" t="s">
        <v>25</v>
      </c>
      <c r="D1160" s="3" t="s">
        <v>12</v>
      </c>
      <c r="E1160" s="3" t="s">
        <v>9</v>
      </c>
      <c r="F1160" s="3" t="s">
        <v>15</v>
      </c>
      <c r="G1160" s="30">
        <v>165115.51999999999</v>
      </c>
      <c r="H1160" s="39">
        <v>5625</v>
      </c>
    </row>
    <row r="1161" spans="1:8" hidden="1" x14ac:dyDescent="0.35">
      <c r="A1161" s="68" t="s">
        <v>342</v>
      </c>
      <c r="B1161" s="11">
        <v>46357</v>
      </c>
      <c r="C1161" s="3" t="s">
        <v>25</v>
      </c>
      <c r="D1161" s="3" t="s">
        <v>12</v>
      </c>
      <c r="E1161" s="3" t="s">
        <v>9</v>
      </c>
      <c r="F1161" s="3" t="s">
        <v>65</v>
      </c>
      <c r="G1161" s="30">
        <v>0</v>
      </c>
      <c r="H1161" s="39">
        <v>0</v>
      </c>
    </row>
    <row r="1162" spans="1:8" hidden="1" x14ac:dyDescent="0.35">
      <c r="A1162" s="10" t="s">
        <v>200</v>
      </c>
      <c r="B1162" s="11">
        <v>46023</v>
      </c>
      <c r="C1162" s="3" t="str">
        <f>_xlfn.XLOOKUP(TabReceitas[[#This Row],[ID]],TabCondicoesComerciais[ID],TabCondicoesComerciais[Nº Filial],0)</f>
        <v>16</v>
      </c>
      <c r="D1162" s="3" t="s">
        <v>12</v>
      </c>
      <c r="E1162" s="3" t="str">
        <f>_xlfn.XLOOKUP(TabReceitas[[#This Row],[ID]],TabCondicoesComerciais[ID],TabCondicoesComerciais[Congênere],"Verificar")</f>
        <v>Ipiranga</v>
      </c>
      <c r="F1162" s="3" t="s">
        <v>7</v>
      </c>
      <c r="G1162" s="30">
        <v>0</v>
      </c>
      <c r="H1162" s="39">
        <v>0</v>
      </c>
    </row>
    <row r="1163" spans="1:8" hidden="1" x14ac:dyDescent="0.35">
      <c r="A1163" s="10" t="s">
        <v>200</v>
      </c>
      <c r="B1163" s="11">
        <v>46023</v>
      </c>
      <c r="C1163" s="3" t="str">
        <f>_xlfn.XLOOKUP(TabReceitas[[#This Row],[ID]],TabCondicoesComerciais[ID],TabCondicoesComerciais[Nº Filial],0)</f>
        <v>16</v>
      </c>
      <c r="D1163" s="3" t="s">
        <v>12</v>
      </c>
      <c r="E1163" s="3" t="str">
        <f>_xlfn.XLOOKUP(TabReceitas[[#This Row],[ID]],TabCondicoesComerciais[ID],TabCondicoesComerciais[Congênere],"Verificar")</f>
        <v>Ipiranga</v>
      </c>
      <c r="F1163" s="3" t="s">
        <v>8</v>
      </c>
      <c r="G1163" s="30">
        <v>0</v>
      </c>
      <c r="H1163" s="39">
        <v>0</v>
      </c>
    </row>
    <row r="1164" spans="1:8" hidden="1" x14ac:dyDescent="0.35">
      <c r="A1164" s="10" t="s">
        <v>200</v>
      </c>
      <c r="B1164" s="11">
        <v>46023</v>
      </c>
      <c r="C1164" s="3" t="str">
        <f>_xlfn.XLOOKUP(TabReceitas[[#This Row],[ID]],TabCondicoesComerciais[ID],TabCondicoesComerciais[Nº Filial],0)</f>
        <v>16</v>
      </c>
      <c r="D1164" s="3" t="s">
        <v>12</v>
      </c>
      <c r="E1164" s="3" t="str">
        <f>_xlfn.XLOOKUP(TabReceitas[[#This Row],[ID]],TabCondicoesComerciais[ID],TabCondicoesComerciais[Congênere],"Verificar")</f>
        <v>Ipiranga</v>
      </c>
      <c r="F1164" s="3" t="s">
        <v>15</v>
      </c>
      <c r="G1164" s="30">
        <v>0</v>
      </c>
      <c r="H1164" s="39">
        <v>0</v>
      </c>
    </row>
    <row r="1165" spans="1:8" hidden="1" x14ac:dyDescent="0.35">
      <c r="A1165" s="10" t="s">
        <v>200</v>
      </c>
      <c r="B1165" s="11">
        <v>46023</v>
      </c>
      <c r="C1165" s="3" t="str">
        <f>_xlfn.XLOOKUP(TabReceitas[[#This Row],[ID]],TabCondicoesComerciais[ID],TabCondicoesComerciais[Nº Filial],0)</f>
        <v>16</v>
      </c>
      <c r="D1165" s="3" t="s">
        <v>12</v>
      </c>
      <c r="E1165" s="3" t="str">
        <f>_xlfn.XLOOKUP(TabReceitas[[#This Row],[ID]],TabCondicoesComerciais[ID],TabCondicoesComerciais[Congênere],"Verificar")</f>
        <v>Ipiranga</v>
      </c>
      <c r="F1165" s="3" t="s">
        <v>65</v>
      </c>
      <c r="G1165" s="30">
        <v>0</v>
      </c>
      <c r="H1165" s="39">
        <v>0</v>
      </c>
    </row>
    <row r="1166" spans="1:8" hidden="1" x14ac:dyDescent="0.35">
      <c r="A1166" s="10" t="s">
        <v>200</v>
      </c>
      <c r="B1166" s="11">
        <v>46054</v>
      </c>
      <c r="C1166" s="3" t="str">
        <f>_xlfn.XLOOKUP(TabReceitas[[#This Row],[ID]],TabCondicoesComerciais[ID],TabCondicoesComerciais[Nº Filial],0)</f>
        <v>16</v>
      </c>
      <c r="D1166" s="3" t="s">
        <v>12</v>
      </c>
      <c r="E1166" s="3" t="str">
        <f>_xlfn.XLOOKUP(TabReceitas[[#This Row],[ID]],TabCondicoesComerciais[ID],TabCondicoesComerciais[Congênere],"Verificar")</f>
        <v>Ipiranga</v>
      </c>
      <c r="F1166" s="3" t="s">
        <v>7</v>
      </c>
      <c r="G1166" s="30">
        <v>0</v>
      </c>
      <c r="H1166" s="39">
        <v>0</v>
      </c>
    </row>
    <row r="1167" spans="1:8" hidden="1" x14ac:dyDescent="0.35">
      <c r="A1167" s="10" t="s">
        <v>200</v>
      </c>
      <c r="B1167" s="11">
        <v>46054</v>
      </c>
      <c r="C1167" s="3" t="str">
        <f>_xlfn.XLOOKUP(TabReceitas[[#This Row],[ID]],TabCondicoesComerciais[ID],TabCondicoesComerciais[Nº Filial],0)</f>
        <v>16</v>
      </c>
      <c r="D1167" s="3" t="s">
        <v>12</v>
      </c>
      <c r="E1167" s="3" t="str">
        <f>_xlfn.XLOOKUP(TabReceitas[[#This Row],[ID]],TabCondicoesComerciais[ID],TabCondicoesComerciais[Congênere],"Verificar")</f>
        <v>Ipiranga</v>
      </c>
      <c r="F1167" s="3" t="s">
        <v>8</v>
      </c>
      <c r="G1167" s="30">
        <v>0</v>
      </c>
      <c r="H1167" s="39">
        <v>0</v>
      </c>
    </row>
    <row r="1168" spans="1:8" hidden="1" x14ac:dyDescent="0.35">
      <c r="A1168" s="10" t="s">
        <v>200</v>
      </c>
      <c r="B1168" s="11">
        <v>46054</v>
      </c>
      <c r="C1168" s="3" t="str">
        <f>_xlfn.XLOOKUP(TabReceitas[[#This Row],[ID]],TabCondicoesComerciais[ID],TabCondicoesComerciais[Nº Filial],0)</f>
        <v>16</v>
      </c>
      <c r="D1168" s="3" t="s">
        <v>12</v>
      </c>
      <c r="E1168" s="3" t="str">
        <f>_xlfn.XLOOKUP(TabReceitas[[#This Row],[ID]],TabCondicoesComerciais[ID],TabCondicoesComerciais[Congênere],"Verificar")</f>
        <v>Ipiranga</v>
      </c>
      <c r="F1168" s="3" t="s">
        <v>15</v>
      </c>
      <c r="G1168" s="30">
        <v>0</v>
      </c>
      <c r="H1168" s="39">
        <v>0</v>
      </c>
    </row>
    <row r="1169" spans="1:8" hidden="1" x14ac:dyDescent="0.35">
      <c r="A1169" s="10" t="s">
        <v>200</v>
      </c>
      <c r="B1169" s="11">
        <v>46054</v>
      </c>
      <c r="C1169" s="3" t="str">
        <f>_xlfn.XLOOKUP(TabReceitas[[#This Row],[ID]],TabCondicoesComerciais[ID],TabCondicoesComerciais[Nº Filial],0)</f>
        <v>16</v>
      </c>
      <c r="D1169" s="3" t="s">
        <v>12</v>
      </c>
      <c r="E1169" s="3" t="str">
        <f>_xlfn.XLOOKUP(TabReceitas[[#This Row],[ID]],TabCondicoesComerciais[ID],TabCondicoesComerciais[Congênere],"Verificar")</f>
        <v>Ipiranga</v>
      </c>
      <c r="F1169" s="3" t="s">
        <v>65</v>
      </c>
      <c r="G1169" s="30">
        <v>0</v>
      </c>
      <c r="H1169" s="39">
        <v>0</v>
      </c>
    </row>
    <row r="1170" spans="1:8" hidden="1" x14ac:dyDescent="0.35">
      <c r="A1170" s="10" t="s">
        <v>200</v>
      </c>
      <c r="B1170" s="11">
        <v>46082</v>
      </c>
      <c r="C1170" s="3" t="str">
        <f>_xlfn.XLOOKUP(TabReceitas[[#This Row],[ID]],TabCondicoesComerciais[ID],TabCondicoesComerciais[Nº Filial],0)</f>
        <v>16</v>
      </c>
      <c r="D1170" s="3" t="s">
        <v>12</v>
      </c>
      <c r="E1170" s="3" t="str">
        <f>_xlfn.XLOOKUP(TabReceitas[[#This Row],[ID]],TabCondicoesComerciais[ID],TabCondicoesComerciais[Congênere],"Verificar")</f>
        <v>Ipiranga</v>
      </c>
      <c r="F1170" s="3" t="s">
        <v>7</v>
      </c>
      <c r="G1170" s="30">
        <v>0</v>
      </c>
      <c r="H1170" s="39">
        <v>0</v>
      </c>
    </row>
    <row r="1171" spans="1:8" hidden="1" x14ac:dyDescent="0.35">
      <c r="A1171" s="10" t="s">
        <v>200</v>
      </c>
      <c r="B1171" s="11">
        <v>46082</v>
      </c>
      <c r="C1171" s="3" t="str">
        <f>_xlfn.XLOOKUP(TabReceitas[[#This Row],[ID]],TabCondicoesComerciais[ID],TabCondicoesComerciais[Nº Filial],0)</f>
        <v>16</v>
      </c>
      <c r="D1171" s="3" t="s">
        <v>12</v>
      </c>
      <c r="E1171" s="3" t="str">
        <f>_xlfn.XLOOKUP(TabReceitas[[#This Row],[ID]],TabCondicoesComerciais[ID],TabCondicoesComerciais[Congênere],"Verificar")</f>
        <v>Ipiranga</v>
      </c>
      <c r="F1171" s="3" t="s">
        <v>8</v>
      </c>
      <c r="G1171" s="30">
        <v>0</v>
      </c>
      <c r="H1171" s="39">
        <v>0</v>
      </c>
    </row>
    <row r="1172" spans="1:8" hidden="1" x14ac:dyDescent="0.35">
      <c r="A1172" s="10" t="s">
        <v>200</v>
      </c>
      <c r="B1172" s="11">
        <v>46082</v>
      </c>
      <c r="C1172" s="3" t="str">
        <f>_xlfn.XLOOKUP(TabReceitas[[#This Row],[ID]],TabCondicoesComerciais[ID],TabCondicoesComerciais[Nº Filial],0)</f>
        <v>16</v>
      </c>
      <c r="D1172" s="3" t="s">
        <v>12</v>
      </c>
      <c r="E1172" s="3" t="str">
        <f>_xlfn.XLOOKUP(TabReceitas[[#This Row],[ID]],TabCondicoesComerciais[ID],TabCondicoesComerciais[Congênere],"Verificar")</f>
        <v>Ipiranga</v>
      </c>
      <c r="F1172" s="3" t="s">
        <v>15</v>
      </c>
      <c r="G1172" s="30">
        <v>0</v>
      </c>
      <c r="H1172" s="39">
        <v>0</v>
      </c>
    </row>
    <row r="1173" spans="1:8" hidden="1" x14ac:dyDescent="0.35">
      <c r="A1173" s="10" t="s">
        <v>200</v>
      </c>
      <c r="B1173" s="11">
        <v>46082</v>
      </c>
      <c r="C1173" s="3" t="str">
        <f>_xlfn.XLOOKUP(TabReceitas[[#This Row],[ID]],TabCondicoesComerciais[ID],TabCondicoesComerciais[Nº Filial],0)</f>
        <v>16</v>
      </c>
      <c r="D1173" s="3" t="s">
        <v>12</v>
      </c>
      <c r="E1173" s="3" t="str">
        <f>_xlfn.XLOOKUP(TabReceitas[[#This Row],[ID]],TabCondicoesComerciais[ID],TabCondicoesComerciais[Congênere],"Verificar")</f>
        <v>Ipiranga</v>
      </c>
      <c r="F1173" s="3" t="s">
        <v>65</v>
      </c>
      <c r="G1173" s="30">
        <v>0</v>
      </c>
      <c r="H1173" s="39">
        <v>0</v>
      </c>
    </row>
    <row r="1174" spans="1:8" hidden="1" x14ac:dyDescent="0.35">
      <c r="A1174" s="10" t="s">
        <v>200</v>
      </c>
      <c r="B1174" s="11">
        <v>46113</v>
      </c>
      <c r="C1174" s="3" t="str">
        <f>_xlfn.XLOOKUP(TabReceitas[[#This Row],[ID]],TabCondicoesComerciais[ID],TabCondicoesComerciais[Nº Filial],0)</f>
        <v>16</v>
      </c>
      <c r="D1174" s="3" t="s">
        <v>12</v>
      </c>
      <c r="E1174" s="3" t="str">
        <f>_xlfn.XLOOKUP(TabReceitas[[#This Row],[ID]],TabCondicoesComerciais[ID],TabCondicoesComerciais[Congênere],"Verificar")</f>
        <v>Ipiranga</v>
      </c>
      <c r="F1174" s="3" t="s">
        <v>7</v>
      </c>
      <c r="G1174" s="30">
        <v>0</v>
      </c>
      <c r="H1174" s="39">
        <v>0</v>
      </c>
    </row>
    <row r="1175" spans="1:8" hidden="1" x14ac:dyDescent="0.35">
      <c r="A1175" s="10" t="s">
        <v>200</v>
      </c>
      <c r="B1175" s="11">
        <v>46113</v>
      </c>
      <c r="C1175" s="3" t="str">
        <f>_xlfn.XLOOKUP(TabReceitas[[#This Row],[ID]],TabCondicoesComerciais[ID],TabCondicoesComerciais[Nº Filial],0)</f>
        <v>16</v>
      </c>
      <c r="D1175" s="3" t="s">
        <v>12</v>
      </c>
      <c r="E1175" s="3" t="str">
        <f>_xlfn.XLOOKUP(TabReceitas[[#This Row],[ID]],TabCondicoesComerciais[ID],TabCondicoesComerciais[Congênere],"Verificar")</f>
        <v>Ipiranga</v>
      </c>
      <c r="F1175" s="3" t="s">
        <v>8</v>
      </c>
      <c r="G1175" s="30">
        <v>0</v>
      </c>
      <c r="H1175" s="39">
        <v>0</v>
      </c>
    </row>
    <row r="1176" spans="1:8" hidden="1" x14ac:dyDescent="0.35">
      <c r="A1176" s="10" t="s">
        <v>200</v>
      </c>
      <c r="B1176" s="11">
        <v>46113</v>
      </c>
      <c r="C1176" s="3" t="str">
        <f>_xlfn.XLOOKUP(TabReceitas[[#This Row],[ID]],TabCondicoesComerciais[ID],TabCondicoesComerciais[Nº Filial],0)</f>
        <v>16</v>
      </c>
      <c r="D1176" s="3" t="s">
        <v>12</v>
      </c>
      <c r="E1176" s="3" t="str">
        <f>_xlfn.XLOOKUP(TabReceitas[[#This Row],[ID]],TabCondicoesComerciais[ID],TabCondicoesComerciais[Congênere],"Verificar")</f>
        <v>Ipiranga</v>
      </c>
      <c r="F1176" s="3" t="s">
        <v>15</v>
      </c>
      <c r="G1176" s="30">
        <v>0</v>
      </c>
      <c r="H1176" s="39">
        <v>0</v>
      </c>
    </row>
    <row r="1177" spans="1:8" hidden="1" x14ac:dyDescent="0.35">
      <c r="A1177" s="10" t="s">
        <v>200</v>
      </c>
      <c r="B1177" s="11">
        <v>46113</v>
      </c>
      <c r="C1177" s="3" t="str">
        <f>_xlfn.XLOOKUP(TabReceitas[[#This Row],[ID]],TabCondicoesComerciais[ID],TabCondicoesComerciais[Nº Filial],0)</f>
        <v>16</v>
      </c>
      <c r="D1177" s="3" t="s">
        <v>12</v>
      </c>
      <c r="E1177" s="3" t="str">
        <f>_xlfn.XLOOKUP(TabReceitas[[#This Row],[ID]],TabCondicoesComerciais[ID],TabCondicoesComerciais[Congênere],"Verificar")</f>
        <v>Ipiranga</v>
      </c>
      <c r="F1177" s="3" t="s">
        <v>65</v>
      </c>
      <c r="G1177" s="30">
        <v>0</v>
      </c>
      <c r="H1177" s="39">
        <v>0</v>
      </c>
    </row>
    <row r="1178" spans="1:8" hidden="1" x14ac:dyDescent="0.35">
      <c r="A1178" s="10" t="s">
        <v>200</v>
      </c>
      <c r="B1178" s="11">
        <v>46143</v>
      </c>
      <c r="C1178" s="3" t="str">
        <f>_xlfn.XLOOKUP(TabReceitas[[#This Row],[ID]],TabCondicoesComerciais[ID],TabCondicoesComerciais[Nº Filial],0)</f>
        <v>16</v>
      </c>
      <c r="D1178" s="3" t="s">
        <v>12</v>
      </c>
      <c r="E1178" s="3" t="str">
        <f>_xlfn.XLOOKUP(TabReceitas[[#This Row],[ID]],TabCondicoesComerciais[ID],TabCondicoesComerciais[Congênere],"Verificar")</f>
        <v>Ipiranga</v>
      </c>
      <c r="F1178" s="3" t="s">
        <v>7</v>
      </c>
      <c r="G1178" s="30">
        <v>0</v>
      </c>
      <c r="H1178" s="39">
        <v>0</v>
      </c>
    </row>
    <row r="1179" spans="1:8" hidden="1" x14ac:dyDescent="0.35">
      <c r="A1179" s="10" t="s">
        <v>200</v>
      </c>
      <c r="B1179" s="11">
        <v>46143</v>
      </c>
      <c r="C1179" s="3" t="str">
        <f>_xlfn.XLOOKUP(TabReceitas[[#This Row],[ID]],TabCondicoesComerciais[ID],TabCondicoesComerciais[Nº Filial],0)</f>
        <v>16</v>
      </c>
      <c r="D1179" s="3" t="s">
        <v>12</v>
      </c>
      <c r="E1179" s="3" t="str">
        <f>_xlfn.XLOOKUP(TabReceitas[[#This Row],[ID]],TabCondicoesComerciais[ID],TabCondicoesComerciais[Congênere],"Verificar")</f>
        <v>Ipiranga</v>
      </c>
      <c r="F1179" s="3" t="s">
        <v>8</v>
      </c>
      <c r="G1179" s="30">
        <v>0</v>
      </c>
      <c r="H1179" s="39">
        <v>0</v>
      </c>
    </row>
    <row r="1180" spans="1:8" hidden="1" x14ac:dyDescent="0.35">
      <c r="A1180" s="10" t="s">
        <v>200</v>
      </c>
      <c r="B1180" s="11">
        <v>46143</v>
      </c>
      <c r="C1180" s="3" t="str">
        <f>_xlfn.XLOOKUP(TabReceitas[[#This Row],[ID]],TabCondicoesComerciais[ID],TabCondicoesComerciais[Nº Filial],0)</f>
        <v>16</v>
      </c>
      <c r="D1180" s="3" t="s">
        <v>12</v>
      </c>
      <c r="E1180" s="3" t="str">
        <f>_xlfn.XLOOKUP(TabReceitas[[#This Row],[ID]],TabCondicoesComerciais[ID],TabCondicoesComerciais[Congênere],"Verificar")</f>
        <v>Ipiranga</v>
      </c>
      <c r="F1180" s="3" t="s">
        <v>15</v>
      </c>
      <c r="G1180" s="30">
        <v>0</v>
      </c>
      <c r="H1180" s="39">
        <v>0</v>
      </c>
    </row>
    <row r="1181" spans="1:8" hidden="1" x14ac:dyDescent="0.35">
      <c r="A1181" s="10" t="s">
        <v>200</v>
      </c>
      <c r="B1181" s="11">
        <v>46143</v>
      </c>
      <c r="C1181" s="3" t="str">
        <f>_xlfn.XLOOKUP(TabReceitas[[#This Row],[ID]],TabCondicoesComerciais[ID],TabCondicoesComerciais[Nº Filial],0)</f>
        <v>16</v>
      </c>
      <c r="D1181" s="3" t="s">
        <v>12</v>
      </c>
      <c r="E1181" s="3" t="str">
        <f>_xlfn.XLOOKUP(TabReceitas[[#This Row],[ID]],TabCondicoesComerciais[ID],TabCondicoesComerciais[Congênere],"Verificar")</f>
        <v>Ipiranga</v>
      </c>
      <c r="F1181" s="3" t="s">
        <v>65</v>
      </c>
      <c r="G1181" s="30">
        <v>0</v>
      </c>
      <c r="H1181" s="39">
        <v>0</v>
      </c>
    </row>
    <row r="1182" spans="1:8" hidden="1" x14ac:dyDescent="0.35">
      <c r="A1182" s="10" t="s">
        <v>200</v>
      </c>
      <c r="B1182" s="11">
        <v>46174</v>
      </c>
      <c r="C1182" s="3" t="str">
        <f>_xlfn.XLOOKUP(TabReceitas[[#This Row],[ID]],TabCondicoesComerciais[ID],TabCondicoesComerciais[Nº Filial],0)</f>
        <v>16</v>
      </c>
      <c r="D1182" s="3" t="s">
        <v>12</v>
      </c>
      <c r="E1182" s="3" t="str">
        <f>_xlfn.XLOOKUP(TabReceitas[[#This Row],[ID]],TabCondicoesComerciais[ID],TabCondicoesComerciais[Congênere],"Verificar")</f>
        <v>Ipiranga</v>
      </c>
      <c r="F1182" s="3" t="s">
        <v>7</v>
      </c>
      <c r="G1182" s="30">
        <v>0</v>
      </c>
      <c r="H1182" s="39">
        <v>0</v>
      </c>
    </row>
    <row r="1183" spans="1:8" hidden="1" x14ac:dyDescent="0.35">
      <c r="A1183" s="10" t="s">
        <v>200</v>
      </c>
      <c r="B1183" s="11">
        <v>46174</v>
      </c>
      <c r="C1183" s="3" t="str">
        <f>_xlfn.XLOOKUP(TabReceitas[[#This Row],[ID]],TabCondicoesComerciais[ID],TabCondicoesComerciais[Nº Filial],0)</f>
        <v>16</v>
      </c>
      <c r="D1183" s="3" t="s">
        <v>12</v>
      </c>
      <c r="E1183" s="3" t="str">
        <f>_xlfn.XLOOKUP(TabReceitas[[#This Row],[ID]],TabCondicoesComerciais[ID],TabCondicoesComerciais[Congênere],"Verificar")</f>
        <v>Ipiranga</v>
      </c>
      <c r="F1183" s="3" t="s">
        <v>8</v>
      </c>
      <c r="G1183" s="30">
        <v>0</v>
      </c>
      <c r="H1183" s="39">
        <v>0</v>
      </c>
    </row>
    <row r="1184" spans="1:8" hidden="1" x14ac:dyDescent="0.35">
      <c r="A1184" s="10" t="s">
        <v>200</v>
      </c>
      <c r="B1184" s="11">
        <v>46174</v>
      </c>
      <c r="C1184" s="3" t="str">
        <f>_xlfn.XLOOKUP(TabReceitas[[#This Row],[ID]],TabCondicoesComerciais[ID],TabCondicoesComerciais[Nº Filial],0)</f>
        <v>16</v>
      </c>
      <c r="D1184" s="3" t="s">
        <v>12</v>
      </c>
      <c r="E1184" s="3" t="str">
        <f>_xlfn.XLOOKUP(TabReceitas[[#This Row],[ID]],TabCondicoesComerciais[ID],TabCondicoesComerciais[Congênere],"Verificar")</f>
        <v>Ipiranga</v>
      </c>
      <c r="F1184" s="3" t="s">
        <v>15</v>
      </c>
      <c r="G1184" s="30">
        <v>0</v>
      </c>
      <c r="H1184" s="39">
        <v>0</v>
      </c>
    </row>
    <row r="1185" spans="1:8" hidden="1" x14ac:dyDescent="0.35">
      <c r="A1185" s="10" t="s">
        <v>200</v>
      </c>
      <c r="B1185" s="11">
        <v>46174</v>
      </c>
      <c r="C1185" s="3" t="str">
        <f>_xlfn.XLOOKUP(TabReceitas[[#This Row],[ID]],TabCondicoesComerciais[ID],TabCondicoesComerciais[Nº Filial],0)</f>
        <v>16</v>
      </c>
      <c r="D1185" s="3" t="s">
        <v>12</v>
      </c>
      <c r="E1185" s="3" t="str">
        <f>_xlfn.XLOOKUP(TabReceitas[[#This Row],[ID]],TabCondicoesComerciais[ID],TabCondicoesComerciais[Congênere],"Verificar")</f>
        <v>Ipiranga</v>
      </c>
      <c r="F1185" s="3" t="s">
        <v>65</v>
      </c>
      <c r="G1185" s="30">
        <v>0</v>
      </c>
      <c r="H1185" s="39">
        <v>0</v>
      </c>
    </row>
    <row r="1186" spans="1:8" hidden="1" x14ac:dyDescent="0.35">
      <c r="A1186" s="10" t="s">
        <v>200</v>
      </c>
      <c r="B1186" s="11">
        <v>46204</v>
      </c>
      <c r="C1186" s="3" t="str">
        <f>_xlfn.XLOOKUP(TabReceitas[[#This Row],[ID]],TabCondicoesComerciais[ID],TabCondicoesComerciais[Nº Filial],0)</f>
        <v>16</v>
      </c>
      <c r="D1186" s="3" t="s">
        <v>12</v>
      </c>
      <c r="E1186" s="3" t="str">
        <f>_xlfn.XLOOKUP(TabReceitas[[#This Row],[ID]],TabCondicoesComerciais[ID],TabCondicoesComerciais[Congênere],"Verificar")</f>
        <v>Ipiranga</v>
      </c>
      <c r="F1186" s="3" t="s">
        <v>7</v>
      </c>
      <c r="G1186" s="30">
        <v>0</v>
      </c>
      <c r="H1186" s="39">
        <v>0</v>
      </c>
    </row>
    <row r="1187" spans="1:8" hidden="1" x14ac:dyDescent="0.35">
      <c r="A1187" s="10" t="s">
        <v>200</v>
      </c>
      <c r="B1187" s="11">
        <v>46204</v>
      </c>
      <c r="C1187" s="3" t="str">
        <f>_xlfn.XLOOKUP(TabReceitas[[#This Row],[ID]],TabCondicoesComerciais[ID],TabCondicoesComerciais[Nº Filial],0)</f>
        <v>16</v>
      </c>
      <c r="D1187" s="3" t="s">
        <v>12</v>
      </c>
      <c r="E1187" s="3" t="str">
        <f>_xlfn.XLOOKUP(TabReceitas[[#This Row],[ID]],TabCondicoesComerciais[ID],TabCondicoesComerciais[Congênere],"Verificar")</f>
        <v>Ipiranga</v>
      </c>
      <c r="F1187" s="3" t="s">
        <v>8</v>
      </c>
      <c r="G1187" s="30">
        <v>0</v>
      </c>
      <c r="H1187" s="39">
        <v>0</v>
      </c>
    </row>
    <row r="1188" spans="1:8" hidden="1" x14ac:dyDescent="0.35">
      <c r="A1188" s="10" t="s">
        <v>200</v>
      </c>
      <c r="B1188" s="11">
        <v>46204</v>
      </c>
      <c r="C1188" s="3" t="str">
        <f>_xlfn.XLOOKUP(TabReceitas[[#This Row],[ID]],TabCondicoesComerciais[ID],TabCondicoesComerciais[Nº Filial],0)</f>
        <v>16</v>
      </c>
      <c r="D1188" s="3" t="s">
        <v>12</v>
      </c>
      <c r="E1188" s="3" t="str">
        <f>_xlfn.XLOOKUP(TabReceitas[[#This Row],[ID]],TabCondicoesComerciais[ID],TabCondicoesComerciais[Congênere],"Verificar")</f>
        <v>Ipiranga</v>
      </c>
      <c r="F1188" s="3" t="s">
        <v>15</v>
      </c>
      <c r="G1188" s="30">
        <v>0</v>
      </c>
      <c r="H1188" s="39">
        <v>0</v>
      </c>
    </row>
    <row r="1189" spans="1:8" hidden="1" x14ac:dyDescent="0.35">
      <c r="A1189" s="10" t="s">
        <v>200</v>
      </c>
      <c r="B1189" s="11">
        <v>46204</v>
      </c>
      <c r="C1189" s="3" t="str">
        <f>_xlfn.XLOOKUP(TabReceitas[[#This Row],[ID]],TabCondicoesComerciais[ID],TabCondicoesComerciais[Nº Filial],0)</f>
        <v>16</v>
      </c>
      <c r="D1189" s="3" t="s">
        <v>12</v>
      </c>
      <c r="E1189" s="3" t="str">
        <f>_xlfn.XLOOKUP(TabReceitas[[#This Row],[ID]],TabCondicoesComerciais[ID],TabCondicoesComerciais[Congênere],"Verificar")</f>
        <v>Ipiranga</v>
      </c>
      <c r="F1189" s="3" t="s">
        <v>65</v>
      </c>
      <c r="G1189" s="30">
        <v>0</v>
      </c>
      <c r="H1189" s="39">
        <v>0</v>
      </c>
    </row>
    <row r="1190" spans="1:8" hidden="1" x14ac:dyDescent="0.35">
      <c r="A1190" s="10" t="s">
        <v>200</v>
      </c>
      <c r="B1190" s="11">
        <v>46235</v>
      </c>
      <c r="C1190" s="3" t="str">
        <f>_xlfn.XLOOKUP(TabReceitas[[#This Row],[ID]],TabCondicoesComerciais[ID],TabCondicoesComerciais[Nº Filial],0)</f>
        <v>16</v>
      </c>
      <c r="D1190" s="3" t="s">
        <v>12</v>
      </c>
      <c r="E1190" s="3" t="str">
        <f>_xlfn.XLOOKUP(TabReceitas[[#This Row],[ID]],TabCondicoesComerciais[ID],TabCondicoesComerciais[Congênere],"Verificar")</f>
        <v>Ipiranga</v>
      </c>
      <c r="F1190" s="3" t="s">
        <v>7</v>
      </c>
      <c r="G1190" s="30">
        <v>0</v>
      </c>
      <c r="H1190" s="39">
        <v>0</v>
      </c>
    </row>
    <row r="1191" spans="1:8" hidden="1" x14ac:dyDescent="0.35">
      <c r="A1191" s="10" t="s">
        <v>200</v>
      </c>
      <c r="B1191" s="11">
        <v>46235</v>
      </c>
      <c r="C1191" s="3" t="str">
        <f>_xlfn.XLOOKUP(TabReceitas[[#This Row],[ID]],TabCondicoesComerciais[ID],TabCondicoesComerciais[Nº Filial],0)</f>
        <v>16</v>
      </c>
      <c r="D1191" s="3" t="s">
        <v>12</v>
      </c>
      <c r="E1191" s="3" t="str">
        <f>_xlfn.XLOOKUP(TabReceitas[[#This Row],[ID]],TabCondicoesComerciais[ID],TabCondicoesComerciais[Congênere],"Verificar")</f>
        <v>Ipiranga</v>
      </c>
      <c r="F1191" s="3" t="s">
        <v>8</v>
      </c>
      <c r="G1191" s="30">
        <v>0</v>
      </c>
      <c r="H1191" s="39">
        <v>0</v>
      </c>
    </row>
    <row r="1192" spans="1:8" hidden="1" x14ac:dyDescent="0.35">
      <c r="A1192" s="10" t="s">
        <v>200</v>
      </c>
      <c r="B1192" s="11">
        <v>46235</v>
      </c>
      <c r="C1192" s="3" t="str">
        <f>_xlfn.XLOOKUP(TabReceitas[[#This Row],[ID]],TabCondicoesComerciais[ID],TabCondicoesComerciais[Nº Filial],0)</f>
        <v>16</v>
      </c>
      <c r="D1192" s="3" t="s">
        <v>12</v>
      </c>
      <c r="E1192" s="3" t="str">
        <f>_xlfn.XLOOKUP(TabReceitas[[#This Row],[ID]],TabCondicoesComerciais[ID],TabCondicoesComerciais[Congênere],"Verificar")</f>
        <v>Ipiranga</v>
      </c>
      <c r="F1192" s="3" t="s">
        <v>15</v>
      </c>
      <c r="G1192" s="30">
        <v>0</v>
      </c>
      <c r="H1192" s="39">
        <v>0</v>
      </c>
    </row>
    <row r="1193" spans="1:8" hidden="1" x14ac:dyDescent="0.35">
      <c r="A1193" s="10" t="s">
        <v>200</v>
      </c>
      <c r="B1193" s="11">
        <v>46235</v>
      </c>
      <c r="C1193" s="3" t="str">
        <f>_xlfn.XLOOKUP(TabReceitas[[#This Row],[ID]],TabCondicoesComerciais[ID],TabCondicoesComerciais[Nº Filial],0)</f>
        <v>16</v>
      </c>
      <c r="D1193" s="3" t="s">
        <v>12</v>
      </c>
      <c r="E1193" s="3" t="str">
        <f>_xlfn.XLOOKUP(TabReceitas[[#This Row],[ID]],TabCondicoesComerciais[ID],TabCondicoesComerciais[Congênere],"Verificar")</f>
        <v>Ipiranga</v>
      </c>
      <c r="F1193" s="3" t="s">
        <v>65</v>
      </c>
      <c r="G1193" s="30">
        <v>0</v>
      </c>
      <c r="H1193" s="39">
        <v>0</v>
      </c>
    </row>
    <row r="1194" spans="1:8" hidden="1" x14ac:dyDescent="0.35">
      <c r="A1194" s="10" t="s">
        <v>200</v>
      </c>
      <c r="B1194" s="11">
        <v>46266</v>
      </c>
      <c r="C1194" s="3" t="str">
        <f>_xlfn.XLOOKUP(TabReceitas[[#This Row],[ID]],TabCondicoesComerciais[ID],TabCondicoesComerciais[Nº Filial],0)</f>
        <v>16</v>
      </c>
      <c r="D1194" s="3" t="s">
        <v>12</v>
      </c>
      <c r="E1194" s="3" t="str">
        <f>_xlfn.XLOOKUP(TabReceitas[[#This Row],[ID]],TabCondicoesComerciais[ID],TabCondicoesComerciais[Congênere],"Verificar")</f>
        <v>Ipiranga</v>
      </c>
      <c r="F1194" s="3" t="s">
        <v>7</v>
      </c>
      <c r="G1194" s="30">
        <v>0</v>
      </c>
      <c r="H1194" s="39">
        <v>0</v>
      </c>
    </row>
    <row r="1195" spans="1:8" hidden="1" x14ac:dyDescent="0.35">
      <c r="A1195" s="10" t="s">
        <v>200</v>
      </c>
      <c r="B1195" s="11">
        <v>46266</v>
      </c>
      <c r="C1195" s="3" t="str">
        <f>_xlfn.XLOOKUP(TabReceitas[[#This Row],[ID]],TabCondicoesComerciais[ID],TabCondicoesComerciais[Nº Filial],0)</f>
        <v>16</v>
      </c>
      <c r="D1195" s="3" t="s">
        <v>12</v>
      </c>
      <c r="E1195" s="3" t="str">
        <f>_xlfn.XLOOKUP(TabReceitas[[#This Row],[ID]],TabCondicoesComerciais[ID],TabCondicoesComerciais[Congênere],"Verificar")</f>
        <v>Ipiranga</v>
      </c>
      <c r="F1195" s="3" t="s">
        <v>8</v>
      </c>
      <c r="G1195" s="30">
        <v>0</v>
      </c>
      <c r="H1195" s="39">
        <v>0</v>
      </c>
    </row>
    <row r="1196" spans="1:8" hidden="1" x14ac:dyDescent="0.35">
      <c r="A1196" s="10" t="s">
        <v>200</v>
      </c>
      <c r="B1196" s="11">
        <v>46266</v>
      </c>
      <c r="C1196" s="3" t="str">
        <f>_xlfn.XLOOKUP(TabReceitas[[#This Row],[ID]],TabCondicoesComerciais[ID],TabCondicoesComerciais[Nº Filial],0)</f>
        <v>16</v>
      </c>
      <c r="D1196" s="3" t="s">
        <v>12</v>
      </c>
      <c r="E1196" s="3" t="str">
        <f>_xlfn.XLOOKUP(TabReceitas[[#This Row],[ID]],TabCondicoesComerciais[ID],TabCondicoesComerciais[Congênere],"Verificar")</f>
        <v>Ipiranga</v>
      </c>
      <c r="F1196" s="3" t="s">
        <v>15</v>
      </c>
      <c r="G1196" s="30">
        <v>0</v>
      </c>
      <c r="H1196" s="39">
        <v>0</v>
      </c>
    </row>
    <row r="1197" spans="1:8" hidden="1" x14ac:dyDescent="0.35">
      <c r="A1197" s="10" t="s">
        <v>200</v>
      </c>
      <c r="B1197" s="11">
        <v>46266</v>
      </c>
      <c r="C1197" s="3" t="str">
        <f>_xlfn.XLOOKUP(TabReceitas[[#This Row],[ID]],TabCondicoesComerciais[ID],TabCondicoesComerciais[Nº Filial],0)</f>
        <v>16</v>
      </c>
      <c r="D1197" s="3" t="s">
        <v>12</v>
      </c>
      <c r="E1197" s="3" t="str">
        <f>_xlfn.XLOOKUP(TabReceitas[[#This Row],[ID]],TabCondicoesComerciais[ID],TabCondicoesComerciais[Congênere],"Verificar")</f>
        <v>Ipiranga</v>
      </c>
      <c r="F1197" s="3" t="s">
        <v>65</v>
      </c>
      <c r="G1197" s="30">
        <v>0</v>
      </c>
      <c r="H1197" s="39">
        <v>0</v>
      </c>
    </row>
    <row r="1198" spans="1:8" hidden="1" x14ac:dyDescent="0.35">
      <c r="A1198" s="10" t="s">
        <v>200</v>
      </c>
      <c r="B1198" s="11">
        <v>46296</v>
      </c>
      <c r="C1198" s="3" t="str">
        <f>_xlfn.XLOOKUP(TabReceitas[[#This Row],[ID]],TabCondicoesComerciais[ID],TabCondicoesComerciais[Nº Filial],0)</f>
        <v>16</v>
      </c>
      <c r="D1198" s="3" t="s">
        <v>12</v>
      </c>
      <c r="E1198" s="3" t="str">
        <f>_xlfn.XLOOKUP(TabReceitas[[#This Row],[ID]],TabCondicoesComerciais[ID],TabCondicoesComerciais[Congênere],"Verificar")</f>
        <v>Ipiranga</v>
      </c>
      <c r="F1198" s="3" t="s">
        <v>7</v>
      </c>
      <c r="G1198" s="30">
        <v>0</v>
      </c>
      <c r="H1198" s="39">
        <v>0</v>
      </c>
    </row>
    <row r="1199" spans="1:8" hidden="1" x14ac:dyDescent="0.35">
      <c r="A1199" s="10" t="s">
        <v>200</v>
      </c>
      <c r="B1199" s="11">
        <v>46296</v>
      </c>
      <c r="C1199" s="3" t="str">
        <f>_xlfn.XLOOKUP(TabReceitas[[#This Row],[ID]],TabCondicoesComerciais[ID],TabCondicoesComerciais[Nº Filial],0)</f>
        <v>16</v>
      </c>
      <c r="D1199" s="3" t="s">
        <v>12</v>
      </c>
      <c r="E1199" s="3" t="str">
        <f>_xlfn.XLOOKUP(TabReceitas[[#This Row],[ID]],TabCondicoesComerciais[ID],TabCondicoesComerciais[Congênere],"Verificar")</f>
        <v>Ipiranga</v>
      </c>
      <c r="F1199" s="3" t="s">
        <v>8</v>
      </c>
      <c r="G1199" s="30">
        <v>0</v>
      </c>
      <c r="H1199" s="39">
        <v>0</v>
      </c>
    </row>
    <row r="1200" spans="1:8" hidden="1" x14ac:dyDescent="0.35">
      <c r="A1200" s="10" t="s">
        <v>200</v>
      </c>
      <c r="B1200" s="11">
        <v>46296</v>
      </c>
      <c r="C1200" s="3" t="str">
        <f>_xlfn.XLOOKUP(TabReceitas[[#This Row],[ID]],TabCondicoesComerciais[ID],TabCondicoesComerciais[Nº Filial],0)</f>
        <v>16</v>
      </c>
      <c r="D1200" s="3" t="s">
        <v>12</v>
      </c>
      <c r="E1200" s="3" t="str">
        <f>_xlfn.XLOOKUP(TabReceitas[[#This Row],[ID]],TabCondicoesComerciais[ID],TabCondicoesComerciais[Congênere],"Verificar")</f>
        <v>Ipiranga</v>
      </c>
      <c r="F1200" s="3" t="s">
        <v>15</v>
      </c>
      <c r="G1200" s="30">
        <v>0</v>
      </c>
      <c r="H1200" s="39">
        <v>0</v>
      </c>
    </row>
    <row r="1201" spans="1:8" hidden="1" x14ac:dyDescent="0.35">
      <c r="A1201" s="10" t="s">
        <v>200</v>
      </c>
      <c r="B1201" s="11">
        <v>46296</v>
      </c>
      <c r="C1201" s="3" t="str">
        <f>_xlfn.XLOOKUP(TabReceitas[[#This Row],[ID]],TabCondicoesComerciais[ID],TabCondicoesComerciais[Nº Filial],0)</f>
        <v>16</v>
      </c>
      <c r="D1201" s="3" t="s">
        <v>12</v>
      </c>
      <c r="E1201" s="3" t="str">
        <f>_xlfn.XLOOKUP(TabReceitas[[#This Row],[ID]],TabCondicoesComerciais[ID],TabCondicoesComerciais[Congênere],"Verificar")</f>
        <v>Ipiranga</v>
      </c>
      <c r="F1201" s="3" t="s">
        <v>65</v>
      </c>
      <c r="G1201" s="30">
        <v>0</v>
      </c>
      <c r="H1201" s="39">
        <v>0</v>
      </c>
    </row>
    <row r="1202" spans="1:8" hidden="1" x14ac:dyDescent="0.35">
      <c r="A1202" s="10" t="s">
        <v>200</v>
      </c>
      <c r="B1202" s="11">
        <v>46327</v>
      </c>
      <c r="C1202" s="3" t="str">
        <f>_xlfn.XLOOKUP(TabReceitas[[#This Row],[ID]],TabCondicoesComerciais[ID],TabCondicoesComerciais[Nº Filial],0)</f>
        <v>16</v>
      </c>
      <c r="D1202" s="3" t="s">
        <v>12</v>
      </c>
      <c r="E1202" s="3" t="str">
        <f>_xlfn.XLOOKUP(TabReceitas[[#This Row],[ID]],TabCondicoesComerciais[ID],TabCondicoesComerciais[Congênere],"Verificar")</f>
        <v>Ipiranga</v>
      </c>
      <c r="F1202" s="3" t="s">
        <v>7</v>
      </c>
      <c r="G1202" s="30">
        <v>0</v>
      </c>
      <c r="H1202" s="39">
        <v>0</v>
      </c>
    </row>
    <row r="1203" spans="1:8" hidden="1" x14ac:dyDescent="0.35">
      <c r="A1203" s="10" t="s">
        <v>200</v>
      </c>
      <c r="B1203" s="11">
        <v>46327</v>
      </c>
      <c r="C1203" s="3" t="str">
        <f>_xlfn.XLOOKUP(TabReceitas[[#This Row],[ID]],TabCondicoesComerciais[ID],TabCondicoesComerciais[Nº Filial],0)</f>
        <v>16</v>
      </c>
      <c r="D1203" s="3" t="s">
        <v>12</v>
      </c>
      <c r="E1203" s="3" t="str">
        <f>_xlfn.XLOOKUP(TabReceitas[[#This Row],[ID]],TabCondicoesComerciais[ID],TabCondicoesComerciais[Congênere],"Verificar")</f>
        <v>Ipiranga</v>
      </c>
      <c r="F1203" s="3" t="s">
        <v>8</v>
      </c>
      <c r="G1203" s="30">
        <v>0</v>
      </c>
      <c r="H1203" s="39">
        <v>0</v>
      </c>
    </row>
    <row r="1204" spans="1:8" hidden="1" x14ac:dyDescent="0.35">
      <c r="A1204" s="10" t="s">
        <v>200</v>
      </c>
      <c r="B1204" s="11">
        <v>46327</v>
      </c>
      <c r="C1204" s="3" t="str">
        <f>_xlfn.XLOOKUP(TabReceitas[[#This Row],[ID]],TabCondicoesComerciais[ID],TabCondicoesComerciais[Nº Filial],0)</f>
        <v>16</v>
      </c>
      <c r="D1204" s="3" t="s">
        <v>12</v>
      </c>
      <c r="E1204" s="3" t="str">
        <f>_xlfn.XLOOKUP(TabReceitas[[#This Row],[ID]],TabCondicoesComerciais[ID],TabCondicoesComerciais[Congênere],"Verificar")</f>
        <v>Ipiranga</v>
      </c>
      <c r="F1204" s="3" t="s">
        <v>15</v>
      </c>
      <c r="G1204" s="30">
        <v>0</v>
      </c>
      <c r="H1204" s="39">
        <v>0</v>
      </c>
    </row>
    <row r="1205" spans="1:8" hidden="1" x14ac:dyDescent="0.35">
      <c r="A1205" s="10" t="s">
        <v>200</v>
      </c>
      <c r="B1205" s="11">
        <v>46327</v>
      </c>
      <c r="C1205" s="3" t="str">
        <f>_xlfn.XLOOKUP(TabReceitas[[#This Row],[ID]],TabCondicoesComerciais[ID],TabCondicoesComerciais[Nº Filial],0)</f>
        <v>16</v>
      </c>
      <c r="D1205" s="3" t="s">
        <v>12</v>
      </c>
      <c r="E1205" s="3" t="str">
        <f>_xlfn.XLOOKUP(TabReceitas[[#This Row],[ID]],TabCondicoesComerciais[ID],TabCondicoesComerciais[Congênere],"Verificar")</f>
        <v>Ipiranga</v>
      </c>
      <c r="F1205" s="3" t="s">
        <v>65</v>
      </c>
      <c r="G1205" s="30">
        <v>0</v>
      </c>
      <c r="H1205" s="39">
        <v>0</v>
      </c>
    </row>
    <row r="1206" spans="1:8" hidden="1" x14ac:dyDescent="0.35">
      <c r="A1206" s="10" t="s">
        <v>200</v>
      </c>
      <c r="B1206" s="11">
        <v>46357</v>
      </c>
      <c r="C1206" s="3" t="str">
        <f>_xlfn.XLOOKUP(TabReceitas[[#This Row],[ID]],TabCondicoesComerciais[ID],TabCondicoesComerciais[Nº Filial],0)</f>
        <v>16</v>
      </c>
      <c r="D1206" s="3" t="s">
        <v>12</v>
      </c>
      <c r="E1206" s="3" t="str">
        <f>_xlfn.XLOOKUP(TabReceitas[[#This Row],[ID]],TabCondicoesComerciais[ID],TabCondicoesComerciais[Congênere],"Verificar")</f>
        <v>Ipiranga</v>
      </c>
      <c r="F1206" s="3" t="s">
        <v>7</v>
      </c>
      <c r="G1206" s="30">
        <v>0</v>
      </c>
      <c r="H1206" s="39">
        <v>0</v>
      </c>
    </row>
    <row r="1207" spans="1:8" hidden="1" x14ac:dyDescent="0.35">
      <c r="A1207" s="10" t="s">
        <v>200</v>
      </c>
      <c r="B1207" s="11">
        <v>46357</v>
      </c>
      <c r="C1207" s="3" t="str">
        <f>_xlfn.XLOOKUP(TabReceitas[[#This Row],[ID]],TabCondicoesComerciais[ID],TabCondicoesComerciais[Nº Filial],0)</f>
        <v>16</v>
      </c>
      <c r="D1207" s="3" t="s">
        <v>12</v>
      </c>
      <c r="E1207" s="3" t="str">
        <f>_xlfn.XLOOKUP(TabReceitas[[#This Row],[ID]],TabCondicoesComerciais[ID],TabCondicoesComerciais[Congênere],"Verificar")</f>
        <v>Ipiranga</v>
      </c>
      <c r="F1207" s="3" t="s">
        <v>8</v>
      </c>
      <c r="G1207" s="30">
        <v>0</v>
      </c>
      <c r="H1207" s="39">
        <v>0</v>
      </c>
    </row>
    <row r="1208" spans="1:8" hidden="1" x14ac:dyDescent="0.35">
      <c r="A1208" s="10" t="s">
        <v>200</v>
      </c>
      <c r="B1208" s="11">
        <v>46357</v>
      </c>
      <c r="C1208" s="3" t="str">
        <f>_xlfn.XLOOKUP(TabReceitas[[#This Row],[ID]],TabCondicoesComerciais[ID],TabCondicoesComerciais[Nº Filial],0)</f>
        <v>16</v>
      </c>
      <c r="D1208" s="3" t="s">
        <v>12</v>
      </c>
      <c r="E1208" s="3" t="str">
        <f>_xlfn.XLOOKUP(TabReceitas[[#This Row],[ID]],TabCondicoesComerciais[ID],TabCondicoesComerciais[Congênere],"Verificar")</f>
        <v>Ipiranga</v>
      </c>
      <c r="F1208" s="3" t="s">
        <v>15</v>
      </c>
      <c r="G1208" s="30">
        <v>0</v>
      </c>
      <c r="H1208" s="39">
        <v>0</v>
      </c>
    </row>
    <row r="1209" spans="1:8" hidden="1" x14ac:dyDescent="0.35">
      <c r="A1209" s="10" t="s">
        <v>200</v>
      </c>
      <c r="B1209" s="11">
        <v>46357</v>
      </c>
      <c r="C1209" s="3" t="str">
        <f>_xlfn.XLOOKUP(TabReceitas[[#This Row],[ID]],TabCondicoesComerciais[ID],TabCondicoesComerciais[Nº Filial],0)</f>
        <v>16</v>
      </c>
      <c r="D1209" s="3" t="s">
        <v>12</v>
      </c>
      <c r="E1209" s="3" t="str">
        <f>_xlfn.XLOOKUP(TabReceitas[[#This Row],[ID]],TabCondicoesComerciais[ID],TabCondicoesComerciais[Congênere],"Verificar")</f>
        <v>Ipiranga</v>
      </c>
      <c r="F1209" s="3" t="s">
        <v>65</v>
      </c>
      <c r="G1209" s="30">
        <v>0</v>
      </c>
      <c r="H1209" s="39">
        <v>0</v>
      </c>
    </row>
    <row r="1210" spans="1:8" hidden="1" x14ac:dyDescent="0.35">
      <c r="A1210" s="10" t="s">
        <v>208</v>
      </c>
      <c r="B1210" s="11">
        <v>46143</v>
      </c>
      <c r="C1210" s="3" t="s">
        <v>22</v>
      </c>
      <c r="D1210" s="3" t="s">
        <v>11</v>
      </c>
      <c r="E1210" s="3" t="str">
        <f>_xlfn.XLOOKUP(TabReceitas[[#This Row],[ID]],TabCondicoesComerciais[ID],TabCondicoesComerciais[Congênere],"Verificar")</f>
        <v>Rdp</v>
      </c>
      <c r="F1210" s="3" t="s">
        <v>7</v>
      </c>
      <c r="G1210" s="30">
        <v>0</v>
      </c>
      <c r="H1210" s="39">
        <v>0</v>
      </c>
    </row>
    <row r="1211" spans="1:8" hidden="1" x14ac:dyDescent="0.35">
      <c r="A1211" s="10" t="s">
        <v>208</v>
      </c>
      <c r="B1211" s="11">
        <v>46143</v>
      </c>
      <c r="C1211" s="3" t="s">
        <v>22</v>
      </c>
      <c r="D1211" s="3" t="s">
        <v>11</v>
      </c>
      <c r="E1211" s="3" t="str">
        <f>_xlfn.XLOOKUP(TabReceitas[[#This Row],[ID]],TabCondicoesComerciais[ID],TabCondicoesComerciais[Congênere],"Verificar")</f>
        <v>Rdp</v>
      </c>
      <c r="F1211" s="3" t="s">
        <v>8</v>
      </c>
      <c r="G1211" s="30">
        <v>0</v>
      </c>
      <c r="H1211" s="39">
        <v>0</v>
      </c>
    </row>
    <row r="1212" spans="1:8" hidden="1" x14ac:dyDescent="0.35">
      <c r="A1212" s="10" t="s">
        <v>208</v>
      </c>
      <c r="B1212" s="11">
        <v>46143</v>
      </c>
      <c r="C1212" s="3" t="s">
        <v>22</v>
      </c>
      <c r="D1212" s="3" t="s">
        <v>11</v>
      </c>
      <c r="E1212" s="3" t="str">
        <f>_xlfn.XLOOKUP(TabReceitas[[#This Row],[ID]],TabCondicoesComerciais[ID],TabCondicoesComerciais[Congênere],"Verificar")</f>
        <v>Rdp</v>
      </c>
      <c r="F1212" s="3" t="s">
        <v>15</v>
      </c>
      <c r="G1212" s="30">
        <v>45394.74</v>
      </c>
      <c r="H1212" s="39">
        <v>1875</v>
      </c>
    </row>
    <row r="1213" spans="1:8" hidden="1" x14ac:dyDescent="0.35">
      <c r="A1213" s="10" t="s">
        <v>208</v>
      </c>
      <c r="B1213" s="11">
        <v>46143</v>
      </c>
      <c r="C1213" s="3" t="s">
        <v>22</v>
      </c>
      <c r="D1213" s="3" t="s">
        <v>11</v>
      </c>
      <c r="E1213" s="3" t="str">
        <f>_xlfn.XLOOKUP(TabReceitas[[#This Row],[ID]],TabCondicoesComerciais[ID],TabCondicoesComerciais[Congênere],"Verificar")</f>
        <v>Rdp</v>
      </c>
      <c r="F1213" s="3" t="s">
        <v>65</v>
      </c>
      <c r="G1213" s="30">
        <v>0</v>
      </c>
      <c r="H1213" s="39">
        <v>0</v>
      </c>
    </row>
    <row r="1214" spans="1:8" hidden="1" x14ac:dyDescent="0.35">
      <c r="A1214" s="10" t="s">
        <v>208</v>
      </c>
      <c r="B1214" s="11">
        <v>46174</v>
      </c>
      <c r="C1214" s="3" t="s">
        <v>22</v>
      </c>
      <c r="D1214" s="3" t="s">
        <v>11</v>
      </c>
      <c r="E1214" s="3" t="str">
        <f>_xlfn.XLOOKUP(TabReceitas[[#This Row],[ID]],TabCondicoesComerciais[ID],TabCondicoesComerciais[Congênere],"Verificar")</f>
        <v>Rdp</v>
      </c>
      <c r="F1214" s="3" t="s">
        <v>7</v>
      </c>
      <c r="G1214" s="30">
        <v>0</v>
      </c>
      <c r="H1214" s="39">
        <v>0</v>
      </c>
    </row>
    <row r="1215" spans="1:8" hidden="1" x14ac:dyDescent="0.35">
      <c r="A1215" s="10" t="s">
        <v>208</v>
      </c>
      <c r="B1215" s="11">
        <v>46174</v>
      </c>
      <c r="C1215" s="3" t="s">
        <v>22</v>
      </c>
      <c r="D1215" s="3" t="s">
        <v>11</v>
      </c>
      <c r="E1215" s="3" t="str">
        <f>_xlfn.XLOOKUP(TabReceitas[[#This Row],[ID]],TabCondicoesComerciais[ID],TabCondicoesComerciais[Congênere],"Verificar")</f>
        <v>Rdp</v>
      </c>
      <c r="F1215" s="3" t="s">
        <v>8</v>
      </c>
      <c r="G1215" s="30">
        <v>0</v>
      </c>
      <c r="H1215" s="39">
        <v>0</v>
      </c>
    </row>
    <row r="1216" spans="1:8" hidden="1" x14ac:dyDescent="0.35">
      <c r="A1216" s="10" t="s">
        <v>208</v>
      </c>
      <c r="B1216" s="11">
        <v>46174</v>
      </c>
      <c r="C1216" s="3" t="s">
        <v>22</v>
      </c>
      <c r="D1216" s="3" t="s">
        <v>11</v>
      </c>
      <c r="E1216" s="3" t="str">
        <f>_xlfn.XLOOKUP(TabReceitas[[#This Row],[ID]],TabCondicoesComerciais[ID],TabCondicoesComerciais[Congênere],"Verificar")</f>
        <v>Rdp</v>
      </c>
      <c r="F1216" s="3" t="s">
        <v>15</v>
      </c>
      <c r="G1216" s="30">
        <v>47210.53</v>
      </c>
      <c r="H1216" s="39">
        <v>1875</v>
      </c>
    </row>
    <row r="1217" spans="1:8" hidden="1" x14ac:dyDescent="0.35">
      <c r="A1217" s="10" t="s">
        <v>208</v>
      </c>
      <c r="B1217" s="11">
        <v>46174</v>
      </c>
      <c r="C1217" s="3" t="s">
        <v>22</v>
      </c>
      <c r="D1217" s="3" t="s">
        <v>11</v>
      </c>
      <c r="E1217" s="3" t="str">
        <f>_xlfn.XLOOKUP(TabReceitas[[#This Row],[ID]],TabCondicoesComerciais[ID],TabCondicoesComerciais[Congênere],"Verificar")</f>
        <v>Rdp</v>
      </c>
      <c r="F1217" s="3" t="s">
        <v>65</v>
      </c>
      <c r="G1217" s="30">
        <v>0</v>
      </c>
      <c r="H1217" s="39">
        <v>0</v>
      </c>
    </row>
    <row r="1218" spans="1:8" hidden="1" x14ac:dyDescent="0.35">
      <c r="A1218" s="10" t="s">
        <v>208</v>
      </c>
      <c r="B1218" s="11">
        <v>46204</v>
      </c>
      <c r="C1218" s="3" t="s">
        <v>22</v>
      </c>
      <c r="D1218" s="3" t="s">
        <v>11</v>
      </c>
      <c r="E1218" s="3" t="str">
        <f>_xlfn.XLOOKUP(TabReceitas[[#This Row],[ID]],TabCondicoesComerciais[ID],TabCondicoesComerciais[Congênere],"Verificar")</f>
        <v>Rdp</v>
      </c>
      <c r="F1218" s="3" t="s">
        <v>7</v>
      </c>
      <c r="G1218" s="30">
        <v>0</v>
      </c>
      <c r="H1218" s="39">
        <v>0</v>
      </c>
    </row>
    <row r="1219" spans="1:8" hidden="1" x14ac:dyDescent="0.35">
      <c r="A1219" s="10" t="s">
        <v>208</v>
      </c>
      <c r="B1219" s="11">
        <v>46204</v>
      </c>
      <c r="C1219" s="3" t="s">
        <v>22</v>
      </c>
      <c r="D1219" s="3" t="s">
        <v>11</v>
      </c>
      <c r="E1219" s="3" t="str">
        <f>_xlfn.XLOOKUP(TabReceitas[[#This Row],[ID]],TabCondicoesComerciais[ID],TabCondicoesComerciais[Congênere],"Verificar")</f>
        <v>Rdp</v>
      </c>
      <c r="F1219" s="3" t="s">
        <v>8</v>
      </c>
      <c r="G1219" s="30">
        <v>0</v>
      </c>
      <c r="H1219" s="39">
        <v>0</v>
      </c>
    </row>
    <row r="1220" spans="1:8" hidden="1" x14ac:dyDescent="0.35">
      <c r="A1220" s="10" t="s">
        <v>208</v>
      </c>
      <c r="B1220" s="11">
        <v>46204</v>
      </c>
      <c r="C1220" s="3" t="s">
        <v>22</v>
      </c>
      <c r="D1220" s="3" t="s">
        <v>11</v>
      </c>
      <c r="E1220" s="3" t="str">
        <f>_xlfn.XLOOKUP(TabReceitas[[#This Row],[ID]],TabCondicoesComerciais[ID],TabCondicoesComerciais[Congênere],"Verificar")</f>
        <v>Rdp</v>
      </c>
      <c r="F1220" s="3" t="s">
        <v>15</v>
      </c>
      <c r="G1220" s="30">
        <v>47210.53</v>
      </c>
      <c r="H1220" s="39">
        <v>1875</v>
      </c>
    </row>
    <row r="1221" spans="1:8" hidden="1" x14ac:dyDescent="0.35">
      <c r="A1221" s="10" t="s">
        <v>208</v>
      </c>
      <c r="B1221" s="11">
        <v>46204</v>
      </c>
      <c r="C1221" s="3" t="s">
        <v>22</v>
      </c>
      <c r="D1221" s="3" t="s">
        <v>11</v>
      </c>
      <c r="E1221" s="3" t="str">
        <f>_xlfn.XLOOKUP(TabReceitas[[#This Row],[ID]],TabCondicoesComerciais[ID],TabCondicoesComerciais[Congênere],"Verificar")</f>
        <v>Rdp</v>
      </c>
      <c r="F1221" s="3" t="s">
        <v>65</v>
      </c>
      <c r="G1221" s="30">
        <v>0</v>
      </c>
      <c r="H1221" s="39">
        <v>0</v>
      </c>
    </row>
    <row r="1222" spans="1:8" hidden="1" x14ac:dyDescent="0.35">
      <c r="A1222" s="10" t="s">
        <v>208</v>
      </c>
      <c r="B1222" s="11">
        <v>46235</v>
      </c>
      <c r="C1222" s="3" t="s">
        <v>22</v>
      </c>
      <c r="D1222" s="3" t="s">
        <v>11</v>
      </c>
      <c r="E1222" s="3" t="str">
        <f>_xlfn.XLOOKUP(TabReceitas[[#This Row],[ID]],TabCondicoesComerciais[ID],TabCondicoesComerciais[Congênere],"Verificar")</f>
        <v>Rdp</v>
      </c>
      <c r="F1222" s="3" t="s">
        <v>7</v>
      </c>
      <c r="G1222" s="30">
        <v>0</v>
      </c>
      <c r="H1222" s="39">
        <v>0</v>
      </c>
    </row>
    <row r="1223" spans="1:8" hidden="1" x14ac:dyDescent="0.35">
      <c r="A1223" s="10" t="s">
        <v>208</v>
      </c>
      <c r="B1223" s="11">
        <v>46235</v>
      </c>
      <c r="C1223" s="3" t="s">
        <v>22</v>
      </c>
      <c r="D1223" s="3" t="s">
        <v>11</v>
      </c>
      <c r="E1223" s="3" t="str">
        <f>_xlfn.XLOOKUP(TabReceitas[[#This Row],[ID]],TabCondicoesComerciais[ID],TabCondicoesComerciais[Congênere],"Verificar")</f>
        <v>Rdp</v>
      </c>
      <c r="F1223" s="3" t="s">
        <v>8</v>
      </c>
      <c r="G1223" s="30">
        <v>0</v>
      </c>
      <c r="H1223" s="39">
        <v>0</v>
      </c>
    </row>
    <row r="1224" spans="1:8" hidden="1" x14ac:dyDescent="0.35">
      <c r="A1224" s="10" t="s">
        <v>208</v>
      </c>
      <c r="B1224" s="11">
        <v>46235</v>
      </c>
      <c r="C1224" s="3" t="s">
        <v>22</v>
      </c>
      <c r="D1224" s="3" t="s">
        <v>11</v>
      </c>
      <c r="E1224" s="3" t="str">
        <f>_xlfn.XLOOKUP(TabReceitas[[#This Row],[ID]],TabCondicoesComerciais[ID],TabCondicoesComerciais[Congênere],"Verificar")</f>
        <v>Rdp</v>
      </c>
      <c r="F1224" s="3" t="s">
        <v>15</v>
      </c>
      <c r="G1224" s="66">
        <v>47210.53</v>
      </c>
      <c r="H1224" s="39">
        <v>1875</v>
      </c>
    </row>
    <row r="1225" spans="1:8" hidden="1" x14ac:dyDescent="0.35">
      <c r="A1225" s="10" t="s">
        <v>208</v>
      </c>
      <c r="B1225" s="11">
        <v>46235</v>
      </c>
      <c r="C1225" s="3" t="s">
        <v>22</v>
      </c>
      <c r="D1225" s="3" t="s">
        <v>11</v>
      </c>
      <c r="E1225" s="3" t="str">
        <f>_xlfn.XLOOKUP(TabReceitas[[#This Row],[ID]],TabCondicoesComerciais[ID],TabCondicoesComerciais[Congênere],"Verificar")</f>
        <v>Rdp</v>
      </c>
      <c r="F1225" s="3" t="s">
        <v>65</v>
      </c>
      <c r="G1225" s="30">
        <v>0</v>
      </c>
      <c r="H1225" s="39">
        <v>0</v>
      </c>
    </row>
    <row r="1226" spans="1:8" hidden="1" x14ac:dyDescent="0.35">
      <c r="A1226" s="10" t="s">
        <v>208</v>
      </c>
      <c r="B1226" s="11">
        <v>46266</v>
      </c>
      <c r="C1226" s="3" t="s">
        <v>22</v>
      </c>
      <c r="D1226" s="3" t="s">
        <v>11</v>
      </c>
      <c r="E1226" s="3" t="str">
        <f>_xlfn.XLOOKUP(TabReceitas[[#This Row],[ID]],TabCondicoesComerciais[ID],TabCondicoesComerciais[Congênere],"Verificar")</f>
        <v>Rdp</v>
      </c>
      <c r="F1226" s="3" t="s">
        <v>7</v>
      </c>
      <c r="G1226" s="30">
        <v>0</v>
      </c>
      <c r="H1226" s="39">
        <v>0</v>
      </c>
    </row>
    <row r="1227" spans="1:8" hidden="1" x14ac:dyDescent="0.35">
      <c r="A1227" s="10" t="s">
        <v>208</v>
      </c>
      <c r="B1227" s="11">
        <v>46266</v>
      </c>
      <c r="C1227" s="3" t="s">
        <v>22</v>
      </c>
      <c r="D1227" s="3" t="s">
        <v>11</v>
      </c>
      <c r="E1227" s="3" t="str">
        <f>_xlfn.XLOOKUP(TabReceitas[[#This Row],[ID]],TabCondicoesComerciais[ID],TabCondicoesComerciais[Congênere],"Verificar")</f>
        <v>Rdp</v>
      </c>
      <c r="F1227" s="3" t="s">
        <v>8</v>
      </c>
      <c r="G1227" s="30">
        <v>0</v>
      </c>
      <c r="H1227" s="39">
        <v>0</v>
      </c>
    </row>
    <row r="1228" spans="1:8" hidden="1" x14ac:dyDescent="0.35">
      <c r="A1228" s="10" t="s">
        <v>208</v>
      </c>
      <c r="B1228" s="11">
        <v>46266</v>
      </c>
      <c r="C1228" s="3" t="s">
        <v>22</v>
      </c>
      <c r="D1228" s="3" t="s">
        <v>11</v>
      </c>
      <c r="E1228" s="3" t="str">
        <f>_xlfn.XLOOKUP(TabReceitas[[#This Row],[ID]],TabCondicoesComerciais[ID],TabCondicoesComerciais[Congênere],"Verificar")</f>
        <v>Rdp</v>
      </c>
      <c r="F1228" s="3" t="s">
        <v>15</v>
      </c>
      <c r="G1228" s="30">
        <v>47210.53</v>
      </c>
      <c r="H1228" s="67">
        <v>1875</v>
      </c>
    </row>
    <row r="1229" spans="1:8" hidden="1" x14ac:dyDescent="0.35">
      <c r="A1229" s="10" t="s">
        <v>208</v>
      </c>
      <c r="B1229" s="11">
        <v>46266</v>
      </c>
      <c r="C1229" s="3" t="s">
        <v>22</v>
      </c>
      <c r="D1229" s="3" t="s">
        <v>11</v>
      </c>
      <c r="E1229" s="3" t="str">
        <f>_xlfn.XLOOKUP(TabReceitas[[#This Row],[ID]],TabCondicoesComerciais[ID],TabCondicoesComerciais[Congênere],"Verificar")</f>
        <v>Rdp</v>
      </c>
      <c r="F1229" s="3" t="s">
        <v>65</v>
      </c>
      <c r="G1229" s="30">
        <v>0</v>
      </c>
      <c r="H1229" s="39">
        <v>0</v>
      </c>
    </row>
    <row r="1230" spans="1:8" hidden="1" x14ac:dyDescent="0.35">
      <c r="A1230" s="10" t="s">
        <v>208</v>
      </c>
      <c r="B1230" s="11">
        <v>46296</v>
      </c>
      <c r="C1230" s="3" t="s">
        <v>22</v>
      </c>
      <c r="D1230" s="3" t="s">
        <v>11</v>
      </c>
      <c r="E1230" s="3" t="str">
        <f>_xlfn.XLOOKUP(TabReceitas[[#This Row],[ID]],TabCondicoesComerciais[ID],TabCondicoesComerciais[Congênere],"Verificar")</f>
        <v>Rdp</v>
      </c>
      <c r="F1230" s="3" t="s">
        <v>7</v>
      </c>
      <c r="G1230" s="30">
        <v>0</v>
      </c>
      <c r="H1230" s="39">
        <v>0</v>
      </c>
    </row>
    <row r="1231" spans="1:8" hidden="1" x14ac:dyDescent="0.35">
      <c r="A1231" s="10" t="s">
        <v>208</v>
      </c>
      <c r="B1231" s="11">
        <v>46296</v>
      </c>
      <c r="C1231" s="3" t="s">
        <v>22</v>
      </c>
      <c r="D1231" s="3" t="s">
        <v>11</v>
      </c>
      <c r="E1231" s="3" t="str">
        <f>_xlfn.XLOOKUP(TabReceitas[[#This Row],[ID]],TabCondicoesComerciais[ID],TabCondicoesComerciais[Congênere],"Verificar")</f>
        <v>Rdp</v>
      </c>
      <c r="F1231" s="3" t="s">
        <v>8</v>
      </c>
      <c r="G1231" s="30">
        <v>0</v>
      </c>
      <c r="H1231" s="39">
        <v>0</v>
      </c>
    </row>
    <row r="1232" spans="1:8" hidden="1" x14ac:dyDescent="0.35">
      <c r="A1232" s="10" t="s">
        <v>208</v>
      </c>
      <c r="B1232" s="11">
        <v>46296</v>
      </c>
      <c r="C1232" s="3" t="s">
        <v>22</v>
      </c>
      <c r="D1232" s="3" t="s">
        <v>11</v>
      </c>
      <c r="E1232" s="3" t="str">
        <f>_xlfn.XLOOKUP(TabReceitas[[#This Row],[ID]],TabCondicoesComerciais[ID],TabCondicoesComerciais[Congênere],"Verificar")</f>
        <v>Rdp</v>
      </c>
      <c r="F1232" s="3" t="s">
        <v>15</v>
      </c>
      <c r="G1232" s="30">
        <v>47210.53</v>
      </c>
      <c r="H1232" s="39">
        <v>1875</v>
      </c>
    </row>
    <row r="1233" spans="1:8" hidden="1" x14ac:dyDescent="0.35">
      <c r="A1233" s="10" t="s">
        <v>208</v>
      </c>
      <c r="B1233" s="11">
        <v>46296</v>
      </c>
      <c r="C1233" s="3" t="s">
        <v>22</v>
      </c>
      <c r="D1233" s="3" t="s">
        <v>11</v>
      </c>
      <c r="E1233" s="3" t="str">
        <f>_xlfn.XLOOKUP(TabReceitas[[#This Row],[ID]],TabCondicoesComerciais[ID],TabCondicoesComerciais[Congênere],"Verificar")</f>
        <v>Rdp</v>
      </c>
      <c r="F1233" s="3" t="s">
        <v>65</v>
      </c>
      <c r="G1233" s="30">
        <v>0</v>
      </c>
      <c r="H1233" s="39">
        <v>0</v>
      </c>
    </row>
    <row r="1234" spans="1:8" hidden="1" x14ac:dyDescent="0.35">
      <c r="A1234" s="10" t="s">
        <v>208</v>
      </c>
      <c r="B1234" s="11">
        <v>46327</v>
      </c>
      <c r="C1234" s="3" t="s">
        <v>22</v>
      </c>
      <c r="D1234" s="3" t="s">
        <v>11</v>
      </c>
      <c r="E1234" s="3" t="str">
        <f>_xlfn.XLOOKUP(TabReceitas[[#This Row],[ID]],TabCondicoesComerciais[ID],TabCondicoesComerciais[Congênere],"Verificar")</f>
        <v>Rdp</v>
      </c>
      <c r="F1234" s="3" t="s">
        <v>7</v>
      </c>
      <c r="G1234" s="30">
        <v>0</v>
      </c>
      <c r="H1234" s="39">
        <v>0</v>
      </c>
    </row>
    <row r="1235" spans="1:8" hidden="1" x14ac:dyDescent="0.35">
      <c r="A1235" s="10" t="s">
        <v>208</v>
      </c>
      <c r="B1235" s="11">
        <v>46327</v>
      </c>
      <c r="C1235" s="3" t="s">
        <v>22</v>
      </c>
      <c r="D1235" s="3" t="s">
        <v>11</v>
      </c>
      <c r="E1235" s="3" t="str">
        <f>_xlfn.XLOOKUP(TabReceitas[[#This Row],[ID]],TabCondicoesComerciais[ID],TabCondicoesComerciais[Congênere],"Verificar")</f>
        <v>Rdp</v>
      </c>
      <c r="F1235" s="3" t="s">
        <v>8</v>
      </c>
      <c r="G1235" s="30">
        <v>0</v>
      </c>
      <c r="H1235" s="39">
        <v>0</v>
      </c>
    </row>
    <row r="1236" spans="1:8" hidden="1" x14ac:dyDescent="0.35">
      <c r="A1236" s="10" t="s">
        <v>208</v>
      </c>
      <c r="B1236" s="11">
        <v>46327</v>
      </c>
      <c r="C1236" s="3" t="s">
        <v>22</v>
      </c>
      <c r="D1236" s="3" t="s">
        <v>11</v>
      </c>
      <c r="E1236" s="3" t="str">
        <f>_xlfn.XLOOKUP(TabReceitas[[#This Row],[ID]],TabCondicoesComerciais[ID],TabCondicoesComerciais[Congênere],"Verificar")</f>
        <v>Rdp</v>
      </c>
      <c r="F1236" s="3" t="s">
        <v>15</v>
      </c>
      <c r="G1236" s="30">
        <v>47210.53</v>
      </c>
      <c r="H1236" s="39">
        <v>1875</v>
      </c>
    </row>
    <row r="1237" spans="1:8" hidden="1" x14ac:dyDescent="0.35">
      <c r="A1237" s="10" t="s">
        <v>208</v>
      </c>
      <c r="B1237" s="11">
        <v>46327</v>
      </c>
      <c r="C1237" s="3" t="s">
        <v>22</v>
      </c>
      <c r="D1237" s="3" t="s">
        <v>11</v>
      </c>
      <c r="E1237" s="3" t="str">
        <f>_xlfn.XLOOKUP(TabReceitas[[#This Row],[ID]],TabCondicoesComerciais[ID],TabCondicoesComerciais[Congênere],"Verificar")</f>
        <v>Rdp</v>
      </c>
      <c r="F1237" s="3" t="s">
        <v>65</v>
      </c>
      <c r="G1237" s="30">
        <v>0</v>
      </c>
      <c r="H1237" s="39">
        <v>0</v>
      </c>
    </row>
    <row r="1238" spans="1:8" hidden="1" x14ac:dyDescent="0.35">
      <c r="A1238" s="10" t="s">
        <v>208</v>
      </c>
      <c r="B1238" s="11">
        <v>46357</v>
      </c>
      <c r="C1238" s="3" t="s">
        <v>22</v>
      </c>
      <c r="D1238" s="3" t="s">
        <v>11</v>
      </c>
      <c r="E1238" s="3" t="str">
        <f>_xlfn.XLOOKUP(TabReceitas[[#This Row],[ID]],TabCondicoesComerciais[ID],TabCondicoesComerciais[Congênere],"Verificar")</f>
        <v>Rdp</v>
      </c>
      <c r="F1238" s="3" t="s">
        <v>7</v>
      </c>
      <c r="G1238" s="30">
        <v>0</v>
      </c>
      <c r="H1238" s="39">
        <v>0</v>
      </c>
    </row>
    <row r="1239" spans="1:8" hidden="1" x14ac:dyDescent="0.35">
      <c r="A1239" s="10" t="s">
        <v>208</v>
      </c>
      <c r="B1239" s="11">
        <v>46357</v>
      </c>
      <c r="C1239" s="3" t="s">
        <v>22</v>
      </c>
      <c r="D1239" s="3" t="s">
        <v>11</v>
      </c>
      <c r="E1239" s="3" t="str">
        <f>_xlfn.XLOOKUP(TabReceitas[[#This Row],[ID]],TabCondicoesComerciais[ID],TabCondicoesComerciais[Congênere],"Verificar")</f>
        <v>Rdp</v>
      </c>
      <c r="F1239" s="3" t="s">
        <v>8</v>
      </c>
      <c r="G1239" s="30">
        <v>0</v>
      </c>
      <c r="H1239" s="39">
        <v>0</v>
      </c>
    </row>
    <row r="1240" spans="1:8" hidden="1" x14ac:dyDescent="0.35">
      <c r="A1240" s="10" t="s">
        <v>208</v>
      </c>
      <c r="B1240" s="11">
        <v>46357</v>
      </c>
      <c r="C1240" s="3" t="s">
        <v>22</v>
      </c>
      <c r="D1240" s="3" t="s">
        <v>11</v>
      </c>
      <c r="E1240" s="3" t="str">
        <f>_xlfn.XLOOKUP(TabReceitas[[#This Row],[ID]],TabCondicoesComerciais[ID],TabCondicoesComerciais[Congênere],"Verificar")</f>
        <v>Rdp</v>
      </c>
      <c r="F1240" s="3" t="s">
        <v>15</v>
      </c>
      <c r="G1240" s="30">
        <v>47210.53</v>
      </c>
      <c r="H1240" s="39">
        <v>1875</v>
      </c>
    </row>
    <row r="1241" spans="1:8" hidden="1" x14ac:dyDescent="0.35">
      <c r="A1241" s="10" t="s">
        <v>208</v>
      </c>
      <c r="B1241" s="11">
        <v>46357</v>
      </c>
      <c r="C1241" s="3" t="s">
        <v>22</v>
      </c>
      <c r="D1241" s="3" t="s">
        <v>11</v>
      </c>
      <c r="E1241" s="3" t="str">
        <f>_xlfn.XLOOKUP(TabReceitas[[#This Row],[ID]],TabCondicoesComerciais[ID],TabCondicoesComerciais[Congênere],"Verificar")</f>
        <v>Rdp</v>
      </c>
      <c r="F1241" s="3" t="s">
        <v>65</v>
      </c>
      <c r="G1241" s="30">
        <v>0</v>
      </c>
      <c r="H1241" s="39">
        <v>0</v>
      </c>
    </row>
    <row r="1242" spans="1:8" hidden="1" x14ac:dyDescent="0.35">
      <c r="A1242" s="10" t="s">
        <v>208</v>
      </c>
      <c r="B1242" s="11">
        <v>46023</v>
      </c>
      <c r="C1242" s="3" t="s">
        <v>22</v>
      </c>
      <c r="D1242" s="3" t="s">
        <v>11</v>
      </c>
      <c r="E1242" s="3" t="str">
        <f>_xlfn.XLOOKUP(TabReceitas[[#This Row],[ID]],TabCondicoesComerciais[ID],TabCondicoesComerciais[Congênere],"Verificar")</f>
        <v>Rdp</v>
      </c>
      <c r="F1242" s="3" t="s">
        <v>7</v>
      </c>
      <c r="G1242" s="30">
        <v>0</v>
      </c>
      <c r="H1242" s="39">
        <v>0</v>
      </c>
    </row>
    <row r="1243" spans="1:8" hidden="1" x14ac:dyDescent="0.35">
      <c r="A1243" s="10" t="s">
        <v>208</v>
      </c>
      <c r="B1243" s="11">
        <v>46023</v>
      </c>
      <c r="C1243" s="3" t="s">
        <v>22</v>
      </c>
      <c r="D1243" s="3" t="s">
        <v>11</v>
      </c>
      <c r="E1243" s="3" t="str">
        <f>_xlfn.XLOOKUP(TabReceitas[[#This Row],[ID]],TabCondicoesComerciais[ID],TabCondicoesComerciais[Congênere],"Verificar")</f>
        <v>Rdp</v>
      </c>
      <c r="F1243" s="3" t="s">
        <v>8</v>
      </c>
      <c r="G1243" s="30">
        <v>0</v>
      </c>
      <c r="H1243" s="39">
        <v>0</v>
      </c>
    </row>
    <row r="1244" spans="1:8" hidden="1" x14ac:dyDescent="0.35">
      <c r="A1244" s="10" t="s">
        <v>208</v>
      </c>
      <c r="B1244" s="11">
        <v>46023</v>
      </c>
      <c r="C1244" s="3" t="s">
        <v>22</v>
      </c>
      <c r="D1244" s="3" t="s">
        <v>11</v>
      </c>
      <c r="E1244" s="3" t="str">
        <f>_xlfn.XLOOKUP(TabReceitas[[#This Row],[ID]],TabCondicoesComerciais[ID],TabCondicoesComerciais[Congênere],"Verificar")</f>
        <v>Rdp</v>
      </c>
      <c r="F1244" s="3" t="s">
        <v>15</v>
      </c>
      <c r="G1244" s="30">
        <v>45394.736842105267</v>
      </c>
      <c r="H1244" s="39">
        <v>1875</v>
      </c>
    </row>
    <row r="1245" spans="1:8" hidden="1" x14ac:dyDescent="0.35">
      <c r="A1245" s="10" t="s">
        <v>208</v>
      </c>
      <c r="B1245" s="11">
        <v>46023</v>
      </c>
      <c r="C1245" s="3" t="s">
        <v>22</v>
      </c>
      <c r="D1245" s="3" t="s">
        <v>11</v>
      </c>
      <c r="E1245" s="3" t="str">
        <f>_xlfn.XLOOKUP(TabReceitas[[#This Row],[ID]],TabCondicoesComerciais[ID],TabCondicoesComerciais[Congênere],"Verificar")</f>
        <v>Rdp</v>
      </c>
      <c r="F1245" s="3" t="s">
        <v>65</v>
      </c>
      <c r="G1245" s="30">
        <v>0</v>
      </c>
      <c r="H1245" s="39">
        <v>0</v>
      </c>
    </row>
    <row r="1246" spans="1:8" hidden="1" x14ac:dyDescent="0.35">
      <c r="A1246" s="10" t="s">
        <v>208</v>
      </c>
      <c r="B1246" s="11">
        <v>46054</v>
      </c>
      <c r="C1246" s="3" t="s">
        <v>22</v>
      </c>
      <c r="D1246" s="3" t="s">
        <v>11</v>
      </c>
      <c r="E1246" s="3" t="str">
        <f>_xlfn.XLOOKUP(TabReceitas[[#This Row],[ID]],TabCondicoesComerciais[ID],TabCondicoesComerciais[Congênere],"Verificar")</f>
        <v>Rdp</v>
      </c>
      <c r="F1246" s="3" t="s">
        <v>7</v>
      </c>
      <c r="G1246" s="30">
        <v>0</v>
      </c>
      <c r="H1246" s="39">
        <v>0</v>
      </c>
    </row>
    <row r="1247" spans="1:8" hidden="1" x14ac:dyDescent="0.35">
      <c r="A1247" s="10" t="s">
        <v>208</v>
      </c>
      <c r="B1247" s="11">
        <v>46054</v>
      </c>
      <c r="C1247" s="3" t="s">
        <v>22</v>
      </c>
      <c r="D1247" s="3" t="s">
        <v>11</v>
      </c>
      <c r="E1247" s="3" t="str">
        <f>_xlfn.XLOOKUP(TabReceitas[[#This Row],[ID]],TabCondicoesComerciais[ID],TabCondicoesComerciais[Congênere],"Verificar")</f>
        <v>Rdp</v>
      </c>
      <c r="F1247" s="3" t="s">
        <v>8</v>
      </c>
      <c r="G1247" s="30">
        <v>0</v>
      </c>
      <c r="H1247" s="39">
        <v>0</v>
      </c>
    </row>
    <row r="1248" spans="1:8" hidden="1" x14ac:dyDescent="0.35">
      <c r="A1248" s="10" t="s">
        <v>208</v>
      </c>
      <c r="B1248" s="11">
        <v>46054</v>
      </c>
      <c r="C1248" s="3" t="s">
        <v>22</v>
      </c>
      <c r="D1248" s="3" t="s">
        <v>11</v>
      </c>
      <c r="E1248" s="3" t="str">
        <f>_xlfn.XLOOKUP(TabReceitas[[#This Row],[ID]],TabCondicoesComerciais[ID],TabCondicoesComerciais[Congênere],"Verificar")</f>
        <v>Rdp</v>
      </c>
      <c r="F1248" s="3" t="s">
        <v>15</v>
      </c>
      <c r="G1248" s="30">
        <v>45394.74</v>
      </c>
      <c r="H1248" s="39">
        <v>1875</v>
      </c>
    </row>
    <row r="1249" spans="1:8" hidden="1" x14ac:dyDescent="0.35">
      <c r="A1249" s="10" t="s">
        <v>208</v>
      </c>
      <c r="B1249" s="11">
        <v>46054</v>
      </c>
      <c r="C1249" s="3" t="s">
        <v>22</v>
      </c>
      <c r="D1249" s="3" t="s">
        <v>11</v>
      </c>
      <c r="E1249" s="3" t="str">
        <f>_xlfn.XLOOKUP(TabReceitas[[#This Row],[ID]],TabCondicoesComerciais[ID],TabCondicoesComerciais[Congênere],"Verificar")</f>
        <v>Rdp</v>
      </c>
      <c r="F1249" s="3" t="s">
        <v>65</v>
      </c>
      <c r="G1249" s="30">
        <v>0</v>
      </c>
      <c r="H1249" s="39">
        <v>0</v>
      </c>
    </row>
    <row r="1250" spans="1:8" hidden="1" x14ac:dyDescent="0.35">
      <c r="A1250" s="10" t="s">
        <v>208</v>
      </c>
      <c r="B1250" s="11">
        <v>46082</v>
      </c>
      <c r="C1250" s="3" t="s">
        <v>22</v>
      </c>
      <c r="D1250" s="3" t="s">
        <v>11</v>
      </c>
      <c r="E1250" s="3" t="str">
        <f>_xlfn.XLOOKUP(TabReceitas[[#This Row],[ID]],TabCondicoesComerciais[ID],TabCondicoesComerciais[Congênere],"Verificar")</f>
        <v>Rdp</v>
      </c>
      <c r="F1250" s="3" t="s">
        <v>7</v>
      </c>
      <c r="G1250" s="30">
        <v>0</v>
      </c>
      <c r="H1250" s="39">
        <v>0</v>
      </c>
    </row>
    <row r="1251" spans="1:8" hidden="1" x14ac:dyDescent="0.35">
      <c r="A1251" s="10" t="s">
        <v>208</v>
      </c>
      <c r="B1251" s="11">
        <v>46082</v>
      </c>
      <c r="C1251" s="3" t="s">
        <v>22</v>
      </c>
      <c r="D1251" s="3" t="s">
        <v>11</v>
      </c>
      <c r="E1251" s="3" t="str">
        <f>_xlfn.XLOOKUP(TabReceitas[[#This Row],[ID]],TabCondicoesComerciais[ID],TabCondicoesComerciais[Congênere],"Verificar")</f>
        <v>Rdp</v>
      </c>
      <c r="F1251" s="3" t="s">
        <v>8</v>
      </c>
      <c r="G1251" s="30">
        <v>0</v>
      </c>
      <c r="H1251" s="39">
        <v>0</v>
      </c>
    </row>
    <row r="1252" spans="1:8" hidden="1" x14ac:dyDescent="0.35">
      <c r="A1252" s="10" t="s">
        <v>208</v>
      </c>
      <c r="B1252" s="11">
        <v>46082</v>
      </c>
      <c r="C1252" s="3" t="s">
        <v>22</v>
      </c>
      <c r="D1252" s="3" t="s">
        <v>11</v>
      </c>
      <c r="E1252" s="3" t="str">
        <f>_xlfn.XLOOKUP(TabReceitas[[#This Row],[ID]],TabCondicoesComerciais[ID],TabCondicoesComerciais[Congênere],"Verificar")</f>
        <v>Rdp</v>
      </c>
      <c r="F1252" s="3" t="s">
        <v>15</v>
      </c>
      <c r="G1252" s="30">
        <v>45394.74</v>
      </c>
      <c r="H1252" s="39">
        <v>1875</v>
      </c>
    </row>
    <row r="1253" spans="1:8" hidden="1" x14ac:dyDescent="0.35">
      <c r="A1253" s="10" t="s">
        <v>208</v>
      </c>
      <c r="B1253" s="11">
        <v>46082</v>
      </c>
      <c r="C1253" s="3" t="s">
        <v>22</v>
      </c>
      <c r="D1253" s="3" t="s">
        <v>11</v>
      </c>
      <c r="E1253" s="3" t="str">
        <f>_xlfn.XLOOKUP(TabReceitas[[#This Row],[ID]],TabCondicoesComerciais[ID],TabCondicoesComerciais[Congênere],"Verificar")</f>
        <v>Rdp</v>
      </c>
      <c r="F1253" s="3" t="s">
        <v>65</v>
      </c>
      <c r="G1253" s="30">
        <v>0</v>
      </c>
      <c r="H1253" s="39">
        <v>0</v>
      </c>
    </row>
    <row r="1254" spans="1:8" hidden="1" x14ac:dyDescent="0.35">
      <c r="A1254" s="10" t="s">
        <v>208</v>
      </c>
      <c r="B1254" s="11">
        <v>46113</v>
      </c>
      <c r="C1254" s="3" t="s">
        <v>22</v>
      </c>
      <c r="D1254" s="3" t="s">
        <v>11</v>
      </c>
      <c r="E1254" s="3" t="str">
        <f>_xlfn.XLOOKUP(TabReceitas[[#This Row],[ID]],TabCondicoesComerciais[ID],TabCondicoesComerciais[Congênere],"Verificar")</f>
        <v>Rdp</v>
      </c>
      <c r="F1254" s="3" t="s">
        <v>7</v>
      </c>
      <c r="G1254" s="30">
        <v>0</v>
      </c>
      <c r="H1254" s="39">
        <v>0</v>
      </c>
    </row>
    <row r="1255" spans="1:8" hidden="1" x14ac:dyDescent="0.35">
      <c r="A1255" s="10" t="s">
        <v>208</v>
      </c>
      <c r="B1255" s="11">
        <v>46113</v>
      </c>
      <c r="C1255" s="3" t="s">
        <v>22</v>
      </c>
      <c r="D1255" s="3" t="s">
        <v>11</v>
      </c>
      <c r="E1255" s="3" t="str">
        <f>_xlfn.XLOOKUP(TabReceitas[[#This Row],[ID]],TabCondicoesComerciais[ID],TabCondicoesComerciais[Congênere],"Verificar")</f>
        <v>Rdp</v>
      </c>
      <c r="F1255" s="3" t="s">
        <v>8</v>
      </c>
      <c r="G1255" s="30">
        <v>0</v>
      </c>
      <c r="H1255" s="39">
        <v>0</v>
      </c>
    </row>
    <row r="1256" spans="1:8" hidden="1" x14ac:dyDescent="0.35">
      <c r="A1256" s="10" t="s">
        <v>208</v>
      </c>
      <c r="B1256" s="11">
        <v>46113</v>
      </c>
      <c r="C1256" s="3" t="s">
        <v>22</v>
      </c>
      <c r="D1256" s="3" t="s">
        <v>11</v>
      </c>
      <c r="E1256" s="3" t="str">
        <f>_xlfn.XLOOKUP(TabReceitas[[#This Row],[ID]],TabCondicoesComerciais[ID],TabCondicoesComerciais[Congênere],"Verificar")</f>
        <v>Rdp</v>
      </c>
      <c r="F1256" s="3" t="s">
        <v>15</v>
      </c>
      <c r="G1256" s="30">
        <v>45394.74</v>
      </c>
      <c r="H1256" s="39">
        <v>1875</v>
      </c>
    </row>
    <row r="1257" spans="1:8" hidden="1" x14ac:dyDescent="0.35">
      <c r="A1257" s="10" t="s">
        <v>208</v>
      </c>
      <c r="B1257" s="11">
        <v>46113</v>
      </c>
      <c r="C1257" s="3" t="s">
        <v>22</v>
      </c>
      <c r="D1257" s="3" t="s">
        <v>11</v>
      </c>
      <c r="E1257" s="3" t="str">
        <f>_xlfn.XLOOKUP(TabReceitas[[#This Row],[ID]],TabCondicoesComerciais[ID],TabCondicoesComerciais[Congênere],"Verificar")</f>
        <v>Rdp</v>
      </c>
      <c r="F1257" s="3" t="s">
        <v>65</v>
      </c>
      <c r="G1257" s="30">
        <v>0</v>
      </c>
      <c r="H1257" s="39">
        <v>0</v>
      </c>
    </row>
    <row r="1258" spans="1:8" hidden="1" x14ac:dyDescent="0.35">
      <c r="A1258" s="10" t="s">
        <v>169</v>
      </c>
      <c r="B1258" s="11">
        <v>46023</v>
      </c>
      <c r="C1258" s="3" t="str">
        <f>_xlfn.XLOOKUP(TabReceitas[[#This Row],[ID]],TabCondicoesComerciais[ID],TabCondicoesComerciais[Nº Filial],0)</f>
        <v>16</v>
      </c>
      <c r="D1258" s="3" t="str">
        <f>_xlfn.XLOOKUP(TabReceitas[[#This Row],[ID]],TabCondicoesComerciais[ID],TabCondicoesComerciais[Base],"Verificar")</f>
        <v>Guarulhos</v>
      </c>
      <c r="E1258" s="3" t="str">
        <f>_xlfn.XLOOKUP(TabReceitas[[#This Row],[ID]],TabCondicoesComerciais[ID],TabCondicoesComerciais[Congênere],"Verificar")</f>
        <v>Sim Distribuidora</v>
      </c>
      <c r="F1258" s="3" t="s">
        <v>15</v>
      </c>
      <c r="G1258" s="30">
        <v>123240.00000000001</v>
      </c>
      <c r="H1258" s="39">
        <v>4160</v>
      </c>
    </row>
    <row r="1259" spans="1:8" hidden="1" x14ac:dyDescent="0.35">
      <c r="A1259" s="10" t="s">
        <v>343</v>
      </c>
      <c r="B1259" s="11">
        <v>46235</v>
      </c>
      <c r="C1259" s="3" t="str">
        <f>_xlfn.XLOOKUP(TabReceitas[[#This Row],[ID]],TabCondicoesComerciais[ID],TabCondicoesComerciais[Nº Filial],0)</f>
        <v>20</v>
      </c>
      <c r="D1259" s="3" t="str">
        <f>_xlfn.XLOOKUP(TabReceitas[[#This Row],[ID]],TabCondicoesComerciais[ID],TabCondicoesComerciais[Base],"Verificar")</f>
        <v>São José do Rio Preto</v>
      </c>
      <c r="E1259" s="3" t="str">
        <f>_xlfn.XLOOKUP(TabReceitas[[#This Row],[ID]],TabCondicoesComerciais[ID],TabCondicoesComerciais[Congênere],"Verificar")</f>
        <v>Ruff</v>
      </c>
      <c r="F1259" s="3" t="s">
        <v>7</v>
      </c>
      <c r="G1259" s="30"/>
      <c r="H1259" s="39"/>
    </row>
    <row r="1260" spans="1:8" hidden="1" x14ac:dyDescent="0.35">
      <c r="A1260" s="10" t="s">
        <v>343</v>
      </c>
      <c r="B1260" s="11">
        <v>46235</v>
      </c>
      <c r="C1260" s="3" t="str">
        <f>_xlfn.XLOOKUP(TabReceitas[[#This Row],[ID]],TabCondicoesComerciais[ID],TabCondicoesComerciais[Nº Filial],0)</f>
        <v>20</v>
      </c>
      <c r="D1260" s="3" t="str">
        <f>_xlfn.XLOOKUP(TabReceitas[[#This Row],[ID]],TabCondicoesComerciais[ID],TabCondicoesComerciais[Base],"Verificar")</f>
        <v>São José do Rio Preto</v>
      </c>
      <c r="E1260" s="3" t="str">
        <f>_xlfn.XLOOKUP(TabReceitas[[#This Row],[ID]],TabCondicoesComerciais[ID],TabCondicoesComerciais[Congênere],"Verificar")</f>
        <v>Ruff</v>
      </c>
      <c r="F1260" s="3" t="s">
        <v>8</v>
      </c>
      <c r="G1260" s="30"/>
      <c r="H1260" s="39"/>
    </row>
    <row r="1261" spans="1:8" hidden="1" x14ac:dyDescent="0.35">
      <c r="A1261" s="10" t="s">
        <v>343</v>
      </c>
      <c r="B1261" s="11">
        <v>46235</v>
      </c>
      <c r="C1261" s="3" t="str">
        <f>_xlfn.XLOOKUP(TabReceitas[[#This Row],[ID]],TabCondicoesComerciais[ID],TabCondicoesComerciais[Nº Filial],0)</f>
        <v>20</v>
      </c>
      <c r="D1261" s="3" t="str">
        <f>_xlfn.XLOOKUP(TabReceitas[[#This Row],[ID]],TabCondicoesComerciais[ID],TabCondicoesComerciais[Base],"Verificar")</f>
        <v>São José do Rio Preto</v>
      </c>
      <c r="E1261" s="3" t="str">
        <f>_xlfn.XLOOKUP(TabReceitas[[#This Row],[ID]],TabCondicoesComerciais[ID],TabCondicoesComerciais[Congênere],"Verificar")</f>
        <v>Ruff</v>
      </c>
      <c r="F1261" s="3" t="s">
        <v>15</v>
      </c>
      <c r="G1261" s="30"/>
      <c r="H1261" s="39"/>
    </row>
    <row r="1262" spans="1:8" hidden="1" x14ac:dyDescent="0.35">
      <c r="A1262" s="10" t="s">
        <v>343</v>
      </c>
      <c r="B1262" s="11">
        <v>46235</v>
      </c>
      <c r="C1262" s="3" t="str">
        <f>_xlfn.XLOOKUP(TabReceitas[[#This Row],[ID]],TabCondicoesComerciais[ID],TabCondicoesComerciais[Nº Filial],0)</f>
        <v>20</v>
      </c>
      <c r="D1262" s="3" t="str">
        <f>_xlfn.XLOOKUP(TabReceitas[[#This Row],[ID]],TabCondicoesComerciais[ID],TabCondicoesComerciais[Base],"Verificar")</f>
        <v>São José do Rio Preto</v>
      </c>
      <c r="E1262" s="3" t="str">
        <f>_xlfn.XLOOKUP(TabReceitas[[#This Row],[ID]],TabCondicoesComerciais[ID],TabCondicoesComerciais[Congênere],"Verificar")</f>
        <v>Ruff</v>
      </c>
      <c r="F1262" s="3" t="s">
        <v>65</v>
      </c>
      <c r="G1262" s="30"/>
      <c r="H1262" s="39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DCEC-E7F4-4B9C-8E58-BBC68A078271}">
  <sheetPr codeName="Planilha4"/>
  <dimension ref="A1:BR1338"/>
  <sheetViews>
    <sheetView tabSelected="1" topLeftCell="M1" zoomScale="95" zoomScaleNormal="100" workbookViewId="0">
      <selection activeCell="B1091" sqref="B1091"/>
    </sheetView>
  </sheetViews>
  <sheetFormatPr defaultColWidth="29.90625" defaultRowHeight="14.5" outlineLevelCol="1" x14ac:dyDescent="0.35"/>
  <cols>
    <col min="1" max="1" width="7.453125" style="3" bestFit="1" customWidth="1"/>
    <col min="2" max="2" width="19.453125" style="3" bestFit="1" customWidth="1"/>
    <col min="3" max="3" width="13.08984375" style="10" hidden="1" customWidth="1" outlineLevel="1"/>
    <col min="4" max="4" width="10.453125" style="3" hidden="1" customWidth="1" outlineLevel="1"/>
    <col min="5" max="5" width="23.90625" style="3" hidden="1" customWidth="1" outlineLevel="1"/>
    <col min="6" max="6" width="14.90625" style="35" bestFit="1" customWidth="1" collapsed="1"/>
    <col min="7" max="7" width="21.26953125" style="5" bestFit="1" customWidth="1"/>
    <col min="8" max="8" width="16" style="15" bestFit="1" customWidth="1"/>
    <col min="9" max="9" width="22.1796875" style="5" bestFit="1" customWidth="1"/>
    <col min="10" max="10" width="17.1796875" style="15" bestFit="1" customWidth="1"/>
    <col min="11" max="11" width="19.36328125" style="4" bestFit="1" customWidth="1"/>
    <col min="12" max="12" width="18.08984375" style="4" bestFit="1" customWidth="1"/>
    <col min="13" max="13" width="25.08984375" style="4" bestFit="1" customWidth="1"/>
    <col min="14" max="14" width="10.453125" style="4" bestFit="1" customWidth="1"/>
    <col min="15" max="15" width="80.7265625" style="4" bestFit="1" customWidth="1"/>
    <col min="16" max="16" width="19.6328125" style="4" bestFit="1" customWidth="1"/>
    <col min="17" max="17" width="19.08984375" style="15" bestFit="1" customWidth="1"/>
    <col min="18" max="18" width="16.7265625" style="4" bestFit="1" customWidth="1"/>
    <col min="19" max="19" width="16.7265625" style="21" bestFit="1" customWidth="1"/>
    <col min="20" max="20" width="18.6328125" style="21" bestFit="1" customWidth="1"/>
    <col min="21" max="21" width="17" style="21" bestFit="1" customWidth="1"/>
    <col min="22" max="22" width="18.81640625" style="4" bestFit="1" customWidth="1"/>
    <col min="23" max="23" width="23.453125" style="5" bestFit="1" customWidth="1"/>
    <col min="24" max="24" width="35.453125" style="5" bestFit="1" customWidth="1"/>
    <col min="25" max="28" width="29.90625" style="4"/>
    <col min="29" max="29" width="29.90625" style="5"/>
    <col min="31" max="37" width="29.90625" style="4"/>
    <col min="38" max="38" width="29.90625" style="16"/>
    <col min="39" max="44" width="29.90625" style="3"/>
    <col min="45" max="46" width="29.90625" style="4"/>
    <col min="47" max="50" width="29.90625" style="5"/>
    <col min="51" max="60" width="29.90625" style="3"/>
    <col min="61" max="61" width="29.90625" style="5"/>
    <col min="62" max="62" width="29.90625" style="4"/>
    <col min="63" max="65" width="29.90625" style="3"/>
    <col min="66" max="66" width="29.90625" style="5"/>
    <col min="67" max="67" width="29.90625" style="4"/>
    <col min="68" max="69" width="29.90625" style="1"/>
    <col min="70" max="70" width="29.90625" style="14"/>
  </cols>
  <sheetData>
    <row r="1" spans="1:24" s="18" customFormat="1" x14ac:dyDescent="0.35">
      <c r="A1" s="17" t="s">
        <v>0</v>
      </c>
      <c r="B1" s="18" t="s">
        <v>5</v>
      </c>
      <c r="C1" s="35" t="s">
        <v>29</v>
      </c>
      <c r="D1" t="s">
        <v>128</v>
      </c>
      <c r="E1" s="35" t="s">
        <v>30</v>
      </c>
      <c r="F1" s="18" t="s">
        <v>1</v>
      </c>
      <c r="G1" s="18" t="s">
        <v>2</v>
      </c>
      <c r="H1" s="18" t="s">
        <v>3</v>
      </c>
      <c r="I1" s="18" t="s">
        <v>4</v>
      </c>
      <c r="J1" s="23" t="s">
        <v>89</v>
      </c>
      <c r="K1" s="29" t="s">
        <v>90</v>
      </c>
      <c r="L1" s="23" t="s">
        <v>21</v>
      </c>
      <c r="M1" s="29" t="s">
        <v>20</v>
      </c>
      <c r="N1" s="35" t="s">
        <v>16</v>
      </c>
      <c r="O1" s="35" t="s">
        <v>17</v>
      </c>
      <c r="P1" s="20" t="s">
        <v>40</v>
      </c>
      <c r="Q1" s="20" t="s">
        <v>41</v>
      </c>
      <c r="R1" s="18" t="s">
        <v>28</v>
      </c>
      <c r="S1" s="18" t="s">
        <v>24</v>
      </c>
      <c r="T1" s="19" t="s">
        <v>75</v>
      </c>
      <c r="U1" s="19" t="s">
        <v>76</v>
      </c>
      <c r="V1" s="19" t="s">
        <v>38</v>
      </c>
      <c r="W1" s="19" t="s">
        <v>39</v>
      </c>
      <c r="X1" s="19" t="s">
        <v>27</v>
      </c>
    </row>
    <row r="2" spans="1:24" hidden="1" x14ac:dyDescent="0.35">
      <c r="A2" s="3" t="s">
        <v>142</v>
      </c>
      <c r="B2" s="11">
        <v>45658</v>
      </c>
      <c r="C2" t="s">
        <v>31</v>
      </c>
      <c r="D2" t="s">
        <v>202</v>
      </c>
      <c r="E2" t="s">
        <v>36</v>
      </c>
      <c r="F2" s="10" t="s">
        <v>48</v>
      </c>
      <c r="G2" s="3" t="s">
        <v>49</v>
      </c>
      <c r="H2" s="3" t="s">
        <v>52</v>
      </c>
      <c r="I2" s="3" t="s">
        <v>7</v>
      </c>
      <c r="J2" s="1">
        <v>0</v>
      </c>
      <c r="K2" s="12">
        <v>0</v>
      </c>
      <c r="L2" s="1"/>
      <c r="M2" s="12"/>
      <c r="N2"/>
      <c r="O2"/>
      <c r="P2" s="2" t="str">
        <f>IF(BD_Receitas[[#This Row],[TIPO DE COBRANÇA]]="Operação Normal",
_xlfn.XLOOKUP(BD_Receitas[[#This Row],[ID]],TabCondicoesComerciais[ID],TabCondicoesComerciais[Volume mínimo 
(m3)],0),"")</f>
        <v/>
      </c>
      <c r="Q2" s="2">
        <f>_xlfn.XLOOKUP(BD_Receitas[[#This Row],[ID]],TabCondicoesComerciais[ID],TabCondicoesComerciais[Vol. 1ºGiro],0)</f>
        <v>360</v>
      </c>
      <c r="R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2" s="1">
        <f xml:space="preserve"> IF(BD_Receitas[[#This Row],[TIPO DE COBRANÇA]]="Operação Normal",
_xlfn.XLOOKUP(BD_Receitas[[#This Row],[ID]],TabCondicoesComerciais[ID],TabCondicoesComerciais[Tarifa 2º Giro],0),0)</f>
        <v>0</v>
      </c>
      <c r="T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" spans="1:24" hidden="1" x14ac:dyDescent="0.35">
      <c r="A3" s="3" t="s">
        <v>142</v>
      </c>
      <c r="B3" s="11">
        <v>45658</v>
      </c>
      <c r="C3" t="s">
        <v>31</v>
      </c>
      <c r="D3" t="s">
        <v>202</v>
      </c>
      <c r="E3" t="s">
        <v>36</v>
      </c>
      <c r="F3" s="10" t="s">
        <v>48</v>
      </c>
      <c r="G3" s="3" t="s">
        <v>49</v>
      </c>
      <c r="H3" s="3" t="s">
        <v>52</v>
      </c>
      <c r="I3" s="3" t="s">
        <v>8</v>
      </c>
      <c r="J3" s="1">
        <v>0</v>
      </c>
      <c r="K3" s="12">
        <v>0</v>
      </c>
      <c r="L3" s="1"/>
      <c r="M3" s="12"/>
      <c r="N3"/>
      <c r="O3"/>
      <c r="P3" s="2" t="str">
        <f>IF(BD_Receitas[[#This Row],[TIPO DE COBRANÇA]]="Operação Normal",
_xlfn.XLOOKUP(BD_Receitas[[#This Row],[ID]],TabCondicoesComerciais[ID],TabCondicoesComerciais[Volume mínimo 
(m3)],0),"")</f>
        <v/>
      </c>
      <c r="Q3" s="2">
        <f>_xlfn.XLOOKUP(BD_Receitas[[#This Row],[ID]],TabCondicoesComerciais[ID],TabCondicoesComerciais[Vol. 1ºGiro],0)</f>
        <v>360</v>
      </c>
      <c r="R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3" s="1">
        <f xml:space="preserve"> IF(BD_Receitas[[#This Row],[TIPO DE COBRANÇA]]="Operação Normal",
_xlfn.XLOOKUP(BD_Receitas[[#This Row],[ID]],TabCondicoesComerciais[ID],TabCondicoesComerciais[Tarifa 2º Giro],0),0)</f>
        <v>0</v>
      </c>
      <c r="T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" spans="1:24" s="3" customFormat="1" hidden="1" x14ac:dyDescent="0.35">
      <c r="A4" s="3" t="s">
        <v>142</v>
      </c>
      <c r="B4" s="11">
        <v>45658</v>
      </c>
      <c r="C4" t="s">
        <v>31</v>
      </c>
      <c r="D4" t="s">
        <v>202</v>
      </c>
      <c r="E4" t="s">
        <v>36</v>
      </c>
      <c r="F4" s="10" t="s">
        <v>48</v>
      </c>
      <c r="G4" s="3" t="s">
        <v>49</v>
      </c>
      <c r="H4" s="3" t="s">
        <v>52</v>
      </c>
      <c r="I4" s="3" t="s">
        <v>15</v>
      </c>
      <c r="J4" s="1">
        <v>89789.3701</v>
      </c>
      <c r="K4" s="12">
        <v>2040</v>
      </c>
      <c r="L4" s="1">
        <v>86753.01</v>
      </c>
      <c r="M4" s="12">
        <v>671.89300000000003</v>
      </c>
      <c r="N4" t="s">
        <v>151</v>
      </c>
      <c r="O4" t="s">
        <v>152</v>
      </c>
      <c r="P4" s="2">
        <f>IF(BD_Receitas[[#This Row],[TIPO DE COBRANÇA]]="Operação Normal",
_xlfn.XLOOKUP(BD_Receitas[[#This Row],[ID]],TabCondicoesComerciais[ID],TabCondicoesComerciais[Volume mínimo 
(m3)],0),"")</f>
        <v>2040</v>
      </c>
      <c r="Q4" s="2">
        <f>_xlfn.XLOOKUP(BD_Receitas[[#This Row],[ID]],TabCondicoesComerciais[ID],TabCondicoesComerciais[Vol. 1ºGiro],0)</f>
        <v>360</v>
      </c>
      <c r="R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4" s="1">
        <f xml:space="preserve"> IF(BD_Receitas[[#This Row],[TIPO DE COBRANÇA]]="Operação Normal",
_xlfn.XLOOKUP(BD_Receitas[[#This Row],[ID]],TabCondicoesComerciais[ID],TabCondicoesComerciais[Tarifa 2º Giro],0),0)</f>
        <v>42.64</v>
      </c>
      <c r="T4" s="5">
        <f>IFERROR(IF(BD_Receitas[[#This Row],[TIPO DE COBRANÇA]]&lt;&gt;"Operação Normal","",BD_Receitas[[#This Row],[Valor Total R$]]/ MAX(BD_Receitas[[#This Row],[Vol. Movimentado M³]],
BD_Receitas[[#This Row],[Volume Mínimo ]])
),0)</f>
        <v>42.525985294117646</v>
      </c>
      <c r="U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129.11729992722053</v>
      </c>
      <c r="V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28649.517520000001</v>
      </c>
      <c r="X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" spans="1:24" hidden="1" x14ac:dyDescent="0.35">
      <c r="A5" s="3" t="s">
        <v>142</v>
      </c>
      <c r="B5" s="11">
        <v>45658</v>
      </c>
      <c r="C5" t="s">
        <v>31</v>
      </c>
      <c r="D5" t="s">
        <v>202</v>
      </c>
      <c r="E5" t="s">
        <v>36</v>
      </c>
      <c r="F5" s="10" t="s">
        <v>48</v>
      </c>
      <c r="G5" s="3" t="s">
        <v>49</v>
      </c>
      <c r="H5" s="3" t="s">
        <v>52</v>
      </c>
      <c r="I5" s="3" t="s">
        <v>65</v>
      </c>
      <c r="J5" s="1">
        <v>0</v>
      </c>
      <c r="K5" s="12">
        <v>0</v>
      </c>
      <c r="L5" s="1"/>
      <c r="M5" s="12"/>
      <c r="N5"/>
      <c r="O5"/>
      <c r="P5" s="2" t="str">
        <f>IF(BD_Receitas[[#This Row],[TIPO DE COBRANÇA]]="Operação Normal",
_xlfn.XLOOKUP(BD_Receitas[[#This Row],[ID]],TabCondicoesComerciais[ID],TabCondicoesComerciais[Volume mínimo 
(m3)],0),"")</f>
        <v/>
      </c>
      <c r="Q5" s="2">
        <f>_xlfn.XLOOKUP(BD_Receitas[[#This Row],[ID]],TabCondicoesComerciais[ID],TabCondicoesComerciais[Vol. 1ºGiro],0)</f>
        <v>360</v>
      </c>
      <c r="R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" s="1">
        <f xml:space="preserve"> IF(BD_Receitas[[#This Row],[TIPO DE COBRANÇA]]="Operação Normal",
_xlfn.XLOOKUP(BD_Receitas[[#This Row],[ID]],TabCondicoesComerciais[ID],TabCondicoesComerciais[Tarifa 2º Giro],0),0)</f>
        <v>0</v>
      </c>
      <c r="T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" spans="1:24" hidden="1" x14ac:dyDescent="0.35">
      <c r="A6" s="3" t="s">
        <v>139</v>
      </c>
      <c r="B6" s="11">
        <v>45658</v>
      </c>
      <c r="C6" t="s">
        <v>31</v>
      </c>
      <c r="D6" t="s">
        <v>202</v>
      </c>
      <c r="E6" t="s">
        <v>36</v>
      </c>
      <c r="F6" s="10" t="s">
        <v>48</v>
      </c>
      <c r="G6" s="3" t="s">
        <v>49</v>
      </c>
      <c r="H6" s="3" t="s">
        <v>14</v>
      </c>
      <c r="I6" s="3" t="s">
        <v>7</v>
      </c>
      <c r="J6" s="1">
        <v>0</v>
      </c>
      <c r="K6" s="12">
        <v>0</v>
      </c>
      <c r="L6" s="1"/>
      <c r="M6" s="12"/>
      <c r="N6"/>
      <c r="O6"/>
      <c r="P6" s="2" t="str">
        <f>IF(BD_Receitas[[#This Row],[TIPO DE COBRANÇA]]="Operação Normal",
_xlfn.XLOOKUP(BD_Receitas[[#This Row],[ID]],TabCondicoesComerciais[ID],TabCondicoesComerciais[Volume mínimo 
(m3)],0),"")</f>
        <v/>
      </c>
      <c r="Q6" s="2">
        <f>_xlfn.XLOOKUP(BD_Receitas[[#This Row],[ID]],TabCondicoesComerciais[ID],TabCondicoesComerciais[Vol. 1ºGiro],0)</f>
        <v>365</v>
      </c>
      <c r="R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" s="1">
        <f xml:space="preserve"> IF(BD_Receitas[[#This Row],[TIPO DE COBRANÇA]]="Operação Normal",
_xlfn.XLOOKUP(BD_Receitas[[#This Row],[ID]],TabCondicoesComerciais[ID],TabCondicoesComerciais[Tarifa 2º Giro],0),0)</f>
        <v>0</v>
      </c>
      <c r="T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" spans="1:24" hidden="1" x14ac:dyDescent="0.35">
      <c r="A7" s="3" t="s">
        <v>139</v>
      </c>
      <c r="B7" s="11">
        <v>45658</v>
      </c>
      <c r="C7" t="s">
        <v>31</v>
      </c>
      <c r="D7" t="s">
        <v>202</v>
      </c>
      <c r="E7" t="s">
        <v>36</v>
      </c>
      <c r="F7" s="10" t="s">
        <v>48</v>
      </c>
      <c r="G7" s="3" t="s">
        <v>49</v>
      </c>
      <c r="H7" s="3" t="s">
        <v>14</v>
      </c>
      <c r="I7" s="3" t="s">
        <v>8</v>
      </c>
      <c r="J7" s="1">
        <v>0</v>
      </c>
      <c r="K7" s="12">
        <v>0</v>
      </c>
      <c r="L7" s="1"/>
      <c r="M7" s="12"/>
      <c r="N7"/>
      <c r="O7"/>
      <c r="P7" s="2" t="str">
        <f>IF(BD_Receitas[[#This Row],[TIPO DE COBRANÇA]]="Operação Normal",
_xlfn.XLOOKUP(BD_Receitas[[#This Row],[ID]],TabCondicoesComerciais[ID],TabCondicoesComerciais[Volume mínimo 
(m3)],0),"")</f>
        <v/>
      </c>
      <c r="Q7" s="2">
        <f>_xlfn.XLOOKUP(BD_Receitas[[#This Row],[ID]],TabCondicoesComerciais[ID],TabCondicoesComerciais[Vol. 1ºGiro],0)</f>
        <v>365</v>
      </c>
      <c r="R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" s="1">
        <f xml:space="preserve"> IF(BD_Receitas[[#This Row],[TIPO DE COBRANÇA]]="Operação Normal",
_xlfn.XLOOKUP(BD_Receitas[[#This Row],[ID]],TabCondicoesComerciais[ID],TabCondicoesComerciais[Tarifa 2º Giro],0),0)</f>
        <v>0</v>
      </c>
      <c r="T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" spans="1:24" s="3" customFormat="1" hidden="1" x14ac:dyDescent="0.35">
      <c r="A8" s="3" t="s">
        <v>139</v>
      </c>
      <c r="B8" s="11">
        <v>45658</v>
      </c>
      <c r="C8" t="s">
        <v>31</v>
      </c>
      <c r="D8" t="s">
        <v>202</v>
      </c>
      <c r="E8" t="s">
        <v>36</v>
      </c>
      <c r="F8" s="10" t="s">
        <v>48</v>
      </c>
      <c r="G8" s="3" t="s">
        <v>49</v>
      </c>
      <c r="H8" s="3" t="s">
        <v>14</v>
      </c>
      <c r="I8" s="3" t="s">
        <v>15</v>
      </c>
      <c r="J8" s="1">
        <v>28839.059300000001</v>
      </c>
      <c r="K8" s="12">
        <v>1500</v>
      </c>
      <c r="L8" s="1">
        <v>17387.03</v>
      </c>
      <c r="M8" s="12">
        <v>608.17499999999995</v>
      </c>
      <c r="N8" t="s">
        <v>153</v>
      </c>
      <c r="O8" t="s">
        <v>152</v>
      </c>
      <c r="P8" s="2">
        <f>IF(BD_Receitas[[#This Row],[TIPO DE COBRANÇA]]="Operação Normal",
_xlfn.XLOOKUP(BD_Receitas[[#This Row],[ID]],TabCondicoesComerciais[ID],TabCondicoesComerciais[Volume mínimo 
(m3)],0),"")</f>
        <v>936</v>
      </c>
      <c r="Q8" s="2">
        <f>_xlfn.XLOOKUP(BD_Receitas[[#This Row],[ID]],TabCondicoesComerciais[ID],TabCondicoesComerciais[Vol. 1ºGiro],0)</f>
        <v>365</v>
      </c>
      <c r="R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8" s="1">
        <f xml:space="preserve"> IF(BD_Receitas[[#This Row],[TIPO DE COBRANÇA]]="Operação Normal",
_xlfn.XLOOKUP(BD_Receitas[[#This Row],[ID]],TabCondicoesComerciais[ID],TabCondicoesComerciais[Tarifa 2º Giro],0),0)</f>
        <v>17.87</v>
      </c>
      <c r="T8" s="5">
        <f>IFERROR(IF(BD_Receitas[[#This Row],[TIPO DE COBRANÇA]]&lt;&gt;"Operação Normal","",BD_Receitas[[#This Row],[Valor Total R$]]/ MAX(BD_Receitas[[#This Row],[Vol. Movimentado M³]],
BD_Receitas[[#This Row],[Volume Mínimo ]])
),0)</f>
        <v>18.57588675213675</v>
      </c>
      <c r="U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28.588860114276319</v>
      </c>
      <c r="V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10868.08725</v>
      </c>
      <c r="X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" spans="1:24" hidden="1" x14ac:dyDescent="0.35">
      <c r="A9" s="3" t="s">
        <v>139</v>
      </c>
      <c r="B9" s="11">
        <v>45658</v>
      </c>
      <c r="C9" t="s">
        <v>31</v>
      </c>
      <c r="D9" t="s">
        <v>202</v>
      </c>
      <c r="E9" t="s">
        <v>36</v>
      </c>
      <c r="F9" s="10" t="s">
        <v>48</v>
      </c>
      <c r="G9" s="3" t="s">
        <v>49</v>
      </c>
      <c r="H9" s="3" t="s">
        <v>14</v>
      </c>
      <c r="I9" s="3" t="s">
        <v>65</v>
      </c>
      <c r="J9" s="1">
        <v>0</v>
      </c>
      <c r="K9" s="12">
        <v>0</v>
      </c>
      <c r="L9" s="1"/>
      <c r="M9" s="12"/>
      <c r="N9"/>
      <c r="O9"/>
      <c r="P9" s="2" t="str">
        <f>IF(BD_Receitas[[#This Row],[TIPO DE COBRANÇA]]="Operação Normal",
_xlfn.XLOOKUP(BD_Receitas[[#This Row],[ID]],TabCondicoesComerciais[ID],TabCondicoesComerciais[Volume mínimo 
(m3)],0),"")</f>
        <v/>
      </c>
      <c r="Q9" s="2">
        <f>_xlfn.XLOOKUP(BD_Receitas[[#This Row],[ID]],TabCondicoesComerciais[ID],TabCondicoesComerciais[Vol. 1ºGiro],0)</f>
        <v>365</v>
      </c>
      <c r="R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" s="1">
        <f xml:space="preserve"> IF(BD_Receitas[[#This Row],[TIPO DE COBRANÇA]]="Operação Normal",
_xlfn.XLOOKUP(BD_Receitas[[#This Row],[ID]],TabCondicoesComerciais[ID],TabCondicoesComerciais[Tarifa 2º Giro],0),0)</f>
        <v>0</v>
      </c>
      <c r="T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" spans="1:24" hidden="1" x14ac:dyDescent="0.35">
      <c r="A10" s="3" t="s">
        <v>25</v>
      </c>
      <c r="B10" s="11">
        <v>45658</v>
      </c>
      <c r="C10" t="s">
        <v>31</v>
      </c>
      <c r="D10" t="s">
        <v>202</v>
      </c>
      <c r="E10" t="s">
        <v>36</v>
      </c>
      <c r="F10" s="10" t="s">
        <v>48</v>
      </c>
      <c r="G10" s="3" t="s">
        <v>49</v>
      </c>
      <c r="H10" s="3" t="s">
        <v>116</v>
      </c>
      <c r="I10" s="3" t="s">
        <v>7</v>
      </c>
      <c r="J10" s="1">
        <v>0</v>
      </c>
      <c r="K10" s="12">
        <v>0</v>
      </c>
      <c r="L10" s="1"/>
      <c r="M10" s="12"/>
      <c r="N10"/>
      <c r="O10"/>
      <c r="P10" s="2" t="str">
        <f>IF(BD_Receitas[[#This Row],[TIPO DE COBRANÇA]]="Operação Normal",
_xlfn.XLOOKUP(BD_Receitas[[#This Row],[ID]],TabCondicoesComerciais[ID],TabCondicoesComerciais[Volume mínimo 
(m3)],0),"")</f>
        <v/>
      </c>
      <c r="Q10" s="2">
        <f>_xlfn.XLOOKUP(BD_Receitas[[#This Row],[ID]],TabCondicoesComerciais[ID],TabCondicoesComerciais[Vol. 1ºGiro],0)</f>
        <v>100</v>
      </c>
      <c r="R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" s="1">
        <f xml:space="preserve"> IF(BD_Receitas[[#This Row],[TIPO DE COBRANÇA]]="Operação Normal",
_xlfn.XLOOKUP(BD_Receitas[[#This Row],[ID]],TabCondicoesComerciais[ID],TabCondicoesComerciais[Tarifa 2º Giro],0),0)</f>
        <v>0</v>
      </c>
      <c r="T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" spans="1:24" hidden="1" x14ac:dyDescent="0.35">
      <c r="A11" s="3" t="s">
        <v>25</v>
      </c>
      <c r="B11" s="11">
        <v>45658</v>
      </c>
      <c r="C11" t="s">
        <v>31</v>
      </c>
      <c r="D11" t="s">
        <v>202</v>
      </c>
      <c r="E11" t="s">
        <v>36</v>
      </c>
      <c r="F11" s="10" t="s">
        <v>48</v>
      </c>
      <c r="G11" s="3" t="s">
        <v>49</v>
      </c>
      <c r="H11" s="3" t="s">
        <v>116</v>
      </c>
      <c r="I11" s="3" t="s">
        <v>8</v>
      </c>
      <c r="J11" s="1">
        <v>0</v>
      </c>
      <c r="K11" s="12">
        <v>0</v>
      </c>
      <c r="L11" s="1"/>
      <c r="M11" s="12"/>
      <c r="N11"/>
      <c r="O11"/>
      <c r="P11" s="2" t="str">
        <f>IF(BD_Receitas[[#This Row],[TIPO DE COBRANÇA]]="Operação Normal",
_xlfn.XLOOKUP(BD_Receitas[[#This Row],[ID]],TabCondicoesComerciais[ID],TabCondicoesComerciais[Volume mínimo 
(m3)],0),"")</f>
        <v/>
      </c>
      <c r="Q11" s="2">
        <f>_xlfn.XLOOKUP(BD_Receitas[[#This Row],[ID]],TabCondicoesComerciais[ID],TabCondicoesComerciais[Vol. 1ºGiro],0)</f>
        <v>100</v>
      </c>
      <c r="R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" s="1">
        <f xml:space="preserve"> IF(BD_Receitas[[#This Row],[TIPO DE COBRANÇA]]="Operação Normal",
_xlfn.XLOOKUP(BD_Receitas[[#This Row],[ID]],TabCondicoesComerciais[ID],TabCondicoesComerciais[Tarifa 2º Giro],0),0)</f>
        <v>0</v>
      </c>
      <c r="T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" spans="1:24" s="3" customFormat="1" hidden="1" x14ac:dyDescent="0.35">
      <c r="A12" s="3" t="s">
        <v>25</v>
      </c>
      <c r="B12" s="11">
        <v>45658</v>
      </c>
      <c r="C12" t="s">
        <v>31</v>
      </c>
      <c r="D12" t="s">
        <v>202</v>
      </c>
      <c r="E12" t="s">
        <v>36</v>
      </c>
      <c r="F12" s="10" t="s">
        <v>48</v>
      </c>
      <c r="G12" s="3" t="s">
        <v>49</v>
      </c>
      <c r="H12" s="3" t="s">
        <v>116</v>
      </c>
      <c r="I12" s="3" t="s">
        <v>15</v>
      </c>
      <c r="J12" s="1">
        <v>9355.5094000000008</v>
      </c>
      <c r="K12" s="12">
        <v>300</v>
      </c>
      <c r="L12" s="1"/>
      <c r="M12" s="12"/>
      <c r="N12"/>
      <c r="O12"/>
      <c r="P12" s="2">
        <f>IF(BD_Receitas[[#This Row],[TIPO DE COBRANÇA]]="Operação Normal",
_xlfn.XLOOKUP(BD_Receitas[[#This Row],[ID]],TabCondicoesComerciais[ID],TabCondicoesComerciais[Volume mínimo 
(m3)],0),"")</f>
        <v>300</v>
      </c>
      <c r="Q12" s="2">
        <f>_xlfn.XLOOKUP(BD_Receitas[[#This Row],[ID]],TabCondicoesComerciais[ID],TabCondicoesComerciais[Vol. 1ºGiro],0)</f>
        <v>100</v>
      </c>
      <c r="R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2" s="1">
        <f xml:space="preserve"> IF(BD_Receitas[[#This Row],[TIPO DE COBRANÇA]]="Operação Normal",
_xlfn.XLOOKUP(BD_Receitas[[#This Row],[ID]],TabCondicoesComerciais[ID],TabCondicoesComerciais[Tarifa 2º Giro],0),0)</f>
        <v>30</v>
      </c>
      <c r="T12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1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" spans="1:24" hidden="1" x14ac:dyDescent="0.35">
      <c r="A13" s="3" t="s">
        <v>25</v>
      </c>
      <c r="B13" s="11">
        <v>45658</v>
      </c>
      <c r="C13" t="s">
        <v>31</v>
      </c>
      <c r="D13" t="s">
        <v>202</v>
      </c>
      <c r="E13" t="s">
        <v>36</v>
      </c>
      <c r="F13" s="10" t="s">
        <v>48</v>
      </c>
      <c r="G13" s="3" t="s">
        <v>49</v>
      </c>
      <c r="H13" s="3" t="s">
        <v>116</v>
      </c>
      <c r="I13" s="3" t="s">
        <v>65</v>
      </c>
      <c r="J13" s="1">
        <v>0</v>
      </c>
      <c r="K13" s="12">
        <v>0</v>
      </c>
      <c r="L13" s="1"/>
      <c r="M13" s="12"/>
      <c r="N13"/>
      <c r="O13"/>
      <c r="P13" s="2" t="str">
        <f>IF(BD_Receitas[[#This Row],[TIPO DE COBRANÇA]]="Operação Normal",
_xlfn.XLOOKUP(BD_Receitas[[#This Row],[ID]],TabCondicoesComerciais[ID],TabCondicoesComerciais[Volume mínimo 
(m3)],0),"")</f>
        <v/>
      </c>
      <c r="Q13" s="2">
        <f>_xlfn.XLOOKUP(BD_Receitas[[#This Row],[ID]],TabCondicoesComerciais[ID],TabCondicoesComerciais[Vol. 1ºGiro],0)</f>
        <v>100</v>
      </c>
      <c r="R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" s="1">
        <f xml:space="preserve"> IF(BD_Receitas[[#This Row],[TIPO DE COBRANÇA]]="Operação Normal",
_xlfn.XLOOKUP(BD_Receitas[[#This Row],[ID]],TabCondicoesComerciais[ID],TabCondicoesComerciais[Tarifa 2º Giro],0),0)</f>
        <v>0</v>
      </c>
      <c r="T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4" spans="1:24" hidden="1" x14ac:dyDescent="0.35">
      <c r="A14" s="3" t="s">
        <v>102</v>
      </c>
      <c r="B14" s="11">
        <v>45658</v>
      </c>
      <c r="C14" t="s">
        <v>31</v>
      </c>
      <c r="D14" t="s">
        <v>202</v>
      </c>
      <c r="E14" t="s">
        <v>36</v>
      </c>
      <c r="F14" s="10" t="s">
        <v>48</v>
      </c>
      <c r="G14" s="3" t="s">
        <v>49</v>
      </c>
      <c r="H14" s="3" t="s">
        <v>51</v>
      </c>
      <c r="I14" s="3" t="s">
        <v>7</v>
      </c>
      <c r="J14" s="1">
        <v>0</v>
      </c>
      <c r="K14" s="12">
        <v>0</v>
      </c>
      <c r="L14" s="1"/>
      <c r="M14" s="12"/>
      <c r="N14"/>
      <c r="O14"/>
      <c r="P14" s="2" t="str">
        <f>IF(BD_Receitas[[#This Row],[TIPO DE COBRANÇA]]="Operação Normal",
_xlfn.XLOOKUP(BD_Receitas[[#This Row],[ID]],TabCondicoesComerciais[ID],TabCondicoesComerciais[Volume mínimo 
(m3)],0),"")</f>
        <v/>
      </c>
      <c r="Q14" s="2">
        <f>_xlfn.XLOOKUP(BD_Receitas[[#This Row],[ID]],TabCondicoesComerciais[ID],TabCondicoesComerciais[Vol. 1ºGiro],0)</f>
        <v>750</v>
      </c>
      <c r="R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4" s="1">
        <f xml:space="preserve"> IF(BD_Receitas[[#This Row],[TIPO DE COBRANÇA]]="Operação Normal",
_xlfn.XLOOKUP(BD_Receitas[[#This Row],[ID]],TabCondicoesComerciais[ID],TabCondicoesComerciais[Tarifa 2º Giro],0),0)</f>
        <v>0</v>
      </c>
      <c r="T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" spans="1:24" hidden="1" x14ac:dyDescent="0.35">
      <c r="A15" s="3" t="s">
        <v>102</v>
      </c>
      <c r="B15" s="11">
        <v>45658</v>
      </c>
      <c r="C15" t="s">
        <v>31</v>
      </c>
      <c r="D15" t="s">
        <v>202</v>
      </c>
      <c r="E15" t="s">
        <v>36</v>
      </c>
      <c r="F15" s="10" t="s">
        <v>48</v>
      </c>
      <c r="G15" s="3" t="s">
        <v>49</v>
      </c>
      <c r="H15" s="3" t="s">
        <v>51</v>
      </c>
      <c r="I15" s="3" t="s">
        <v>8</v>
      </c>
      <c r="J15" s="1">
        <v>0</v>
      </c>
      <c r="K15" s="12">
        <v>0</v>
      </c>
      <c r="L15" s="1"/>
      <c r="M15" s="12"/>
      <c r="N15"/>
      <c r="O15"/>
      <c r="P15" s="2" t="str">
        <f>IF(BD_Receitas[[#This Row],[TIPO DE COBRANÇA]]="Operação Normal",
_xlfn.XLOOKUP(BD_Receitas[[#This Row],[ID]],TabCondicoesComerciais[ID],TabCondicoesComerciais[Volume mínimo 
(m3)],0),"")</f>
        <v/>
      </c>
      <c r="Q15" s="2">
        <f>_xlfn.XLOOKUP(BD_Receitas[[#This Row],[ID]],TabCondicoesComerciais[ID],TabCondicoesComerciais[Vol. 1ºGiro],0)</f>
        <v>750</v>
      </c>
      <c r="R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5" s="1">
        <f xml:space="preserve"> IF(BD_Receitas[[#This Row],[TIPO DE COBRANÇA]]="Operação Normal",
_xlfn.XLOOKUP(BD_Receitas[[#This Row],[ID]],TabCondicoesComerciais[ID],TabCondicoesComerciais[Tarifa 2º Giro],0),0)</f>
        <v>0</v>
      </c>
      <c r="T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" spans="1:24" s="3" customFormat="1" hidden="1" x14ac:dyDescent="0.35">
      <c r="A16" s="3" t="s">
        <v>102</v>
      </c>
      <c r="B16" s="11">
        <v>45658</v>
      </c>
      <c r="C16" t="s">
        <v>31</v>
      </c>
      <c r="D16" t="s">
        <v>202</v>
      </c>
      <c r="E16" t="s">
        <v>36</v>
      </c>
      <c r="F16" s="10" t="s">
        <v>48</v>
      </c>
      <c r="G16" s="3" t="s">
        <v>49</v>
      </c>
      <c r="H16" s="3" t="s">
        <v>51</v>
      </c>
      <c r="I16" s="3" t="s">
        <v>15</v>
      </c>
      <c r="J16" s="1">
        <v>226720.94589999999</v>
      </c>
      <c r="K16" s="12">
        <v>6500</v>
      </c>
      <c r="L16" s="1">
        <v>219054.05</v>
      </c>
      <c r="M16" s="12">
        <v>4263.2150000000001</v>
      </c>
      <c r="N16" t="s">
        <v>154</v>
      </c>
      <c r="O16" t="s">
        <v>152</v>
      </c>
      <c r="P16" s="2">
        <f>IF(BD_Receitas[[#This Row],[TIPO DE COBRANÇA]]="Operação Normal",
_xlfn.XLOOKUP(BD_Receitas[[#This Row],[ID]],TabCondicoesComerciais[ID],TabCondicoesComerciais[Volume mínimo 
(m3)],0),"")</f>
        <v>6500</v>
      </c>
      <c r="Q16" s="2">
        <f>_xlfn.XLOOKUP(BD_Receitas[[#This Row],[ID]],TabCondicoesComerciais[ID],TabCondicoesComerciais[Vol. 1ºGiro],0)</f>
        <v>750</v>
      </c>
      <c r="R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16" s="1">
        <f xml:space="preserve"> IF(BD_Receitas[[#This Row],[TIPO DE COBRANÇA]]="Operação Normal",
_xlfn.XLOOKUP(BD_Receitas[[#This Row],[ID]],TabCondicoesComerciais[ID],TabCondicoesComerciais[Tarifa 2º Giro],0),0)</f>
        <v>32.42</v>
      </c>
      <c r="T16" s="5">
        <f>IFERROR(IF(BD_Receitas[[#This Row],[TIPO DE COBRANÇA]]&lt;&gt;"Operação Normal","",BD_Receitas[[#This Row],[Valor Total R$]]/ MAX(BD_Receitas[[#This Row],[Vol. Movimentado M³]],
BD_Receitas[[#This Row],[Volume Mínimo ]])
),0)</f>
        <v>33.700623076923073</v>
      </c>
      <c r="U1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51.382360495541505</v>
      </c>
      <c r="V1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1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138213.43030000001</v>
      </c>
      <c r="X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7" spans="1:24" hidden="1" x14ac:dyDescent="0.35">
      <c r="A17" s="3" t="s">
        <v>102</v>
      </c>
      <c r="B17" s="11">
        <v>45658</v>
      </c>
      <c r="C17" t="s">
        <v>31</v>
      </c>
      <c r="D17" t="s">
        <v>202</v>
      </c>
      <c r="E17" t="s">
        <v>36</v>
      </c>
      <c r="F17" s="10" t="s">
        <v>48</v>
      </c>
      <c r="G17" s="3" t="s">
        <v>49</v>
      </c>
      <c r="H17" s="3" t="s">
        <v>51</v>
      </c>
      <c r="I17" s="3" t="s">
        <v>65</v>
      </c>
      <c r="J17" s="1">
        <v>0</v>
      </c>
      <c r="K17" s="12">
        <v>0</v>
      </c>
      <c r="L17" s="1"/>
      <c r="M17" s="12"/>
      <c r="N17"/>
      <c r="O17"/>
      <c r="P17" s="2" t="str">
        <f>IF(BD_Receitas[[#This Row],[TIPO DE COBRANÇA]]="Operação Normal",
_xlfn.XLOOKUP(BD_Receitas[[#This Row],[ID]],TabCondicoesComerciais[ID],TabCondicoesComerciais[Volume mínimo 
(m3)],0),"")</f>
        <v/>
      </c>
      <c r="Q17" s="2">
        <f>_xlfn.XLOOKUP(BD_Receitas[[#This Row],[ID]],TabCondicoesComerciais[ID],TabCondicoesComerciais[Vol. 1ºGiro],0)</f>
        <v>750</v>
      </c>
      <c r="R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7" s="1">
        <f xml:space="preserve"> IF(BD_Receitas[[#This Row],[TIPO DE COBRANÇA]]="Operação Normal",
_xlfn.XLOOKUP(BD_Receitas[[#This Row],[ID]],TabCondicoesComerciais[ID],TabCondicoesComerciais[Tarifa 2º Giro],0),0)</f>
        <v>0</v>
      </c>
      <c r="T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" spans="1:24" hidden="1" x14ac:dyDescent="0.35">
      <c r="A18" s="3" t="s">
        <v>190</v>
      </c>
      <c r="B18" s="11">
        <v>45658</v>
      </c>
      <c r="C18" t="s">
        <v>31</v>
      </c>
      <c r="D18" t="s">
        <v>202</v>
      </c>
      <c r="E18" t="s">
        <v>35</v>
      </c>
      <c r="F18" s="10" t="s">
        <v>22</v>
      </c>
      <c r="G18" s="3" t="s">
        <v>11</v>
      </c>
      <c r="H18" s="3" t="s">
        <v>116</v>
      </c>
      <c r="I18" s="3" t="s">
        <v>7</v>
      </c>
      <c r="J18" s="1">
        <v>0</v>
      </c>
      <c r="K18" s="12">
        <v>0</v>
      </c>
      <c r="L18" s="1"/>
      <c r="M18" s="12"/>
      <c r="N18"/>
      <c r="O18"/>
      <c r="P18" s="2" t="str">
        <f>IF(BD_Receitas[[#This Row],[TIPO DE COBRANÇA]]="Operação Normal",
_xlfn.XLOOKUP(BD_Receitas[[#This Row],[ID]],TabCondicoesComerciais[ID],TabCondicoesComerciais[Volume mínimo 
(m3)],0),"")</f>
        <v/>
      </c>
      <c r="Q18" s="2">
        <f>_xlfn.XLOOKUP(BD_Receitas[[#This Row],[ID]],TabCondicoesComerciais[ID],TabCondicoesComerciais[Vol. 1ºGiro],0)</f>
        <v>580</v>
      </c>
      <c r="R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" s="1">
        <f xml:space="preserve"> IF(BD_Receitas[[#This Row],[TIPO DE COBRANÇA]]="Operação Normal",
_xlfn.XLOOKUP(BD_Receitas[[#This Row],[ID]],TabCondicoesComerciais[ID],TabCondicoesComerciais[Tarifa 2º Giro],0),0)</f>
        <v>0</v>
      </c>
      <c r="T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" spans="1:24" hidden="1" x14ac:dyDescent="0.35">
      <c r="A19" s="3" t="s">
        <v>190</v>
      </c>
      <c r="B19" s="11">
        <v>45658</v>
      </c>
      <c r="C19" t="s">
        <v>31</v>
      </c>
      <c r="D19" t="s">
        <v>202</v>
      </c>
      <c r="E19" t="s">
        <v>35</v>
      </c>
      <c r="F19" s="10" t="s">
        <v>22</v>
      </c>
      <c r="G19" s="3" t="s">
        <v>11</v>
      </c>
      <c r="H19" s="3" t="s">
        <v>116</v>
      </c>
      <c r="I19" s="3" t="s">
        <v>8</v>
      </c>
      <c r="J19" s="1">
        <v>0</v>
      </c>
      <c r="K19" s="12">
        <v>0</v>
      </c>
      <c r="L19" s="1"/>
      <c r="M19" s="12"/>
      <c r="N19"/>
      <c r="O19"/>
      <c r="P19" s="2" t="str">
        <f>IF(BD_Receitas[[#This Row],[TIPO DE COBRANÇA]]="Operação Normal",
_xlfn.XLOOKUP(BD_Receitas[[#This Row],[ID]],TabCondicoesComerciais[ID],TabCondicoesComerciais[Volume mínimo 
(m3)],0),"")</f>
        <v/>
      </c>
      <c r="Q19" s="2">
        <f>_xlfn.XLOOKUP(BD_Receitas[[#This Row],[ID]],TabCondicoesComerciais[ID],TabCondicoesComerciais[Vol. 1ºGiro],0)</f>
        <v>580</v>
      </c>
      <c r="R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9" s="1">
        <f xml:space="preserve"> IF(BD_Receitas[[#This Row],[TIPO DE COBRANÇA]]="Operação Normal",
_xlfn.XLOOKUP(BD_Receitas[[#This Row],[ID]],TabCondicoesComerciais[ID],TabCondicoesComerciais[Tarifa 2º Giro],0),0)</f>
        <v>0</v>
      </c>
      <c r="T1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" spans="1:24" s="3" customFormat="1" hidden="1" x14ac:dyDescent="0.35">
      <c r="A20" s="3" t="s">
        <v>190</v>
      </c>
      <c r="B20" s="11">
        <v>45658</v>
      </c>
      <c r="C20" t="s">
        <v>31</v>
      </c>
      <c r="D20" t="s">
        <v>202</v>
      </c>
      <c r="E20" t="s">
        <v>35</v>
      </c>
      <c r="F20" s="10" t="s">
        <v>22</v>
      </c>
      <c r="G20" s="3" t="s">
        <v>11</v>
      </c>
      <c r="H20" s="3" t="s">
        <v>116</v>
      </c>
      <c r="I20" s="3" t="s">
        <v>15</v>
      </c>
      <c r="J20" s="1">
        <v>56842.105300000003</v>
      </c>
      <c r="K20" s="12">
        <v>2000</v>
      </c>
      <c r="L20" s="1"/>
      <c r="M20" s="12"/>
      <c r="N20"/>
      <c r="O20"/>
      <c r="P20" s="2">
        <f>IF(BD_Receitas[[#This Row],[TIPO DE COBRANÇA]]="Operação Normal",
_xlfn.XLOOKUP(BD_Receitas[[#This Row],[ID]],TabCondicoesComerciais[ID],TabCondicoesComerciais[Volume mínimo 
(m3)],0),"")</f>
        <v>2000</v>
      </c>
      <c r="Q20" s="2">
        <f>_xlfn.XLOOKUP(BD_Receitas[[#This Row],[ID]],TabCondicoesComerciais[ID],TabCondicoesComerciais[Vol. 1ºGiro],0)</f>
        <v>580</v>
      </c>
      <c r="R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20" s="1">
        <f xml:space="preserve"> IF(BD_Receitas[[#This Row],[TIPO DE COBRANÇA]]="Operação Normal",
_xlfn.XLOOKUP(BD_Receitas[[#This Row],[ID]],TabCondicoesComerciais[ID],TabCondicoesComerciais[Tarifa 2º Giro],0),0)</f>
        <v>27</v>
      </c>
      <c r="T20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2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1" spans="1:24" hidden="1" x14ac:dyDescent="0.35">
      <c r="A21" s="3" t="s">
        <v>190</v>
      </c>
      <c r="B21" s="11">
        <v>45658</v>
      </c>
      <c r="C21" t="s">
        <v>31</v>
      </c>
      <c r="D21" t="s">
        <v>202</v>
      </c>
      <c r="E21" t="s">
        <v>35</v>
      </c>
      <c r="F21" s="10" t="s">
        <v>22</v>
      </c>
      <c r="G21" s="3" t="s">
        <v>11</v>
      </c>
      <c r="H21" s="3" t="s">
        <v>116</v>
      </c>
      <c r="I21" s="3" t="s">
        <v>65</v>
      </c>
      <c r="J21" s="1">
        <v>0</v>
      </c>
      <c r="K21" s="12">
        <v>0</v>
      </c>
      <c r="L21" s="1"/>
      <c r="M21" s="12"/>
      <c r="N21"/>
      <c r="O21"/>
      <c r="P21" s="2" t="str">
        <f>IF(BD_Receitas[[#This Row],[TIPO DE COBRANÇA]]="Operação Normal",
_xlfn.XLOOKUP(BD_Receitas[[#This Row],[ID]],TabCondicoesComerciais[ID],TabCondicoesComerciais[Volume mínimo 
(m3)],0),"")</f>
        <v/>
      </c>
      <c r="Q21" s="2">
        <f>_xlfn.XLOOKUP(BD_Receitas[[#This Row],[ID]],TabCondicoesComerciais[ID],TabCondicoesComerciais[Vol. 1ºGiro],0)</f>
        <v>580</v>
      </c>
      <c r="R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1" s="1">
        <f xml:space="preserve"> IF(BD_Receitas[[#This Row],[TIPO DE COBRANÇA]]="Operação Normal",
_xlfn.XLOOKUP(BD_Receitas[[#This Row],[ID]],TabCondicoesComerciais[ID],TabCondicoesComerciais[Tarifa 2º Giro],0),0)</f>
        <v>0</v>
      </c>
      <c r="T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" spans="1:24" hidden="1" x14ac:dyDescent="0.35">
      <c r="A22" s="3" t="s">
        <v>172</v>
      </c>
      <c r="B22" s="11">
        <v>45658</v>
      </c>
      <c r="C22" t="s">
        <v>31</v>
      </c>
      <c r="D22" t="s">
        <v>202</v>
      </c>
      <c r="E22" t="s">
        <v>35</v>
      </c>
      <c r="F22" s="10" t="s">
        <v>22</v>
      </c>
      <c r="G22" s="3" t="s">
        <v>11</v>
      </c>
      <c r="H22" s="3" t="s">
        <v>13</v>
      </c>
      <c r="I22" s="3" t="s">
        <v>7</v>
      </c>
      <c r="J22" s="1">
        <v>0</v>
      </c>
      <c r="K22" s="12">
        <v>0</v>
      </c>
      <c r="L22" s="1"/>
      <c r="M22" s="12"/>
      <c r="N22"/>
      <c r="O22"/>
      <c r="P22" s="2" t="str">
        <f>IF(BD_Receitas[[#This Row],[TIPO DE COBRANÇA]]="Operação Normal",
_xlfn.XLOOKUP(BD_Receitas[[#This Row],[ID]],TabCondicoesComerciais[ID],TabCondicoesComerciais[Volume mínimo 
(m3)],0),"")</f>
        <v/>
      </c>
      <c r="Q22" s="2">
        <f>_xlfn.XLOOKUP(BD_Receitas[[#This Row],[ID]],TabCondicoesComerciais[ID],TabCondicoesComerciais[Vol. 1ºGiro],0)</f>
        <v>750</v>
      </c>
      <c r="R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22" s="1">
        <f xml:space="preserve"> IF(BD_Receitas[[#This Row],[TIPO DE COBRANÇA]]="Operação Normal",
_xlfn.XLOOKUP(BD_Receitas[[#This Row],[ID]],TabCondicoesComerciais[ID],TabCondicoesComerciais[Tarifa 2º Giro],0),0)</f>
        <v>0</v>
      </c>
      <c r="T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" spans="1:24" hidden="1" x14ac:dyDescent="0.35">
      <c r="A23" s="3" t="s">
        <v>172</v>
      </c>
      <c r="B23" s="11">
        <v>45658</v>
      </c>
      <c r="C23" t="s">
        <v>31</v>
      </c>
      <c r="D23" t="s">
        <v>202</v>
      </c>
      <c r="E23" t="s">
        <v>35</v>
      </c>
      <c r="F23" s="10" t="s">
        <v>22</v>
      </c>
      <c r="G23" s="3" t="s">
        <v>11</v>
      </c>
      <c r="H23" s="3" t="s">
        <v>13</v>
      </c>
      <c r="I23" s="3" t="s">
        <v>8</v>
      </c>
      <c r="J23" s="1">
        <v>0</v>
      </c>
      <c r="K23" s="12">
        <v>0</v>
      </c>
      <c r="L23" s="1"/>
      <c r="M23" s="12"/>
      <c r="N23"/>
      <c r="O23"/>
      <c r="P23" s="2" t="str">
        <f>IF(BD_Receitas[[#This Row],[TIPO DE COBRANÇA]]="Operação Normal",
_xlfn.XLOOKUP(BD_Receitas[[#This Row],[ID]],TabCondicoesComerciais[ID],TabCondicoesComerciais[Volume mínimo 
(m3)],0),"")</f>
        <v/>
      </c>
      <c r="Q23" s="2">
        <f>_xlfn.XLOOKUP(BD_Receitas[[#This Row],[ID]],TabCondicoesComerciais[ID],TabCondicoesComerciais[Vol. 1ºGiro],0)</f>
        <v>750</v>
      </c>
      <c r="R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23" s="1">
        <f xml:space="preserve"> IF(BD_Receitas[[#This Row],[TIPO DE COBRANÇA]]="Operação Normal",
_xlfn.XLOOKUP(BD_Receitas[[#This Row],[ID]],TabCondicoesComerciais[ID],TabCondicoesComerciais[Tarifa 2º Giro],0),0)</f>
        <v>0</v>
      </c>
      <c r="T2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" spans="1:24" s="3" customFormat="1" hidden="1" x14ac:dyDescent="0.35">
      <c r="A24" s="3" t="s">
        <v>172</v>
      </c>
      <c r="B24" s="11">
        <v>45658</v>
      </c>
      <c r="C24" t="s">
        <v>31</v>
      </c>
      <c r="D24" t="s">
        <v>202</v>
      </c>
      <c r="E24" t="s">
        <v>35</v>
      </c>
      <c r="F24" s="10" t="s">
        <v>22</v>
      </c>
      <c r="G24" s="3" t="s">
        <v>11</v>
      </c>
      <c r="H24" s="3" t="s">
        <v>13</v>
      </c>
      <c r="I24" s="3" t="s">
        <v>15</v>
      </c>
      <c r="J24" s="1">
        <v>0</v>
      </c>
      <c r="K24" s="12">
        <v>0</v>
      </c>
      <c r="L24" s="1"/>
      <c r="M24" s="12"/>
      <c r="N24"/>
      <c r="O24"/>
      <c r="P24" s="2">
        <f>IF(BD_Receitas[[#This Row],[TIPO DE COBRANÇA]]="Operação Normal",
_xlfn.XLOOKUP(BD_Receitas[[#This Row],[ID]],TabCondicoesComerciais[ID],TabCondicoesComerciais[Volume mínimo 
(m3)],0),"")</f>
        <v>0</v>
      </c>
      <c r="Q24" s="2">
        <f>_xlfn.XLOOKUP(BD_Receitas[[#This Row],[ID]],TabCondicoesComerciais[ID],TabCondicoesComerciais[Vol. 1ºGiro],0)</f>
        <v>750</v>
      </c>
      <c r="R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24" s="1">
        <f xml:space="preserve"> IF(BD_Receitas[[#This Row],[TIPO DE COBRANÇA]]="Operação Normal",
_xlfn.XLOOKUP(BD_Receitas[[#This Row],[ID]],TabCondicoesComerciais[ID],TabCondicoesComerciais[Tarifa 2º Giro],0),0)</f>
        <v>22.2</v>
      </c>
      <c r="T24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2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25" spans="1:24" hidden="1" x14ac:dyDescent="0.35">
      <c r="A25" s="3" t="s">
        <v>172</v>
      </c>
      <c r="B25" s="11">
        <v>45658</v>
      </c>
      <c r="C25" t="s">
        <v>31</v>
      </c>
      <c r="D25" t="s">
        <v>202</v>
      </c>
      <c r="E25" t="s">
        <v>35</v>
      </c>
      <c r="F25" s="10" t="s">
        <v>22</v>
      </c>
      <c r="G25" s="3" t="s">
        <v>11</v>
      </c>
      <c r="H25" s="3" t="s">
        <v>13</v>
      </c>
      <c r="I25" s="3" t="s">
        <v>65</v>
      </c>
      <c r="J25" s="1">
        <v>0</v>
      </c>
      <c r="K25" s="12">
        <v>0</v>
      </c>
      <c r="L25" s="1"/>
      <c r="M25" s="12"/>
      <c r="N25"/>
      <c r="O25"/>
      <c r="P25" s="2" t="str">
        <f>IF(BD_Receitas[[#This Row],[TIPO DE COBRANÇA]]="Operação Normal",
_xlfn.XLOOKUP(BD_Receitas[[#This Row],[ID]],TabCondicoesComerciais[ID],TabCondicoesComerciais[Volume mínimo 
(m3)],0),"")</f>
        <v/>
      </c>
      <c r="Q25" s="2">
        <f>_xlfn.XLOOKUP(BD_Receitas[[#This Row],[ID]],TabCondicoesComerciais[ID],TabCondicoesComerciais[Vol. 1ºGiro],0)</f>
        <v>750</v>
      </c>
      <c r="R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5" s="1">
        <f xml:space="preserve"> IF(BD_Receitas[[#This Row],[TIPO DE COBRANÇA]]="Operação Normal",
_xlfn.XLOOKUP(BD_Receitas[[#This Row],[ID]],TabCondicoesComerciais[ID],TabCondicoesComerciais[Tarifa 2º Giro],0),0)</f>
        <v>0</v>
      </c>
      <c r="T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" spans="1:24" hidden="1" x14ac:dyDescent="0.35">
      <c r="A26" s="3" t="s">
        <v>149</v>
      </c>
      <c r="B26" s="11">
        <v>45658</v>
      </c>
      <c r="C26" t="s">
        <v>31</v>
      </c>
      <c r="D26" t="s">
        <v>110</v>
      </c>
      <c r="E26" t="s">
        <v>117</v>
      </c>
      <c r="F26" s="10" t="s">
        <v>23</v>
      </c>
      <c r="G26" s="3" t="s">
        <v>112</v>
      </c>
      <c r="H26" s="3" t="s">
        <v>113</v>
      </c>
      <c r="I26" s="3" t="s">
        <v>7</v>
      </c>
      <c r="J26" s="1">
        <v>0</v>
      </c>
      <c r="K26" s="12">
        <v>0</v>
      </c>
      <c r="L26" s="1"/>
      <c r="M26" s="12"/>
      <c r="N26"/>
      <c r="O26"/>
      <c r="P26" s="2" t="str">
        <f>IF(BD_Receitas[[#This Row],[TIPO DE COBRANÇA]]="Operação Normal",
_xlfn.XLOOKUP(BD_Receitas[[#This Row],[ID]],TabCondicoesComerciais[ID],TabCondicoesComerciais[Volume mínimo 
(m3)],0),"")</f>
        <v/>
      </c>
      <c r="Q26" s="2">
        <f>_xlfn.XLOOKUP(BD_Receitas[[#This Row],[ID]],TabCondicoesComerciais[ID],TabCondicoesComerciais[Vol. 1ºGiro],0)</f>
        <v>750</v>
      </c>
      <c r="R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6" s="1">
        <f xml:space="preserve"> IF(BD_Receitas[[#This Row],[TIPO DE COBRANÇA]]="Operação Normal",
_xlfn.XLOOKUP(BD_Receitas[[#This Row],[ID]],TabCondicoesComerciais[ID],TabCondicoesComerciais[Tarifa 2º Giro],0),0)</f>
        <v>0</v>
      </c>
      <c r="T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" spans="1:24" hidden="1" x14ac:dyDescent="0.35">
      <c r="A27" s="3" t="s">
        <v>149</v>
      </c>
      <c r="B27" s="11">
        <v>45658</v>
      </c>
      <c r="C27" t="s">
        <v>31</v>
      </c>
      <c r="D27" t="s">
        <v>110</v>
      </c>
      <c r="E27" t="s">
        <v>117</v>
      </c>
      <c r="F27" s="10" t="s">
        <v>23</v>
      </c>
      <c r="G27" s="3" t="s">
        <v>112</v>
      </c>
      <c r="H27" s="3" t="s">
        <v>113</v>
      </c>
      <c r="I27" s="3" t="s">
        <v>8</v>
      </c>
      <c r="J27" s="1">
        <v>0</v>
      </c>
      <c r="K27" s="12">
        <v>0</v>
      </c>
      <c r="L27" s="1"/>
      <c r="M27" s="12"/>
      <c r="N27"/>
      <c r="O27"/>
      <c r="P27" s="2" t="str">
        <f>IF(BD_Receitas[[#This Row],[TIPO DE COBRANÇA]]="Operação Normal",
_xlfn.XLOOKUP(BD_Receitas[[#This Row],[ID]],TabCondicoesComerciais[ID],TabCondicoesComerciais[Volume mínimo 
(m3)],0),"")</f>
        <v/>
      </c>
      <c r="Q27" s="2">
        <f>_xlfn.XLOOKUP(BD_Receitas[[#This Row],[ID]],TabCondicoesComerciais[ID],TabCondicoesComerciais[Vol. 1ºGiro],0)</f>
        <v>750</v>
      </c>
      <c r="R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7" s="1">
        <f xml:space="preserve"> IF(BD_Receitas[[#This Row],[TIPO DE COBRANÇA]]="Operação Normal",
_xlfn.XLOOKUP(BD_Receitas[[#This Row],[ID]],TabCondicoesComerciais[ID],TabCondicoesComerciais[Tarifa 2º Giro],0),0)</f>
        <v>0</v>
      </c>
      <c r="T2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" spans="1:24" s="3" customFormat="1" hidden="1" x14ac:dyDescent="0.35">
      <c r="A28" s="3" t="s">
        <v>149</v>
      </c>
      <c r="B28" s="11">
        <v>45658</v>
      </c>
      <c r="C28" t="s">
        <v>31</v>
      </c>
      <c r="D28" t="s">
        <v>110</v>
      </c>
      <c r="E28" t="s">
        <v>117</v>
      </c>
      <c r="F28" s="10" t="s">
        <v>23</v>
      </c>
      <c r="G28" s="3" t="s">
        <v>112</v>
      </c>
      <c r="H28" s="3" t="s">
        <v>113</v>
      </c>
      <c r="I28" s="3" t="s">
        <v>15</v>
      </c>
      <c r="J28" s="1">
        <v>86210.526299999998</v>
      </c>
      <c r="K28" s="12">
        <v>4200</v>
      </c>
      <c r="L28" s="1"/>
      <c r="M28" s="12"/>
      <c r="N28"/>
      <c r="O28"/>
      <c r="P28" s="2">
        <f>IF(BD_Receitas[[#This Row],[TIPO DE COBRANÇA]]="Operação Normal",
_xlfn.XLOOKUP(BD_Receitas[[#This Row],[ID]],TabCondicoesComerciais[ID],TabCondicoesComerciais[Volume mínimo 
(m3)],0),"")</f>
        <v>3000</v>
      </c>
      <c r="Q28" s="2">
        <f>_xlfn.XLOOKUP(BD_Receitas[[#This Row],[ID]],TabCondicoesComerciais[ID],TabCondicoesComerciais[Vol. 1ºGiro],0)</f>
        <v>750</v>
      </c>
      <c r="R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28" s="1">
        <f xml:space="preserve"> IF(BD_Receitas[[#This Row],[TIPO DE COBRANÇA]]="Operação Normal",
_xlfn.XLOOKUP(BD_Receitas[[#This Row],[ID]],TabCondicoesComerciais[ID],TabCondicoesComerciais[Tarifa 2º Giro],0),0)</f>
        <v>19.5</v>
      </c>
      <c r="T28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2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9" spans="1:24" hidden="1" x14ac:dyDescent="0.35">
      <c r="A29" s="3" t="s">
        <v>149</v>
      </c>
      <c r="B29" s="11">
        <v>45658</v>
      </c>
      <c r="C29" t="s">
        <v>31</v>
      </c>
      <c r="D29" t="s">
        <v>110</v>
      </c>
      <c r="E29" t="s">
        <v>117</v>
      </c>
      <c r="F29" s="10" t="s">
        <v>23</v>
      </c>
      <c r="G29" s="3" t="s">
        <v>112</v>
      </c>
      <c r="H29" s="3" t="s">
        <v>113</v>
      </c>
      <c r="I29" s="3" t="s">
        <v>65</v>
      </c>
      <c r="J29" s="1">
        <v>0</v>
      </c>
      <c r="K29" s="12">
        <v>0</v>
      </c>
      <c r="L29" s="1"/>
      <c r="M29" s="12"/>
      <c r="N29"/>
      <c r="O29"/>
      <c r="P29" s="2" t="str">
        <f>IF(BD_Receitas[[#This Row],[TIPO DE COBRANÇA]]="Operação Normal",
_xlfn.XLOOKUP(BD_Receitas[[#This Row],[ID]],TabCondicoesComerciais[ID],TabCondicoesComerciais[Volume mínimo 
(m3)],0),"")</f>
        <v/>
      </c>
      <c r="Q29" s="2">
        <f>_xlfn.XLOOKUP(BD_Receitas[[#This Row],[ID]],TabCondicoesComerciais[ID],TabCondicoesComerciais[Vol. 1ºGiro],0)</f>
        <v>750</v>
      </c>
      <c r="R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" s="1">
        <f xml:space="preserve"> IF(BD_Receitas[[#This Row],[TIPO DE COBRANÇA]]="Operação Normal",
_xlfn.XLOOKUP(BD_Receitas[[#This Row],[ID]],TabCondicoesComerciais[ID],TabCondicoesComerciais[Tarifa 2º Giro],0),0)</f>
        <v>0</v>
      </c>
      <c r="T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" spans="1:24" hidden="1" x14ac:dyDescent="0.35">
      <c r="A30" s="3" t="s">
        <v>150</v>
      </c>
      <c r="B30" s="11">
        <v>45658</v>
      </c>
      <c r="C30" t="s">
        <v>31</v>
      </c>
      <c r="D30" t="s">
        <v>62</v>
      </c>
      <c r="E30" t="s">
        <v>33</v>
      </c>
      <c r="F30" s="10" t="s">
        <v>46</v>
      </c>
      <c r="G30" s="3" t="s">
        <v>87</v>
      </c>
      <c r="H30" s="3" t="s">
        <v>9</v>
      </c>
      <c r="I30" s="3" t="s">
        <v>7</v>
      </c>
      <c r="J30" s="1">
        <v>0</v>
      </c>
      <c r="K30" s="12">
        <v>0</v>
      </c>
      <c r="L30" s="1">
        <v>2410.5300000000002</v>
      </c>
      <c r="M30" s="12">
        <v>334.79599999999999</v>
      </c>
      <c r="N30" t="s">
        <v>146</v>
      </c>
      <c r="O30"/>
      <c r="P30" s="2" t="str">
        <f>IF(BD_Receitas[[#This Row],[TIPO DE COBRANÇA]]="Operação Normal",
_xlfn.XLOOKUP(BD_Receitas[[#This Row],[ID]],TabCondicoesComerciais[ID],TabCondicoesComerciais[Volume mínimo 
(m3)],0),"")</f>
        <v/>
      </c>
      <c r="Q30" s="2">
        <f>_xlfn.XLOOKUP(BD_Receitas[[#This Row],[ID]],TabCondicoesComerciais[ID],TabCondicoesComerciais[Vol. 1ºGiro],0)</f>
        <v>1070</v>
      </c>
      <c r="R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30" s="1">
        <f xml:space="preserve"> IF(BD_Receitas[[#This Row],[TIPO DE COBRANÇA]]="Operação Normal",
_xlfn.XLOOKUP(BD_Receitas[[#This Row],[ID]],TabCondicoesComerciais[ID],TabCondicoesComerciais[Tarifa 2º Giro],0),0)</f>
        <v>0</v>
      </c>
      <c r="T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" spans="1:24" hidden="1" x14ac:dyDescent="0.35">
      <c r="A31" s="3" t="s">
        <v>150</v>
      </c>
      <c r="B31" s="11">
        <v>45658</v>
      </c>
      <c r="C31" t="s">
        <v>31</v>
      </c>
      <c r="D31" t="s">
        <v>62</v>
      </c>
      <c r="E31" t="s">
        <v>33</v>
      </c>
      <c r="F31" s="10" t="s">
        <v>46</v>
      </c>
      <c r="G31" s="3" t="s">
        <v>87</v>
      </c>
      <c r="H31" s="3" t="s">
        <v>9</v>
      </c>
      <c r="I31" s="3" t="s">
        <v>8</v>
      </c>
      <c r="J31" s="1">
        <v>0</v>
      </c>
      <c r="K31" s="12">
        <v>0</v>
      </c>
      <c r="L31" s="1">
        <v>1799.0640000000001</v>
      </c>
      <c r="M31" s="12">
        <v>249.87</v>
      </c>
      <c r="N31" t="s">
        <v>146</v>
      </c>
      <c r="O31"/>
      <c r="P31" s="2" t="str">
        <f>IF(BD_Receitas[[#This Row],[TIPO DE COBRANÇA]]="Operação Normal",
_xlfn.XLOOKUP(BD_Receitas[[#This Row],[ID]],TabCondicoesComerciais[ID],TabCondicoesComerciais[Volume mínimo 
(m3)],0),"")</f>
        <v/>
      </c>
      <c r="Q31" s="2">
        <f>_xlfn.XLOOKUP(BD_Receitas[[#This Row],[ID]],TabCondicoesComerciais[ID],TabCondicoesComerciais[Vol. 1ºGiro],0)</f>
        <v>1070</v>
      </c>
      <c r="R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31" s="1">
        <f xml:space="preserve"> IF(BD_Receitas[[#This Row],[TIPO DE COBRANÇA]]="Operação Normal",
_xlfn.XLOOKUP(BD_Receitas[[#This Row],[ID]],TabCondicoesComerciais[ID],TabCondicoesComerciais[Tarifa 2º Giro],0),0)</f>
        <v>0</v>
      </c>
      <c r="T3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" spans="1:24" s="3" customFormat="1" hidden="1" x14ac:dyDescent="0.35">
      <c r="A32" s="3" t="s">
        <v>150</v>
      </c>
      <c r="B32" s="11">
        <v>45658</v>
      </c>
      <c r="C32" t="s">
        <v>31</v>
      </c>
      <c r="D32" t="s">
        <v>62</v>
      </c>
      <c r="E32" t="s">
        <v>33</v>
      </c>
      <c r="F32" s="10" t="s">
        <v>46</v>
      </c>
      <c r="G32" s="3" t="s">
        <v>87</v>
      </c>
      <c r="H32" s="3" t="s">
        <v>9</v>
      </c>
      <c r="I32" s="3" t="s">
        <v>15</v>
      </c>
      <c r="J32" s="1">
        <v>137499.15789999999</v>
      </c>
      <c r="K32" s="12">
        <v>4200</v>
      </c>
      <c r="L32" s="1">
        <v>57780</v>
      </c>
      <c r="M32" s="12">
        <v>2343.2069999999999</v>
      </c>
      <c r="N32" t="s">
        <v>146</v>
      </c>
      <c r="O32"/>
      <c r="P32" s="2">
        <f>IF(BD_Receitas[[#This Row],[TIPO DE COBRANÇA]]="Operação Normal",
_xlfn.XLOOKUP(BD_Receitas[[#This Row],[ID]],TabCondicoesComerciais[ID],TabCondicoesComerciais[Volume mínimo 
(m3)],0),"")</f>
        <v>3210</v>
      </c>
      <c r="Q32" s="2">
        <f>_xlfn.XLOOKUP(BD_Receitas[[#This Row],[ID]],TabCondicoesComerciais[ID],TabCondicoesComerciais[Vol. 1ºGiro],0)</f>
        <v>1070</v>
      </c>
      <c r="R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32" s="1">
        <f xml:space="preserve"> IF(BD_Receitas[[#This Row],[TIPO DE COBRANÇA]]="Operação Normal",
_xlfn.XLOOKUP(BD_Receitas[[#This Row],[ID]],TabCondicoesComerciais[ID],TabCondicoesComerciais[Tarifa 2º Giro],0),0)</f>
        <v>30</v>
      </c>
      <c r="T32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3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29.036100523769345</v>
      </c>
      <c r="V3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96300</v>
      </c>
      <c r="W3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70296.209999999992</v>
      </c>
      <c r="X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3" spans="1:24" hidden="1" x14ac:dyDescent="0.35">
      <c r="A33" s="3" t="s">
        <v>150</v>
      </c>
      <c r="B33" s="11">
        <v>45658</v>
      </c>
      <c r="C33" t="s">
        <v>31</v>
      </c>
      <c r="D33" t="s">
        <v>62</v>
      </c>
      <c r="E33" t="s">
        <v>33</v>
      </c>
      <c r="F33" s="10" t="s">
        <v>46</v>
      </c>
      <c r="G33" s="3" t="s">
        <v>87</v>
      </c>
      <c r="H33" s="3" t="s">
        <v>9</v>
      </c>
      <c r="I33" s="3" t="s">
        <v>65</v>
      </c>
      <c r="J33" s="1">
        <v>0</v>
      </c>
      <c r="K33" s="12">
        <v>0</v>
      </c>
      <c r="L33" s="1">
        <v>6048</v>
      </c>
      <c r="M33" s="12">
        <v>0</v>
      </c>
      <c r="N33" t="s">
        <v>146</v>
      </c>
      <c r="O33"/>
      <c r="P33" s="2" t="str">
        <f>IF(BD_Receitas[[#This Row],[TIPO DE COBRANÇA]]="Operação Normal",
_xlfn.XLOOKUP(BD_Receitas[[#This Row],[ID]],TabCondicoesComerciais[ID],TabCondicoesComerciais[Volume mínimo 
(m3)],0),"")</f>
        <v/>
      </c>
      <c r="Q33" s="2">
        <f>_xlfn.XLOOKUP(BD_Receitas[[#This Row],[ID]],TabCondicoesComerciais[ID],TabCondicoesComerciais[Vol. 1ºGiro],0)</f>
        <v>1070</v>
      </c>
      <c r="R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3" s="1">
        <f xml:space="preserve"> IF(BD_Receitas[[#This Row],[TIPO DE COBRANÇA]]="Operação Normal",
_xlfn.XLOOKUP(BD_Receitas[[#This Row],[ID]],TabCondicoesComerciais[ID],TabCondicoesComerciais[Tarifa 2º Giro],0),0)</f>
        <v>0</v>
      </c>
      <c r="T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" spans="1:24" hidden="1" x14ac:dyDescent="0.35">
      <c r="A34" s="3" t="s">
        <v>200</v>
      </c>
      <c r="B34" s="11">
        <v>45658</v>
      </c>
      <c r="C34" t="s">
        <v>31</v>
      </c>
      <c r="D34" t="s">
        <v>203</v>
      </c>
      <c r="E34" t="s">
        <v>32</v>
      </c>
      <c r="F34" s="10" t="s">
        <v>25</v>
      </c>
      <c r="G34" s="3" t="s">
        <v>12</v>
      </c>
      <c r="H34" s="3" t="s">
        <v>10</v>
      </c>
      <c r="I34" s="3" t="s">
        <v>7</v>
      </c>
      <c r="J34" s="1">
        <v>0</v>
      </c>
      <c r="K34" s="12">
        <v>0</v>
      </c>
      <c r="L34" s="1"/>
      <c r="M34" s="12"/>
      <c r="N34"/>
      <c r="O34"/>
      <c r="P34" s="2" t="str">
        <f>IF(BD_Receitas[[#This Row],[TIPO DE COBRANÇA]]="Operação Normal",
_xlfn.XLOOKUP(BD_Receitas[[#This Row],[ID]],TabCondicoesComerciais[ID],TabCondicoesComerciais[Volume mínimo 
(m3)],0),"")</f>
        <v/>
      </c>
      <c r="Q34" s="2">
        <f>_xlfn.XLOOKUP(BD_Receitas[[#This Row],[ID]],TabCondicoesComerciais[ID],TabCondicoesComerciais[Vol. 1ºGiro],0)</f>
        <v>2000</v>
      </c>
      <c r="R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4" s="1">
        <f xml:space="preserve"> IF(BD_Receitas[[#This Row],[TIPO DE COBRANÇA]]="Operação Normal",
_xlfn.XLOOKUP(BD_Receitas[[#This Row],[ID]],TabCondicoesComerciais[ID],TabCondicoesComerciais[Tarifa 2º Giro],0),0)</f>
        <v>0</v>
      </c>
      <c r="T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" spans="1:24" hidden="1" x14ac:dyDescent="0.35">
      <c r="A35" s="3" t="s">
        <v>200</v>
      </c>
      <c r="B35" s="11">
        <v>45658</v>
      </c>
      <c r="C35" t="s">
        <v>31</v>
      </c>
      <c r="D35" t="s">
        <v>203</v>
      </c>
      <c r="E35" t="s">
        <v>32</v>
      </c>
      <c r="F35" s="10" t="s">
        <v>25</v>
      </c>
      <c r="G35" s="3" t="s">
        <v>12</v>
      </c>
      <c r="H35" s="3" t="s">
        <v>10</v>
      </c>
      <c r="I35" s="3" t="s">
        <v>8</v>
      </c>
      <c r="J35" s="1">
        <v>0</v>
      </c>
      <c r="K35" s="12">
        <v>0</v>
      </c>
      <c r="L35" s="1"/>
      <c r="M35" s="12"/>
      <c r="N35"/>
      <c r="O35"/>
      <c r="P35" s="2" t="str">
        <f>IF(BD_Receitas[[#This Row],[TIPO DE COBRANÇA]]="Operação Normal",
_xlfn.XLOOKUP(BD_Receitas[[#This Row],[ID]],TabCondicoesComerciais[ID],TabCondicoesComerciais[Volume mínimo 
(m3)],0),"")</f>
        <v/>
      </c>
      <c r="Q35" s="2">
        <f>_xlfn.XLOOKUP(BD_Receitas[[#This Row],[ID]],TabCondicoesComerciais[ID],TabCondicoesComerciais[Vol. 1ºGiro],0)</f>
        <v>2000</v>
      </c>
      <c r="R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5" s="1">
        <f xml:space="preserve"> IF(BD_Receitas[[#This Row],[TIPO DE COBRANÇA]]="Operação Normal",
_xlfn.XLOOKUP(BD_Receitas[[#This Row],[ID]],TabCondicoesComerciais[ID],TabCondicoesComerciais[Tarifa 2º Giro],0),0)</f>
        <v>0</v>
      </c>
      <c r="T3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" spans="1:24" s="3" customFormat="1" hidden="1" x14ac:dyDescent="0.35">
      <c r="A36" s="3" t="s">
        <v>200</v>
      </c>
      <c r="B36" s="11">
        <v>45658</v>
      </c>
      <c r="C36" t="s">
        <v>31</v>
      </c>
      <c r="D36" t="s">
        <v>203</v>
      </c>
      <c r="E36" t="s">
        <v>32</v>
      </c>
      <c r="F36" s="10" t="s">
        <v>25</v>
      </c>
      <c r="G36" s="3" t="s">
        <v>12</v>
      </c>
      <c r="H36" s="3" t="s">
        <v>10</v>
      </c>
      <c r="I36" s="3" t="s">
        <v>15</v>
      </c>
      <c r="J36" s="1">
        <v>0</v>
      </c>
      <c r="K36" s="12">
        <v>0</v>
      </c>
      <c r="L36" s="1"/>
      <c r="M36" s="12"/>
      <c r="N36"/>
      <c r="O36"/>
      <c r="P36" s="2">
        <f>IF(BD_Receitas[[#This Row],[TIPO DE COBRANÇA]]="Operação Normal",
_xlfn.XLOOKUP(BD_Receitas[[#This Row],[ID]],TabCondicoesComerciais[ID],TabCondicoesComerciais[Volume mínimo 
(m3)],0),"")</f>
        <v>8000</v>
      </c>
      <c r="Q36" s="2">
        <f>_xlfn.XLOOKUP(BD_Receitas[[#This Row],[ID]],TabCondicoesComerciais[ID],TabCondicoesComerciais[Vol. 1ºGiro],0)</f>
        <v>2000</v>
      </c>
      <c r="R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36" s="1">
        <f xml:space="preserve"> IF(BD_Receitas[[#This Row],[TIPO DE COBRANÇA]]="Operação Normal",
_xlfn.XLOOKUP(BD_Receitas[[#This Row],[ID]],TabCondicoesComerciais[ID],TabCondicoesComerciais[Tarifa 2º Giro],0),0)</f>
        <v>20</v>
      </c>
      <c r="T36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3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7" spans="1:24" hidden="1" x14ac:dyDescent="0.35">
      <c r="A37" s="3" t="s">
        <v>200</v>
      </c>
      <c r="B37" s="11">
        <v>45658</v>
      </c>
      <c r="C37" t="s">
        <v>31</v>
      </c>
      <c r="D37" t="s">
        <v>203</v>
      </c>
      <c r="E37" t="s">
        <v>32</v>
      </c>
      <c r="F37" s="10" t="s">
        <v>25</v>
      </c>
      <c r="G37" s="3" t="s">
        <v>12</v>
      </c>
      <c r="H37" s="3" t="s">
        <v>10</v>
      </c>
      <c r="I37" s="3" t="s">
        <v>65</v>
      </c>
      <c r="J37" s="1">
        <v>0</v>
      </c>
      <c r="K37" s="12">
        <v>0</v>
      </c>
      <c r="L37" s="1"/>
      <c r="M37" s="12"/>
      <c r="N37"/>
      <c r="O37"/>
      <c r="P37" s="2" t="str">
        <f>IF(BD_Receitas[[#This Row],[TIPO DE COBRANÇA]]="Operação Normal",
_xlfn.XLOOKUP(BD_Receitas[[#This Row],[ID]],TabCondicoesComerciais[ID],TabCondicoesComerciais[Volume mínimo 
(m3)],0),"")</f>
        <v/>
      </c>
      <c r="Q37" s="2">
        <f>_xlfn.XLOOKUP(BD_Receitas[[#This Row],[ID]],TabCondicoesComerciais[ID],TabCondicoesComerciais[Vol. 1ºGiro],0)</f>
        <v>2000</v>
      </c>
      <c r="R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" s="1">
        <f xml:space="preserve"> IF(BD_Receitas[[#This Row],[TIPO DE COBRANÇA]]="Operação Normal",
_xlfn.XLOOKUP(BD_Receitas[[#This Row],[ID]],TabCondicoesComerciais[ID],TabCondicoesComerciais[Tarifa 2º Giro],0),0)</f>
        <v>0</v>
      </c>
      <c r="T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" spans="1:24" hidden="1" x14ac:dyDescent="0.35">
      <c r="A38" s="3" t="s">
        <v>166</v>
      </c>
      <c r="B38" s="11">
        <v>45658</v>
      </c>
      <c r="C38" t="s">
        <v>31</v>
      </c>
      <c r="D38" t="s">
        <v>203</v>
      </c>
      <c r="E38" t="s">
        <v>32</v>
      </c>
      <c r="F38" s="10" t="s">
        <v>25</v>
      </c>
      <c r="G38" s="3" t="s">
        <v>12</v>
      </c>
      <c r="H38" s="3" t="s">
        <v>9</v>
      </c>
      <c r="I38" s="3" t="s">
        <v>7</v>
      </c>
      <c r="J38" s="1">
        <v>0</v>
      </c>
      <c r="K38" s="12">
        <v>0</v>
      </c>
      <c r="L38" s="1">
        <v>2876.1930000000002</v>
      </c>
      <c r="M38" s="12">
        <v>319.60000000000002</v>
      </c>
      <c r="N38" t="s">
        <v>115</v>
      </c>
      <c r="O38" t="s">
        <v>129</v>
      </c>
      <c r="P38" s="2" t="str">
        <f>IF(BD_Receitas[[#This Row],[TIPO DE COBRANÇA]]="Operação Normal",
_xlfn.XLOOKUP(BD_Receitas[[#This Row],[ID]],TabCondicoesComerciais[ID],TabCondicoesComerciais[Volume mínimo 
(m3)],0),"")</f>
        <v/>
      </c>
      <c r="Q38" s="2">
        <f>_xlfn.XLOOKUP(BD_Receitas[[#This Row],[ID]],TabCondicoesComerciais[ID],TabCondicoesComerciais[Vol. 1ºGiro],0)</f>
        <v>1175</v>
      </c>
      <c r="R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38" s="1">
        <f xml:space="preserve"> IF(BD_Receitas[[#This Row],[TIPO DE COBRANÇA]]="Operação Normal",
_xlfn.XLOOKUP(BD_Receitas[[#This Row],[ID]],TabCondicoesComerciais[ID],TabCondicoesComerciais[Tarifa 2º Giro],0),0)</f>
        <v>0</v>
      </c>
      <c r="T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" spans="1:24" hidden="1" x14ac:dyDescent="0.35">
      <c r="A39" s="3" t="s">
        <v>166</v>
      </c>
      <c r="B39" s="11">
        <v>45658</v>
      </c>
      <c r="C39" t="s">
        <v>31</v>
      </c>
      <c r="D39" t="s">
        <v>203</v>
      </c>
      <c r="E39" t="s">
        <v>32</v>
      </c>
      <c r="F39" s="10" t="s">
        <v>25</v>
      </c>
      <c r="G39" s="3" t="s">
        <v>12</v>
      </c>
      <c r="H39" s="3" t="s">
        <v>9</v>
      </c>
      <c r="I39" s="3" t="s">
        <v>8</v>
      </c>
      <c r="J39" s="1">
        <v>0</v>
      </c>
      <c r="K39" s="12">
        <v>0</v>
      </c>
      <c r="L39" s="1"/>
      <c r="M39" s="12"/>
      <c r="N39"/>
      <c r="O39"/>
      <c r="P39" s="2" t="str">
        <f>IF(BD_Receitas[[#This Row],[TIPO DE COBRANÇA]]="Operação Normal",
_xlfn.XLOOKUP(BD_Receitas[[#This Row],[ID]],TabCondicoesComerciais[ID],TabCondicoesComerciais[Volume mínimo 
(m3)],0),"")</f>
        <v/>
      </c>
      <c r="Q39" s="2">
        <f>_xlfn.XLOOKUP(BD_Receitas[[#This Row],[ID]],TabCondicoesComerciais[ID],TabCondicoesComerciais[Vol. 1ºGiro],0)</f>
        <v>1175</v>
      </c>
      <c r="R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</v>
      </c>
      <c r="S39" s="1">
        <f xml:space="preserve"> IF(BD_Receitas[[#This Row],[TIPO DE COBRANÇA]]="Operação Normal",
_xlfn.XLOOKUP(BD_Receitas[[#This Row],[ID]],TabCondicoesComerciais[ID],TabCondicoesComerciais[Tarifa 2º Giro],0),0)</f>
        <v>0</v>
      </c>
      <c r="T3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" spans="1:24" s="3" customFormat="1" hidden="1" x14ac:dyDescent="0.35">
      <c r="A40" s="3" t="s">
        <v>166</v>
      </c>
      <c r="B40" s="11">
        <v>45658</v>
      </c>
      <c r="C40" t="s">
        <v>31</v>
      </c>
      <c r="D40" t="s">
        <v>203</v>
      </c>
      <c r="E40" t="s">
        <v>32</v>
      </c>
      <c r="F40" s="10" t="s">
        <v>25</v>
      </c>
      <c r="G40" s="3" t="s">
        <v>12</v>
      </c>
      <c r="H40" s="3" t="s">
        <v>9</v>
      </c>
      <c r="I40" s="3" t="s">
        <v>15</v>
      </c>
      <c r="J40" s="1">
        <v>164947.60920000001</v>
      </c>
      <c r="K40" s="12">
        <v>6100</v>
      </c>
      <c r="L40" s="1">
        <v>152744</v>
      </c>
      <c r="M40" s="12">
        <v>4189</v>
      </c>
      <c r="N40" t="s">
        <v>115</v>
      </c>
      <c r="O40" t="s">
        <v>155</v>
      </c>
      <c r="P40" s="2">
        <f>IF(BD_Receitas[[#This Row],[TIPO DE COBRANÇA]]="Operação Normal",
_xlfn.XLOOKUP(BD_Receitas[[#This Row],[ID]],TabCondicoesComerciais[ID],TabCondicoesComerciais[Volume mínimo 
(m3)],0),"")</f>
        <v>6100</v>
      </c>
      <c r="Q40" s="2">
        <f>_xlfn.XLOOKUP(BD_Receitas[[#This Row],[ID]],TabCondicoesComerciais[ID],TabCondicoesComerciais[Vol. 1ºGiro],0)</f>
        <v>1175</v>
      </c>
      <c r="R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40" s="1">
        <f xml:space="preserve"> IF(BD_Receitas[[#This Row],[TIPO DE COBRANÇA]]="Operação Normal",
_xlfn.XLOOKUP(BD_Receitas[[#This Row],[ID]],TabCondicoesComerciais[ID],TabCondicoesComerciais[Tarifa 2º Giro],0),0)</f>
        <v>25.04</v>
      </c>
      <c r="T40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4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37.149723800429697</v>
      </c>
      <c r="V4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4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104892.56</v>
      </c>
      <c r="X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41" spans="1:24" hidden="1" x14ac:dyDescent="0.35">
      <c r="A41" s="3" t="s">
        <v>166</v>
      </c>
      <c r="B41" s="11">
        <v>45658</v>
      </c>
      <c r="C41" t="s">
        <v>31</v>
      </c>
      <c r="D41" t="s">
        <v>203</v>
      </c>
      <c r="E41" t="s">
        <v>32</v>
      </c>
      <c r="F41" s="10" t="s">
        <v>25</v>
      </c>
      <c r="G41" s="3" t="s">
        <v>12</v>
      </c>
      <c r="H41" s="3" t="s">
        <v>9</v>
      </c>
      <c r="I41" s="3" t="s">
        <v>65</v>
      </c>
      <c r="J41" s="1">
        <v>0</v>
      </c>
      <c r="K41" s="12">
        <v>0</v>
      </c>
      <c r="L41" s="1"/>
      <c r="M41" s="12"/>
      <c r="N41"/>
      <c r="O41"/>
      <c r="P41" s="2" t="str">
        <f>IF(BD_Receitas[[#This Row],[TIPO DE COBRANÇA]]="Operação Normal",
_xlfn.XLOOKUP(BD_Receitas[[#This Row],[ID]],TabCondicoesComerciais[ID],TabCondicoesComerciais[Volume mínimo 
(m3)],0),"")</f>
        <v/>
      </c>
      <c r="Q41" s="2">
        <f>_xlfn.XLOOKUP(BD_Receitas[[#This Row],[ID]],TabCondicoesComerciais[ID],TabCondicoesComerciais[Vol. 1ºGiro],0)</f>
        <v>1175</v>
      </c>
      <c r="R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1" s="1">
        <f xml:space="preserve"> IF(BD_Receitas[[#This Row],[TIPO DE COBRANÇA]]="Operação Normal",
_xlfn.XLOOKUP(BD_Receitas[[#This Row],[ID]],TabCondicoesComerciais[ID],TabCondicoesComerciais[Tarifa 2º Giro],0),0)</f>
        <v>0</v>
      </c>
      <c r="T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" spans="1:24" hidden="1" x14ac:dyDescent="0.35">
      <c r="A42" s="3" t="s">
        <v>134</v>
      </c>
      <c r="B42" s="11">
        <v>45658</v>
      </c>
      <c r="C42" t="s">
        <v>31</v>
      </c>
      <c r="D42" t="s">
        <v>62</v>
      </c>
      <c r="E42" t="s">
        <v>37</v>
      </c>
      <c r="F42" s="10" t="s">
        <v>57</v>
      </c>
      <c r="G42" s="3" t="s">
        <v>58</v>
      </c>
      <c r="H42" s="3" t="s">
        <v>10</v>
      </c>
      <c r="I42" s="3" t="s">
        <v>7</v>
      </c>
      <c r="J42" s="1">
        <v>0</v>
      </c>
      <c r="K42" s="12">
        <v>0</v>
      </c>
      <c r="L42" s="1"/>
      <c r="M42" s="12"/>
      <c r="N42"/>
      <c r="O42"/>
      <c r="P42" s="2" t="str">
        <f>IF(BD_Receitas[[#This Row],[TIPO DE COBRANÇA]]="Operação Normal",
_xlfn.XLOOKUP(BD_Receitas[[#This Row],[ID]],TabCondicoesComerciais[ID],TabCondicoesComerciais[Volume mínimo 
(m3)],0),"")</f>
        <v/>
      </c>
      <c r="Q42" s="2">
        <f>_xlfn.XLOOKUP(BD_Receitas[[#This Row],[ID]],TabCondicoesComerciais[ID],TabCondicoesComerciais[Vol. 1ºGiro],0)</f>
        <v>310</v>
      </c>
      <c r="R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" s="1">
        <f xml:space="preserve"> IF(BD_Receitas[[#This Row],[TIPO DE COBRANÇA]]="Operação Normal",
_xlfn.XLOOKUP(BD_Receitas[[#This Row],[ID]],TabCondicoesComerciais[ID],TabCondicoesComerciais[Tarifa 2º Giro],0),0)</f>
        <v>0</v>
      </c>
      <c r="T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" spans="1:24" hidden="1" x14ac:dyDescent="0.35">
      <c r="A43" s="3" t="s">
        <v>134</v>
      </c>
      <c r="B43" s="11">
        <v>45658</v>
      </c>
      <c r="C43" t="s">
        <v>31</v>
      </c>
      <c r="D43" t="s">
        <v>62</v>
      </c>
      <c r="E43" t="s">
        <v>37</v>
      </c>
      <c r="F43" s="10" t="s">
        <v>57</v>
      </c>
      <c r="G43" s="3" t="s">
        <v>58</v>
      </c>
      <c r="H43" s="3" t="s">
        <v>10</v>
      </c>
      <c r="I43" s="3" t="s">
        <v>8</v>
      </c>
      <c r="J43" s="1">
        <v>0</v>
      </c>
      <c r="K43" s="12">
        <v>0</v>
      </c>
      <c r="L43" s="1"/>
      <c r="M43" s="12"/>
      <c r="N43"/>
      <c r="O43"/>
      <c r="P43" s="2" t="str">
        <f>IF(BD_Receitas[[#This Row],[TIPO DE COBRANÇA]]="Operação Normal",
_xlfn.XLOOKUP(BD_Receitas[[#This Row],[ID]],TabCondicoesComerciais[ID],TabCondicoesComerciais[Volume mínimo 
(m3)],0),"")</f>
        <v/>
      </c>
      <c r="Q43" s="2">
        <f>_xlfn.XLOOKUP(BD_Receitas[[#This Row],[ID]],TabCondicoesComerciais[ID],TabCondicoesComerciais[Vol. 1ºGiro],0)</f>
        <v>310</v>
      </c>
      <c r="R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43" s="1">
        <f xml:space="preserve"> IF(BD_Receitas[[#This Row],[TIPO DE COBRANÇA]]="Operação Normal",
_xlfn.XLOOKUP(BD_Receitas[[#This Row],[ID]],TabCondicoesComerciais[ID],TabCondicoesComerciais[Tarifa 2º Giro],0),0)</f>
        <v>0</v>
      </c>
      <c r="T4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" spans="1:24" s="3" customFormat="1" hidden="1" x14ac:dyDescent="0.35">
      <c r="A44" s="3" t="s">
        <v>134</v>
      </c>
      <c r="B44" s="11">
        <v>45658</v>
      </c>
      <c r="C44" t="s">
        <v>31</v>
      </c>
      <c r="D44" t="s">
        <v>62</v>
      </c>
      <c r="E44" t="s">
        <v>37</v>
      </c>
      <c r="F44" s="10" t="s">
        <v>57</v>
      </c>
      <c r="G44" s="3" t="s">
        <v>58</v>
      </c>
      <c r="H44" s="3" t="s">
        <v>10</v>
      </c>
      <c r="I44" s="3" t="s">
        <v>15</v>
      </c>
      <c r="J44" s="1">
        <v>16703.0769</v>
      </c>
      <c r="K44" s="12">
        <v>550</v>
      </c>
      <c r="L44" s="1">
        <v>32571</v>
      </c>
      <c r="M44" s="12">
        <v>921</v>
      </c>
      <c r="N44" t="s">
        <v>156</v>
      </c>
      <c r="O44"/>
      <c r="P44" s="2">
        <f>IF(BD_Receitas[[#This Row],[TIPO DE COBRANÇA]]="Operação Normal",
_xlfn.XLOOKUP(BD_Receitas[[#This Row],[ID]],TabCondicoesComerciais[ID],TabCondicoesComerciais[Volume mínimo 
(m3)],0),"")</f>
        <v>1100</v>
      </c>
      <c r="Q44" s="2">
        <f>_xlfn.XLOOKUP(BD_Receitas[[#This Row],[ID]],TabCondicoesComerciais[ID],TabCondicoesComerciais[Vol. 1ºGiro],0)</f>
        <v>310</v>
      </c>
      <c r="R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44" s="1">
        <f xml:space="preserve"> IF(BD_Receitas[[#This Row],[TIPO DE COBRANÇA]]="Operação Normal",
_xlfn.XLOOKUP(BD_Receitas[[#This Row],[ID]],TabCondicoesComerciais[ID],TabCondicoesComerciais[Tarifa 2º Giro],0),0)</f>
        <v>31.04</v>
      </c>
      <c r="T44" s="5">
        <f>IFERROR(IF(BD_Receitas[[#This Row],[TIPO DE COBRANÇA]]&lt;&gt;"Operação Normal","",BD_Receitas[[#This Row],[Valor Total R$]]/ MAX(BD_Receitas[[#This Row],[Vol. Movimentado M³]],
BD_Receitas[[#This Row],[Volume Mínimo ]])
),0)</f>
        <v>29.61</v>
      </c>
      <c r="U4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35.364820846905538</v>
      </c>
      <c r="V4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4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28587.839999999997</v>
      </c>
      <c r="X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5" spans="1:24" hidden="1" x14ac:dyDescent="0.35">
      <c r="A45" s="3" t="s">
        <v>134</v>
      </c>
      <c r="B45" s="11">
        <v>45658</v>
      </c>
      <c r="C45" t="s">
        <v>31</v>
      </c>
      <c r="D45" t="s">
        <v>62</v>
      </c>
      <c r="E45" t="s">
        <v>37</v>
      </c>
      <c r="F45" s="10" t="s">
        <v>57</v>
      </c>
      <c r="G45" s="3" t="s">
        <v>58</v>
      </c>
      <c r="H45" s="3" t="s">
        <v>10</v>
      </c>
      <c r="I45" s="3" t="s">
        <v>65</v>
      </c>
      <c r="J45" s="1">
        <v>0</v>
      </c>
      <c r="K45" s="12">
        <v>0</v>
      </c>
      <c r="L45" s="1"/>
      <c r="M45" s="12"/>
      <c r="N45"/>
      <c r="O45"/>
      <c r="P45" s="2" t="str">
        <f>IF(BD_Receitas[[#This Row],[TIPO DE COBRANÇA]]="Operação Normal",
_xlfn.XLOOKUP(BD_Receitas[[#This Row],[ID]],TabCondicoesComerciais[ID],TabCondicoesComerciais[Volume mínimo 
(m3)],0),"")</f>
        <v/>
      </c>
      <c r="Q45" s="2">
        <f>_xlfn.XLOOKUP(BD_Receitas[[#This Row],[ID]],TabCondicoesComerciais[ID],TabCondicoesComerciais[Vol. 1ºGiro],0)</f>
        <v>310</v>
      </c>
      <c r="R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" s="1">
        <f xml:space="preserve"> IF(BD_Receitas[[#This Row],[TIPO DE COBRANÇA]]="Operação Normal",
_xlfn.XLOOKUP(BD_Receitas[[#This Row],[ID]],TabCondicoesComerciais[ID],TabCondicoesComerciais[Tarifa 2º Giro],0),0)</f>
        <v>0</v>
      </c>
      <c r="T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" spans="1:24" hidden="1" x14ac:dyDescent="0.35">
      <c r="A46" s="3" t="s">
        <v>173</v>
      </c>
      <c r="B46" s="11">
        <v>45658</v>
      </c>
      <c r="C46" t="s">
        <v>31</v>
      </c>
      <c r="D46" t="s">
        <v>62</v>
      </c>
      <c r="E46" t="s">
        <v>37</v>
      </c>
      <c r="F46" s="10" t="s">
        <v>57</v>
      </c>
      <c r="G46" s="3" t="s">
        <v>58</v>
      </c>
      <c r="H46" s="3" t="s">
        <v>6</v>
      </c>
      <c r="I46" s="3" t="s">
        <v>7</v>
      </c>
      <c r="J46" s="1">
        <v>0</v>
      </c>
      <c r="K46" s="12">
        <v>0</v>
      </c>
      <c r="L46" s="1"/>
      <c r="M46" s="12"/>
      <c r="N46"/>
      <c r="O46"/>
      <c r="P46" s="2" t="str">
        <f>IF(BD_Receitas[[#This Row],[TIPO DE COBRANÇA]]="Operação Normal",
_xlfn.XLOOKUP(BD_Receitas[[#This Row],[ID]],TabCondicoesComerciais[ID],TabCondicoesComerciais[Volume mínimo 
(m3)],0),"")</f>
        <v/>
      </c>
      <c r="Q46" s="2">
        <f>_xlfn.XLOOKUP(BD_Receitas[[#This Row],[ID]],TabCondicoesComerciais[ID],TabCondicoesComerciais[Vol. 1ºGiro],0)</f>
        <v>1070</v>
      </c>
      <c r="R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6" s="1">
        <f xml:space="preserve"> IF(BD_Receitas[[#This Row],[TIPO DE COBRANÇA]]="Operação Normal",
_xlfn.XLOOKUP(BD_Receitas[[#This Row],[ID]],TabCondicoesComerciais[ID],TabCondicoesComerciais[Tarifa 2º Giro],0),0)</f>
        <v>0</v>
      </c>
      <c r="T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" spans="1:24" hidden="1" x14ac:dyDescent="0.35">
      <c r="A47" s="3" t="s">
        <v>173</v>
      </c>
      <c r="B47" s="11">
        <v>45658</v>
      </c>
      <c r="C47" t="s">
        <v>31</v>
      </c>
      <c r="D47" t="s">
        <v>62</v>
      </c>
      <c r="E47" t="s">
        <v>37</v>
      </c>
      <c r="F47" s="10" t="s">
        <v>57</v>
      </c>
      <c r="G47" s="3" t="s">
        <v>58</v>
      </c>
      <c r="H47" s="3" t="s">
        <v>6</v>
      </c>
      <c r="I47" s="3" t="s">
        <v>8</v>
      </c>
      <c r="J47" s="1">
        <v>0</v>
      </c>
      <c r="K47" s="12">
        <v>0</v>
      </c>
      <c r="L47" s="1"/>
      <c r="M47" s="12"/>
      <c r="N47"/>
      <c r="O47"/>
      <c r="P47" s="2" t="str">
        <f>IF(BD_Receitas[[#This Row],[TIPO DE COBRANÇA]]="Operação Normal",
_xlfn.XLOOKUP(BD_Receitas[[#This Row],[ID]],TabCondicoesComerciais[ID],TabCondicoesComerciais[Volume mínimo 
(m3)],0),"")</f>
        <v/>
      </c>
      <c r="Q47" s="2">
        <f>_xlfn.XLOOKUP(BD_Receitas[[#This Row],[ID]],TabCondicoesComerciais[ID],TabCondicoesComerciais[Vol. 1ºGiro],0)</f>
        <v>1070</v>
      </c>
      <c r="R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7" s="1">
        <f xml:space="preserve"> IF(BD_Receitas[[#This Row],[TIPO DE COBRANÇA]]="Operação Normal",
_xlfn.XLOOKUP(BD_Receitas[[#This Row],[ID]],TabCondicoesComerciais[ID],TabCondicoesComerciais[Tarifa 2º Giro],0),0)</f>
        <v>0</v>
      </c>
      <c r="T4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" spans="1:24" s="3" customFormat="1" hidden="1" x14ac:dyDescent="0.35">
      <c r="A48" s="3" t="s">
        <v>173</v>
      </c>
      <c r="B48" s="11">
        <v>45658</v>
      </c>
      <c r="C48" t="s">
        <v>31</v>
      </c>
      <c r="D48" t="s">
        <v>62</v>
      </c>
      <c r="E48" t="s">
        <v>37</v>
      </c>
      <c r="F48" s="10" t="s">
        <v>57</v>
      </c>
      <c r="G48" s="3" t="s">
        <v>58</v>
      </c>
      <c r="H48" s="3" t="s">
        <v>6</v>
      </c>
      <c r="I48" s="3" t="s">
        <v>15</v>
      </c>
      <c r="J48" s="1">
        <v>0</v>
      </c>
      <c r="K48" s="12">
        <v>0</v>
      </c>
      <c r="L48" s="1">
        <v>89616.88</v>
      </c>
      <c r="M48" s="12">
        <v>3986</v>
      </c>
      <c r="N48" t="s">
        <v>158</v>
      </c>
      <c r="O48"/>
      <c r="P48" s="2">
        <f>IF(BD_Receitas[[#This Row],[TIPO DE COBRANÇA]]="Operação Normal",
_xlfn.XLOOKUP(BD_Receitas[[#This Row],[ID]],TabCondicoesComerciais[ID],TabCondicoesComerciais[Volume mínimo 
(m3)],0),"")</f>
        <v>3300</v>
      </c>
      <c r="Q48" s="2">
        <f>_xlfn.XLOOKUP(BD_Receitas[[#This Row],[ID]],TabCondicoesComerciais[ID],TabCondicoesComerciais[Vol. 1ºGiro],0)</f>
        <v>1070</v>
      </c>
      <c r="R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48" s="1">
        <f xml:space="preserve"> IF(BD_Receitas[[#This Row],[TIPO DE COBRANÇA]]="Operação Normal",
_xlfn.XLOOKUP(BD_Receitas[[#This Row],[ID]],TabCondicoesComerciais[ID],TabCondicoesComerciais[Tarifa 2º Giro],0),0)</f>
        <v>23.42</v>
      </c>
      <c r="T48" s="5">
        <f>IFERROR(IF(BD_Receitas[[#This Row],[TIPO DE COBRANÇA]]&lt;&gt;"Operação Normal","",BD_Receitas[[#This Row],[Valor Total R$]]/ MAX(BD_Receitas[[#This Row],[Vol. Movimentado M³]],
BD_Receitas[[#This Row],[Volume Mínimo ]])
),0)</f>
        <v>22.482910185649775</v>
      </c>
      <c r="U4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22.482910185649775</v>
      </c>
      <c r="V4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4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93352.12</v>
      </c>
      <c r="X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9" spans="1:24" hidden="1" x14ac:dyDescent="0.35">
      <c r="A49" s="3" t="s">
        <v>173</v>
      </c>
      <c r="B49" s="11">
        <v>45658</v>
      </c>
      <c r="C49" t="s">
        <v>31</v>
      </c>
      <c r="D49" t="s">
        <v>62</v>
      </c>
      <c r="E49" t="s">
        <v>37</v>
      </c>
      <c r="F49" s="10" t="s">
        <v>57</v>
      </c>
      <c r="G49" s="3" t="s">
        <v>58</v>
      </c>
      <c r="H49" s="3" t="s">
        <v>6</v>
      </c>
      <c r="I49" s="3" t="s">
        <v>65</v>
      </c>
      <c r="J49" s="1">
        <v>0</v>
      </c>
      <c r="K49" s="12">
        <v>0</v>
      </c>
      <c r="L49" s="1"/>
      <c r="M49" s="12"/>
      <c r="N49"/>
      <c r="O49"/>
      <c r="P49" s="2" t="str">
        <f>IF(BD_Receitas[[#This Row],[TIPO DE COBRANÇA]]="Operação Normal",
_xlfn.XLOOKUP(BD_Receitas[[#This Row],[ID]],TabCondicoesComerciais[ID],TabCondicoesComerciais[Volume mínimo 
(m3)],0),"")</f>
        <v/>
      </c>
      <c r="Q49" s="2">
        <f>_xlfn.XLOOKUP(BD_Receitas[[#This Row],[ID]],TabCondicoesComerciais[ID],TabCondicoesComerciais[Vol. 1ºGiro],0)</f>
        <v>1070</v>
      </c>
      <c r="R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" s="1">
        <f xml:space="preserve"> IF(BD_Receitas[[#This Row],[TIPO DE COBRANÇA]]="Operação Normal",
_xlfn.XLOOKUP(BD_Receitas[[#This Row],[ID]],TabCondicoesComerciais[ID],TabCondicoesComerciais[Tarifa 2º Giro],0),0)</f>
        <v>0</v>
      </c>
      <c r="T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" spans="1:24" hidden="1" x14ac:dyDescent="0.35">
      <c r="A50" s="3" t="s">
        <v>184</v>
      </c>
      <c r="B50" s="11">
        <v>45658</v>
      </c>
      <c r="C50" t="s">
        <v>31</v>
      </c>
      <c r="D50" t="s">
        <v>203</v>
      </c>
      <c r="E50" t="s">
        <v>34</v>
      </c>
      <c r="F50" s="10" t="s">
        <v>26</v>
      </c>
      <c r="G50" s="3" t="s">
        <v>19</v>
      </c>
      <c r="H50" s="3" t="s">
        <v>13</v>
      </c>
      <c r="I50" s="3" t="s">
        <v>7</v>
      </c>
      <c r="J50" s="1">
        <v>0</v>
      </c>
      <c r="K50" s="12">
        <v>0</v>
      </c>
      <c r="L50" s="1"/>
      <c r="M50" s="12"/>
      <c r="N50"/>
      <c r="O50"/>
      <c r="P50" s="2" t="str">
        <f>IF(BD_Receitas[[#This Row],[TIPO DE COBRANÇA]]="Operação Normal",
_xlfn.XLOOKUP(BD_Receitas[[#This Row],[ID]],TabCondicoesComerciais[ID],TabCondicoesComerciais[Volume mínimo 
(m3)],0),"")</f>
        <v/>
      </c>
      <c r="Q50" s="2">
        <f>_xlfn.XLOOKUP(BD_Receitas[[#This Row],[ID]],TabCondicoesComerciais[ID],TabCondicoesComerciais[Vol. 1ºGiro],0)</f>
        <v>340</v>
      </c>
      <c r="R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0" s="1">
        <f xml:space="preserve"> IF(BD_Receitas[[#This Row],[TIPO DE COBRANÇA]]="Operação Normal",
_xlfn.XLOOKUP(BD_Receitas[[#This Row],[ID]],TabCondicoesComerciais[ID],TabCondicoesComerciais[Tarifa 2º Giro],0),0)</f>
        <v>0</v>
      </c>
      <c r="T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" spans="1:24" hidden="1" x14ac:dyDescent="0.35">
      <c r="A51" s="3" t="s">
        <v>184</v>
      </c>
      <c r="B51" s="11">
        <v>45658</v>
      </c>
      <c r="C51" t="s">
        <v>31</v>
      </c>
      <c r="D51" t="s">
        <v>203</v>
      </c>
      <c r="E51" t="s">
        <v>34</v>
      </c>
      <c r="F51" s="10" t="s">
        <v>26</v>
      </c>
      <c r="G51" s="3" t="s">
        <v>19</v>
      </c>
      <c r="H51" s="3" t="s">
        <v>13</v>
      </c>
      <c r="I51" s="3" t="s">
        <v>8</v>
      </c>
      <c r="J51" s="1">
        <v>0</v>
      </c>
      <c r="K51" s="12">
        <v>0</v>
      </c>
      <c r="L51" s="1"/>
      <c r="M51" s="12"/>
      <c r="N51"/>
      <c r="O51"/>
      <c r="P51" s="2" t="str">
        <f>IF(BD_Receitas[[#This Row],[TIPO DE COBRANÇA]]="Operação Normal",
_xlfn.XLOOKUP(BD_Receitas[[#This Row],[ID]],TabCondicoesComerciais[ID],TabCondicoesComerciais[Volume mínimo 
(m3)],0),"")</f>
        <v/>
      </c>
      <c r="Q51" s="2">
        <f>_xlfn.XLOOKUP(BD_Receitas[[#This Row],[ID]],TabCondicoesComerciais[ID],TabCondicoesComerciais[Vol. 1ºGiro],0)</f>
        <v>340</v>
      </c>
      <c r="R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51" s="1">
        <f xml:space="preserve"> IF(BD_Receitas[[#This Row],[TIPO DE COBRANÇA]]="Operação Normal",
_xlfn.XLOOKUP(BD_Receitas[[#This Row],[ID]],TabCondicoesComerciais[ID],TabCondicoesComerciais[Tarifa 2º Giro],0),0)</f>
        <v>0</v>
      </c>
      <c r="T5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" spans="1:24" hidden="1" x14ac:dyDescent="0.35">
      <c r="A52" s="3" t="s">
        <v>184</v>
      </c>
      <c r="B52" s="11">
        <v>45658</v>
      </c>
      <c r="C52" t="s">
        <v>31</v>
      </c>
      <c r="D52" t="s">
        <v>203</v>
      </c>
      <c r="E52" t="s">
        <v>34</v>
      </c>
      <c r="F52" s="10" t="s">
        <v>26</v>
      </c>
      <c r="G52" s="3" t="s">
        <v>19</v>
      </c>
      <c r="H52" s="3" t="s">
        <v>13</v>
      </c>
      <c r="I52" s="3" t="s">
        <v>15</v>
      </c>
      <c r="J52" s="1">
        <v>16282.577300000001</v>
      </c>
      <c r="K52" s="12">
        <v>545</v>
      </c>
      <c r="L52" s="1">
        <v>15260</v>
      </c>
      <c r="M52" s="12">
        <v>935</v>
      </c>
      <c r="N52" t="s">
        <v>157</v>
      </c>
      <c r="O52"/>
      <c r="P52" s="2">
        <f>IF(BD_Receitas[[#This Row],[TIPO DE COBRANÇA]]="Operação Normal",
_xlfn.XLOOKUP(BD_Receitas[[#This Row],[ID]],TabCondicoesComerciais[ID],TabCondicoesComerciais[Volume mínimo 
(m3)],0),"")</f>
        <v>1020</v>
      </c>
      <c r="Q52" s="2">
        <f>_xlfn.XLOOKUP(BD_Receitas[[#This Row],[ID]],TabCondicoesComerciais[ID],TabCondicoesComerciais[Vol. 1ºGiro],0)</f>
        <v>340</v>
      </c>
      <c r="R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2" s="1">
        <f xml:space="preserve"> IF(BD_Receitas[[#This Row],[TIPO DE COBRANÇA]]="Operação Normal",
_xlfn.XLOOKUP(BD_Receitas[[#This Row],[ID]],TabCondicoesComerciais[ID],TabCondicoesComerciais[Tarifa 2º Giro],0),0)</f>
        <v>28</v>
      </c>
      <c r="T52" s="5">
        <f>IFERROR(IF(BD_Receitas[[#This Row],[TIPO DE COBRANÇA]]&lt;&gt;"Operação Normal","",BD_Receitas[[#This Row],[Valor Total R$]]/ MAX(BD_Receitas[[#This Row],[Vol. Movimentado M³]],
BD_Receitas[[#This Row],[Volume Mínimo ]])
),0)</f>
        <v>14.96078431372549</v>
      </c>
      <c r="U5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16.320855614973262</v>
      </c>
      <c r="V5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5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26180</v>
      </c>
      <c r="X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3" spans="1:24" hidden="1" x14ac:dyDescent="0.35">
      <c r="A53" s="3" t="s">
        <v>184</v>
      </c>
      <c r="B53" s="11">
        <v>45658</v>
      </c>
      <c r="C53" t="s">
        <v>31</v>
      </c>
      <c r="D53" t="s">
        <v>203</v>
      </c>
      <c r="E53" t="s">
        <v>34</v>
      </c>
      <c r="F53" s="10" t="s">
        <v>26</v>
      </c>
      <c r="G53" s="3" t="s">
        <v>19</v>
      </c>
      <c r="H53" s="3" t="s">
        <v>13</v>
      </c>
      <c r="I53" s="3" t="s">
        <v>65</v>
      </c>
      <c r="J53" s="1">
        <v>0</v>
      </c>
      <c r="K53" s="12">
        <v>0</v>
      </c>
      <c r="L53" s="1"/>
      <c r="M53" s="12"/>
      <c r="N53"/>
      <c r="O53"/>
      <c r="P53" s="2" t="str">
        <f>IF(BD_Receitas[[#This Row],[TIPO DE COBRANÇA]]="Operação Normal",
_xlfn.XLOOKUP(BD_Receitas[[#This Row],[ID]],TabCondicoesComerciais[ID],TabCondicoesComerciais[Volume mínimo 
(m3)],0),"")</f>
        <v/>
      </c>
      <c r="Q53" s="2">
        <f>_xlfn.XLOOKUP(BD_Receitas[[#This Row],[ID]],TabCondicoesComerciais[ID],TabCondicoesComerciais[Vol. 1ºGiro],0)</f>
        <v>340</v>
      </c>
      <c r="R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3" s="1">
        <f xml:space="preserve"> IF(BD_Receitas[[#This Row],[TIPO DE COBRANÇA]]="Operação Normal",
_xlfn.XLOOKUP(BD_Receitas[[#This Row],[ID]],TabCondicoesComerciais[ID],TabCondicoesComerciais[Tarifa 2º Giro],0),0)</f>
        <v>0</v>
      </c>
      <c r="T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" spans="1:24" hidden="1" x14ac:dyDescent="0.35">
      <c r="A54" s="3" t="s">
        <v>142</v>
      </c>
      <c r="B54" s="11">
        <v>45689</v>
      </c>
      <c r="C54" t="s">
        <v>31</v>
      </c>
      <c r="D54" t="s">
        <v>202</v>
      </c>
      <c r="E54" t="s">
        <v>36</v>
      </c>
      <c r="F54" s="10" t="s">
        <v>48</v>
      </c>
      <c r="G54" s="3" t="s">
        <v>49</v>
      </c>
      <c r="H54" s="3" t="s">
        <v>52</v>
      </c>
      <c r="I54" s="3" t="s">
        <v>7</v>
      </c>
      <c r="J54" s="1">
        <v>0</v>
      </c>
      <c r="K54" s="12">
        <v>0</v>
      </c>
      <c r="L54" s="1"/>
      <c r="M54" s="12"/>
      <c r="N54"/>
      <c r="O54"/>
      <c r="P54" s="2" t="str">
        <f>IF(BD_Receitas[[#This Row],[TIPO DE COBRANÇA]]="Operação Normal",
_xlfn.XLOOKUP(BD_Receitas[[#This Row],[ID]],TabCondicoesComerciais[ID],TabCondicoesComerciais[Volume mínimo 
(m3)],0),"")</f>
        <v/>
      </c>
      <c r="Q54" s="2">
        <f>_xlfn.XLOOKUP(BD_Receitas[[#This Row],[ID]],TabCondicoesComerciais[ID],TabCondicoesComerciais[Vol. 1ºGiro],0)</f>
        <v>360</v>
      </c>
      <c r="R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54" s="1">
        <f xml:space="preserve"> IF(BD_Receitas[[#This Row],[TIPO DE COBRANÇA]]="Operação Normal",
_xlfn.XLOOKUP(BD_Receitas[[#This Row],[ID]],TabCondicoesComerciais[ID],TabCondicoesComerciais[Tarifa 2º Giro],0),0)</f>
        <v>0</v>
      </c>
      <c r="T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" spans="1:24" hidden="1" x14ac:dyDescent="0.35">
      <c r="A55" s="3" t="s">
        <v>142</v>
      </c>
      <c r="B55" s="11">
        <v>45689</v>
      </c>
      <c r="C55" t="s">
        <v>31</v>
      </c>
      <c r="D55" t="s">
        <v>202</v>
      </c>
      <c r="E55" t="s">
        <v>36</v>
      </c>
      <c r="F55" s="10" t="s">
        <v>48</v>
      </c>
      <c r="G55" s="3" t="s">
        <v>49</v>
      </c>
      <c r="H55" s="3" t="s">
        <v>52</v>
      </c>
      <c r="I55" s="3" t="s">
        <v>8</v>
      </c>
      <c r="J55" s="1">
        <v>0</v>
      </c>
      <c r="K55" s="12">
        <v>0</v>
      </c>
      <c r="L55" s="1"/>
      <c r="M55" s="12"/>
      <c r="N55"/>
      <c r="O55"/>
      <c r="P55" s="2" t="str">
        <f>IF(BD_Receitas[[#This Row],[TIPO DE COBRANÇA]]="Operação Normal",
_xlfn.XLOOKUP(BD_Receitas[[#This Row],[ID]],TabCondicoesComerciais[ID],TabCondicoesComerciais[Volume mínimo 
(m3)],0),"")</f>
        <v/>
      </c>
      <c r="Q55" s="2">
        <f>_xlfn.XLOOKUP(BD_Receitas[[#This Row],[ID]],TabCondicoesComerciais[ID],TabCondicoesComerciais[Vol. 1ºGiro],0)</f>
        <v>360</v>
      </c>
      <c r="R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55" s="1">
        <f xml:space="preserve"> IF(BD_Receitas[[#This Row],[TIPO DE COBRANÇA]]="Operação Normal",
_xlfn.XLOOKUP(BD_Receitas[[#This Row],[ID]],TabCondicoesComerciais[ID],TabCondicoesComerciais[Tarifa 2º Giro],0),0)</f>
        <v>0</v>
      </c>
      <c r="T5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" spans="1:24" hidden="1" x14ac:dyDescent="0.35">
      <c r="A56" s="3" t="s">
        <v>142</v>
      </c>
      <c r="B56" s="11">
        <v>45689</v>
      </c>
      <c r="C56" t="s">
        <v>31</v>
      </c>
      <c r="D56" t="s">
        <v>202</v>
      </c>
      <c r="E56" t="s">
        <v>36</v>
      </c>
      <c r="F56" s="10" t="s">
        <v>48</v>
      </c>
      <c r="G56" s="3" t="s">
        <v>49</v>
      </c>
      <c r="H56" s="3" t="s">
        <v>52</v>
      </c>
      <c r="I56" s="3" t="s">
        <v>15</v>
      </c>
      <c r="J56" s="1">
        <v>89789.3701</v>
      </c>
      <c r="K56" s="12">
        <v>2040</v>
      </c>
      <c r="L56" s="1">
        <v>83456.399999999994</v>
      </c>
      <c r="M56" s="12">
        <v>480.48200000000003</v>
      </c>
      <c r="N56" t="s">
        <v>160</v>
      </c>
      <c r="O56"/>
      <c r="P56" s="2">
        <f>IF(BD_Receitas[[#This Row],[TIPO DE COBRANÇA]]="Operação Normal",
_xlfn.XLOOKUP(BD_Receitas[[#This Row],[ID]],TabCondicoesComerciais[ID],TabCondicoesComerciais[Volume mínimo 
(m3)],0),"")</f>
        <v>2040</v>
      </c>
      <c r="Q56" s="2">
        <f>_xlfn.XLOOKUP(BD_Receitas[[#This Row],[ID]],TabCondicoesComerciais[ID],TabCondicoesComerciais[Vol. 1ºGiro],0)</f>
        <v>360</v>
      </c>
      <c r="R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56" s="1">
        <f xml:space="preserve"> IF(BD_Receitas[[#This Row],[TIPO DE COBRANÇA]]="Operação Normal",
_xlfn.XLOOKUP(BD_Receitas[[#This Row],[ID]],TabCondicoesComerciais[ID],TabCondicoesComerciais[Tarifa 2º Giro],0),0)</f>
        <v>42.64</v>
      </c>
      <c r="T56" s="5">
        <f>IFERROR(IF(BD_Receitas[[#This Row],[TIPO DE COBRANÇA]]&lt;&gt;"Operação Normal","",BD_Receitas[[#This Row],[Valor Total R$]]/ MAX(BD_Receitas[[#This Row],[Vol. Movimentado M³]],
BD_Receitas[[#This Row],[Volume Mínimo ]])
),0)</f>
        <v>40.909999999999997</v>
      </c>
      <c r="U5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173.69308319562438</v>
      </c>
      <c r="V5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5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20487.752480000003</v>
      </c>
      <c r="X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7" spans="1:24" hidden="1" x14ac:dyDescent="0.35">
      <c r="A57" s="3" t="s">
        <v>142</v>
      </c>
      <c r="B57" s="11">
        <v>45689</v>
      </c>
      <c r="C57" t="s">
        <v>31</v>
      </c>
      <c r="D57" t="s">
        <v>202</v>
      </c>
      <c r="E57" t="s">
        <v>36</v>
      </c>
      <c r="F57" s="10" t="s">
        <v>48</v>
      </c>
      <c r="G57" s="3" t="s">
        <v>49</v>
      </c>
      <c r="H57" s="3" t="s">
        <v>52</v>
      </c>
      <c r="I57" s="3" t="s">
        <v>65</v>
      </c>
      <c r="J57" s="1">
        <v>0</v>
      </c>
      <c r="K57" s="12">
        <v>0</v>
      </c>
      <c r="L57" s="1"/>
      <c r="M57" s="12"/>
      <c r="N57"/>
      <c r="O57"/>
      <c r="P57" s="2" t="str">
        <f>IF(BD_Receitas[[#This Row],[TIPO DE COBRANÇA]]="Operação Normal",
_xlfn.XLOOKUP(BD_Receitas[[#This Row],[ID]],TabCondicoesComerciais[ID],TabCondicoesComerciais[Volume mínimo 
(m3)],0),"")</f>
        <v/>
      </c>
      <c r="Q57" s="2">
        <f>_xlfn.XLOOKUP(BD_Receitas[[#This Row],[ID]],TabCondicoesComerciais[ID],TabCondicoesComerciais[Vol. 1ºGiro],0)</f>
        <v>360</v>
      </c>
      <c r="R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" s="1">
        <f xml:space="preserve"> IF(BD_Receitas[[#This Row],[TIPO DE COBRANÇA]]="Operação Normal",
_xlfn.XLOOKUP(BD_Receitas[[#This Row],[ID]],TabCondicoesComerciais[ID],TabCondicoesComerciais[Tarifa 2º Giro],0),0)</f>
        <v>0</v>
      </c>
      <c r="T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" spans="1:24" hidden="1" x14ac:dyDescent="0.35">
      <c r="A58" s="3" t="s">
        <v>139</v>
      </c>
      <c r="B58" s="11">
        <v>45689</v>
      </c>
      <c r="C58" t="s">
        <v>31</v>
      </c>
      <c r="D58" t="s">
        <v>202</v>
      </c>
      <c r="E58" t="s">
        <v>36</v>
      </c>
      <c r="F58" s="10" t="s">
        <v>48</v>
      </c>
      <c r="G58" s="3" t="s">
        <v>49</v>
      </c>
      <c r="H58" s="3" t="s">
        <v>14</v>
      </c>
      <c r="I58" s="3" t="s">
        <v>7</v>
      </c>
      <c r="J58" s="1">
        <v>0</v>
      </c>
      <c r="K58" s="12">
        <v>0</v>
      </c>
      <c r="L58" s="1"/>
      <c r="M58" s="12"/>
      <c r="N58"/>
      <c r="O58"/>
      <c r="P58" s="2" t="str">
        <f>IF(BD_Receitas[[#This Row],[TIPO DE COBRANÇA]]="Operação Normal",
_xlfn.XLOOKUP(BD_Receitas[[#This Row],[ID]],TabCondicoesComerciais[ID],TabCondicoesComerciais[Volume mínimo 
(m3)],0),"")</f>
        <v/>
      </c>
      <c r="Q58" s="2">
        <f>_xlfn.XLOOKUP(BD_Receitas[[#This Row],[ID]],TabCondicoesComerciais[ID],TabCondicoesComerciais[Vol. 1ºGiro],0)</f>
        <v>365</v>
      </c>
      <c r="R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8" s="1">
        <f xml:space="preserve"> IF(BD_Receitas[[#This Row],[TIPO DE COBRANÇA]]="Operação Normal",
_xlfn.XLOOKUP(BD_Receitas[[#This Row],[ID]],TabCondicoesComerciais[ID],TabCondicoesComerciais[Tarifa 2º Giro],0),0)</f>
        <v>0</v>
      </c>
      <c r="T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" spans="1:24" hidden="1" x14ac:dyDescent="0.35">
      <c r="A59" s="3" t="s">
        <v>139</v>
      </c>
      <c r="B59" s="11">
        <v>45689</v>
      </c>
      <c r="C59" t="s">
        <v>31</v>
      </c>
      <c r="D59" t="s">
        <v>202</v>
      </c>
      <c r="E59" t="s">
        <v>36</v>
      </c>
      <c r="F59" s="10" t="s">
        <v>48</v>
      </c>
      <c r="G59" s="3" t="s">
        <v>49</v>
      </c>
      <c r="H59" s="3" t="s">
        <v>14</v>
      </c>
      <c r="I59" s="3" t="s">
        <v>8</v>
      </c>
      <c r="J59" s="1">
        <v>0</v>
      </c>
      <c r="K59" s="12">
        <v>0</v>
      </c>
      <c r="L59" s="1"/>
      <c r="M59" s="12"/>
      <c r="N59"/>
      <c r="O59"/>
      <c r="P59" s="2" t="str">
        <f>IF(BD_Receitas[[#This Row],[TIPO DE COBRANÇA]]="Operação Normal",
_xlfn.XLOOKUP(BD_Receitas[[#This Row],[ID]],TabCondicoesComerciais[ID],TabCondicoesComerciais[Volume mínimo 
(m3)],0),"")</f>
        <v/>
      </c>
      <c r="Q59" s="2">
        <f>_xlfn.XLOOKUP(BD_Receitas[[#This Row],[ID]],TabCondicoesComerciais[ID],TabCondicoesComerciais[Vol. 1ºGiro],0)</f>
        <v>365</v>
      </c>
      <c r="R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9" s="1">
        <f xml:space="preserve"> IF(BD_Receitas[[#This Row],[TIPO DE COBRANÇA]]="Operação Normal",
_xlfn.XLOOKUP(BD_Receitas[[#This Row],[ID]],TabCondicoesComerciais[ID],TabCondicoesComerciais[Tarifa 2º Giro],0),0)</f>
        <v>0</v>
      </c>
      <c r="T5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" spans="1:24" hidden="1" x14ac:dyDescent="0.35">
      <c r="A60" s="3" t="s">
        <v>139</v>
      </c>
      <c r="B60" s="11">
        <v>45689</v>
      </c>
      <c r="C60" t="s">
        <v>31</v>
      </c>
      <c r="D60" t="s">
        <v>202</v>
      </c>
      <c r="E60" t="s">
        <v>36</v>
      </c>
      <c r="F60" s="10" t="s">
        <v>48</v>
      </c>
      <c r="G60" s="3" t="s">
        <v>49</v>
      </c>
      <c r="H60" s="3" t="s">
        <v>14</v>
      </c>
      <c r="I60" s="3" t="s">
        <v>15</v>
      </c>
      <c r="J60" s="1">
        <v>28839.059300000001</v>
      </c>
      <c r="K60" s="12">
        <v>1500</v>
      </c>
      <c r="L60" s="1">
        <v>16726.32</v>
      </c>
      <c r="M60" s="12">
        <v>619.94899999999996</v>
      </c>
      <c r="N60" t="s">
        <v>161</v>
      </c>
      <c r="O60"/>
      <c r="P60" s="2">
        <f>IF(BD_Receitas[[#This Row],[TIPO DE COBRANÇA]]="Operação Normal",
_xlfn.XLOOKUP(BD_Receitas[[#This Row],[ID]],TabCondicoesComerciais[ID],TabCondicoesComerciais[Volume mínimo 
(m3)],0),"")</f>
        <v>936</v>
      </c>
      <c r="Q60" s="2">
        <f>_xlfn.XLOOKUP(BD_Receitas[[#This Row],[ID]],TabCondicoesComerciais[ID],TabCondicoesComerciais[Vol. 1ºGiro],0)</f>
        <v>365</v>
      </c>
      <c r="R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60" s="1">
        <f xml:space="preserve"> IF(BD_Receitas[[#This Row],[TIPO DE COBRANÇA]]="Operação Normal",
_xlfn.XLOOKUP(BD_Receitas[[#This Row],[ID]],TabCondicoesComerciais[ID],TabCondicoesComerciais[Tarifa 2º Giro],0),0)</f>
        <v>17.87</v>
      </c>
      <c r="T60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6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26.98015481918674</v>
      </c>
      <c r="V6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6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11078.48863</v>
      </c>
      <c r="X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61" spans="1:24" hidden="1" x14ac:dyDescent="0.35">
      <c r="A61" s="3" t="s">
        <v>139</v>
      </c>
      <c r="B61" s="11">
        <v>45689</v>
      </c>
      <c r="C61" t="s">
        <v>31</v>
      </c>
      <c r="D61" t="s">
        <v>202</v>
      </c>
      <c r="E61" t="s">
        <v>36</v>
      </c>
      <c r="F61" s="10" t="s">
        <v>48</v>
      </c>
      <c r="G61" s="3" t="s">
        <v>49</v>
      </c>
      <c r="H61" s="3" t="s">
        <v>14</v>
      </c>
      <c r="I61" s="3" t="s">
        <v>65</v>
      </c>
      <c r="J61" s="1">
        <v>0</v>
      </c>
      <c r="K61" s="12">
        <v>0</v>
      </c>
      <c r="L61" s="1"/>
      <c r="M61" s="12"/>
      <c r="N61"/>
      <c r="O61"/>
      <c r="P61" s="2" t="str">
        <f>IF(BD_Receitas[[#This Row],[TIPO DE COBRANÇA]]="Operação Normal",
_xlfn.XLOOKUP(BD_Receitas[[#This Row],[ID]],TabCondicoesComerciais[ID],TabCondicoesComerciais[Volume mínimo 
(m3)],0),"")</f>
        <v/>
      </c>
      <c r="Q61" s="2">
        <f>_xlfn.XLOOKUP(BD_Receitas[[#This Row],[ID]],TabCondicoesComerciais[ID],TabCondicoesComerciais[Vol. 1ºGiro],0)</f>
        <v>365</v>
      </c>
      <c r="R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1" s="1">
        <f xml:space="preserve"> IF(BD_Receitas[[#This Row],[TIPO DE COBRANÇA]]="Operação Normal",
_xlfn.XLOOKUP(BD_Receitas[[#This Row],[ID]],TabCondicoesComerciais[ID],TabCondicoesComerciais[Tarifa 2º Giro],0),0)</f>
        <v>0</v>
      </c>
      <c r="T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" spans="1:24" hidden="1" x14ac:dyDescent="0.35">
      <c r="A62" s="3" t="s">
        <v>25</v>
      </c>
      <c r="B62" s="11">
        <v>45689</v>
      </c>
      <c r="C62" t="s">
        <v>31</v>
      </c>
      <c r="D62" t="s">
        <v>202</v>
      </c>
      <c r="E62" t="s">
        <v>36</v>
      </c>
      <c r="F62" s="10" t="s">
        <v>48</v>
      </c>
      <c r="G62" s="3" t="s">
        <v>49</v>
      </c>
      <c r="H62" s="3" t="s">
        <v>116</v>
      </c>
      <c r="I62" s="3" t="s">
        <v>7</v>
      </c>
      <c r="J62" s="1">
        <v>0</v>
      </c>
      <c r="K62" s="12">
        <v>0</v>
      </c>
      <c r="L62" s="1"/>
      <c r="M62" s="12"/>
      <c r="N62"/>
      <c r="O62"/>
      <c r="P62" s="2" t="str">
        <f>IF(BD_Receitas[[#This Row],[TIPO DE COBRANÇA]]="Operação Normal",
_xlfn.XLOOKUP(BD_Receitas[[#This Row],[ID]],TabCondicoesComerciais[ID],TabCondicoesComerciais[Volume mínimo 
(m3)],0),"")</f>
        <v/>
      </c>
      <c r="Q62" s="2">
        <f>_xlfn.XLOOKUP(BD_Receitas[[#This Row],[ID]],TabCondicoesComerciais[ID],TabCondicoesComerciais[Vol. 1ºGiro],0)</f>
        <v>100</v>
      </c>
      <c r="R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" s="1">
        <f xml:space="preserve"> IF(BD_Receitas[[#This Row],[TIPO DE COBRANÇA]]="Operação Normal",
_xlfn.XLOOKUP(BD_Receitas[[#This Row],[ID]],TabCondicoesComerciais[ID],TabCondicoesComerciais[Tarifa 2º Giro],0),0)</f>
        <v>0</v>
      </c>
      <c r="T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" spans="1:24" hidden="1" x14ac:dyDescent="0.35">
      <c r="A63" s="3" t="s">
        <v>25</v>
      </c>
      <c r="B63" s="11">
        <v>45689</v>
      </c>
      <c r="C63" t="s">
        <v>31</v>
      </c>
      <c r="D63" t="s">
        <v>202</v>
      </c>
      <c r="E63" t="s">
        <v>36</v>
      </c>
      <c r="F63" s="10" t="s">
        <v>48</v>
      </c>
      <c r="G63" s="3" t="s">
        <v>49</v>
      </c>
      <c r="H63" s="3" t="s">
        <v>116</v>
      </c>
      <c r="I63" s="3" t="s">
        <v>8</v>
      </c>
      <c r="J63" s="1">
        <v>0</v>
      </c>
      <c r="K63" s="12">
        <v>0</v>
      </c>
      <c r="L63" s="1"/>
      <c r="M63" s="12"/>
      <c r="N63"/>
      <c r="O63"/>
      <c r="P63" s="2" t="str">
        <f>IF(BD_Receitas[[#This Row],[TIPO DE COBRANÇA]]="Operação Normal",
_xlfn.XLOOKUP(BD_Receitas[[#This Row],[ID]],TabCondicoesComerciais[ID],TabCondicoesComerciais[Volume mínimo 
(m3)],0),"")</f>
        <v/>
      </c>
      <c r="Q63" s="2">
        <f>_xlfn.XLOOKUP(BD_Receitas[[#This Row],[ID]],TabCondicoesComerciais[ID],TabCondicoesComerciais[Vol. 1ºGiro],0)</f>
        <v>100</v>
      </c>
      <c r="R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3" s="1">
        <f xml:space="preserve"> IF(BD_Receitas[[#This Row],[TIPO DE COBRANÇA]]="Operação Normal",
_xlfn.XLOOKUP(BD_Receitas[[#This Row],[ID]],TabCondicoesComerciais[ID],TabCondicoesComerciais[Tarifa 2º Giro],0),0)</f>
        <v>0</v>
      </c>
      <c r="T6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" spans="1:24" hidden="1" x14ac:dyDescent="0.35">
      <c r="A64" s="3" t="s">
        <v>25</v>
      </c>
      <c r="B64" s="11">
        <v>45689</v>
      </c>
      <c r="C64" t="s">
        <v>31</v>
      </c>
      <c r="D64" t="s">
        <v>202</v>
      </c>
      <c r="E64" t="s">
        <v>36</v>
      </c>
      <c r="F64" s="10" t="s">
        <v>48</v>
      </c>
      <c r="G64" s="3" t="s">
        <v>49</v>
      </c>
      <c r="H64" s="3" t="s">
        <v>116</v>
      </c>
      <c r="I64" s="3" t="s">
        <v>15</v>
      </c>
      <c r="J64" s="1">
        <v>9729.7296999999999</v>
      </c>
      <c r="K64" s="12">
        <v>300</v>
      </c>
      <c r="L64" s="1"/>
      <c r="M64" s="12"/>
      <c r="N64"/>
      <c r="O64"/>
      <c r="P64" s="2">
        <f>IF(BD_Receitas[[#This Row],[TIPO DE COBRANÇA]]="Operação Normal",
_xlfn.XLOOKUP(BD_Receitas[[#This Row],[ID]],TabCondicoesComerciais[ID],TabCondicoesComerciais[Volume mínimo 
(m3)],0),"")</f>
        <v>300</v>
      </c>
      <c r="Q64" s="2">
        <f>_xlfn.XLOOKUP(BD_Receitas[[#This Row],[ID]],TabCondicoesComerciais[ID],TabCondicoesComerciais[Vol. 1ºGiro],0)</f>
        <v>100</v>
      </c>
      <c r="R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64" s="1">
        <f xml:space="preserve"> IF(BD_Receitas[[#This Row],[TIPO DE COBRANÇA]]="Operação Normal",
_xlfn.XLOOKUP(BD_Receitas[[#This Row],[ID]],TabCondicoesComerciais[ID],TabCondicoesComerciais[Tarifa 2º Giro],0),0)</f>
        <v>30</v>
      </c>
      <c r="T64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6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5" spans="1:24" hidden="1" x14ac:dyDescent="0.35">
      <c r="A65" s="3" t="s">
        <v>25</v>
      </c>
      <c r="B65" s="11">
        <v>45689</v>
      </c>
      <c r="C65" t="s">
        <v>31</v>
      </c>
      <c r="D65" t="s">
        <v>202</v>
      </c>
      <c r="E65" t="s">
        <v>36</v>
      </c>
      <c r="F65" s="10" t="s">
        <v>48</v>
      </c>
      <c r="G65" s="3" t="s">
        <v>49</v>
      </c>
      <c r="H65" s="3" t="s">
        <v>116</v>
      </c>
      <c r="I65" s="3" t="s">
        <v>65</v>
      </c>
      <c r="J65" s="1">
        <v>0</v>
      </c>
      <c r="K65" s="12">
        <v>0</v>
      </c>
      <c r="L65" s="1"/>
      <c r="M65" s="12"/>
      <c r="N65"/>
      <c r="O65"/>
      <c r="P65" s="2" t="str">
        <f>IF(BD_Receitas[[#This Row],[TIPO DE COBRANÇA]]="Operação Normal",
_xlfn.XLOOKUP(BD_Receitas[[#This Row],[ID]],TabCondicoesComerciais[ID],TabCondicoesComerciais[Volume mínimo 
(m3)],0),"")</f>
        <v/>
      </c>
      <c r="Q65" s="2">
        <f>_xlfn.XLOOKUP(BD_Receitas[[#This Row],[ID]],TabCondicoesComerciais[ID],TabCondicoesComerciais[Vol. 1ºGiro],0)</f>
        <v>100</v>
      </c>
      <c r="R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5" s="1">
        <f xml:space="preserve"> IF(BD_Receitas[[#This Row],[TIPO DE COBRANÇA]]="Operação Normal",
_xlfn.XLOOKUP(BD_Receitas[[#This Row],[ID]],TabCondicoesComerciais[ID],TabCondicoesComerciais[Tarifa 2º Giro],0),0)</f>
        <v>0</v>
      </c>
      <c r="T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" spans="1:24" hidden="1" x14ac:dyDescent="0.35">
      <c r="A66" s="3" t="s">
        <v>102</v>
      </c>
      <c r="B66" s="11">
        <v>45689</v>
      </c>
      <c r="C66" t="s">
        <v>31</v>
      </c>
      <c r="D66" t="s">
        <v>202</v>
      </c>
      <c r="E66" t="s">
        <v>36</v>
      </c>
      <c r="F66" s="10" t="s">
        <v>48</v>
      </c>
      <c r="G66" s="3" t="s">
        <v>49</v>
      </c>
      <c r="H66" s="3" t="s">
        <v>51</v>
      </c>
      <c r="I66" s="3" t="s">
        <v>7</v>
      </c>
      <c r="J66" s="1">
        <v>0</v>
      </c>
      <c r="K66" s="12">
        <v>0</v>
      </c>
      <c r="L66" s="1"/>
      <c r="M66" s="12"/>
      <c r="N66"/>
      <c r="O66"/>
      <c r="P66" s="2" t="str">
        <f>IF(BD_Receitas[[#This Row],[TIPO DE COBRANÇA]]="Operação Normal",
_xlfn.XLOOKUP(BD_Receitas[[#This Row],[ID]],TabCondicoesComerciais[ID],TabCondicoesComerciais[Volume mínimo 
(m3)],0),"")</f>
        <v/>
      </c>
      <c r="Q66" s="2">
        <f>_xlfn.XLOOKUP(BD_Receitas[[#This Row],[ID]],TabCondicoesComerciais[ID],TabCondicoesComerciais[Vol. 1ºGiro],0)</f>
        <v>750</v>
      </c>
      <c r="R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66" s="1">
        <f xml:space="preserve"> IF(BD_Receitas[[#This Row],[TIPO DE COBRANÇA]]="Operação Normal",
_xlfn.XLOOKUP(BD_Receitas[[#This Row],[ID]],TabCondicoesComerciais[ID],TabCondicoesComerciais[Tarifa 2º Giro],0),0)</f>
        <v>0</v>
      </c>
      <c r="T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" spans="1:24" hidden="1" x14ac:dyDescent="0.35">
      <c r="A67" s="3" t="s">
        <v>102</v>
      </c>
      <c r="B67" s="11">
        <v>45689</v>
      </c>
      <c r="C67" t="s">
        <v>31</v>
      </c>
      <c r="D67" t="s">
        <v>202</v>
      </c>
      <c r="E67" t="s">
        <v>36</v>
      </c>
      <c r="F67" s="10" t="s">
        <v>48</v>
      </c>
      <c r="G67" s="3" t="s">
        <v>49</v>
      </c>
      <c r="H67" s="3" t="s">
        <v>51</v>
      </c>
      <c r="I67" s="3" t="s">
        <v>8</v>
      </c>
      <c r="J67" s="1">
        <v>0</v>
      </c>
      <c r="K67" s="12">
        <v>0</v>
      </c>
      <c r="L67" s="1"/>
      <c r="M67" s="12"/>
      <c r="N67"/>
      <c r="O67"/>
      <c r="P67" s="2" t="str">
        <f>IF(BD_Receitas[[#This Row],[TIPO DE COBRANÇA]]="Operação Normal",
_xlfn.XLOOKUP(BD_Receitas[[#This Row],[ID]],TabCondicoesComerciais[ID],TabCondicoesComerciais[Volume mínimo 
(m3)],0),"")</f>
        <v/>
      </c>
      <c r="Q67" s="2">
        <f>_xlfn.XLOOKUP(BD_Receitas[[#This Row],[ID]],TabCondicoesComerciais[ID],TabCondicoesComerciais[Vol. 1ºGiro],0)</f>
        <v>750</v>
      </c>
      <c r="R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67" s="1">
        <f xml:space="preserve"> IF(BD_Receitas[[#This Row],[TIPO DE COBRANÇA]]="Operação Normal",
_xlfn.XLOOKUP(BD_Receitas[[#This Row],[ID]],TabCondicoesComerciais[ID],TabCondicoesComerciais[Tarifa 2º Giro],0),0)</f>
        <v>0</v>
      </c>
      <c r="T6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" spans="1:24" hidden="1" x14ac:dyDescent="0.35">
      <c r="A68" s="3" t="s">
        <v>102</v>
      </c>
      <c r="B68" s="11">
        <v>45689</v>
      </c>
      <c r="C68" t="s">
        <v>31</v>
      </c>
      <c r="D68" t="s">
        <v>202</v>
      </c>
      <c r="E68" t="s">
        <v>36</v>
      </c>
      <c r="F68" s="10" t="s">
        <v>48</v>
      </c>
      <c r="G68" s="3" t="s">
        <v>49</v>
      </c>
      <c r="H68" s="3" t="s">
        <v>51</v>
      </c>
      <c r="I68" s="3" t="s">
        <v>15</v>
      </c>
      <c r="J68" s="1">
        <v>226720.94589999999</v>
      </c>
      <c r="K68" s="12">
        <v>6500</v>
      </c>
      <c r="L68" s="1">
        <v>210730</v>
      </c>
      <c r="M68" s="12">
        <v>4578.2749999999996</v>
      </c>
      <c r="N68" t="s">
        <v>162</v>
      </c>
      <c r="O68"/>
      <c r="P68" s="2">
        <f>IF(BD_Receitas[[#This Row],[TIPO DE COBRANÇA]]="Operação Normal",
_xlfn.XLOOKUP(BD_Receitas[[#This Row],[ID]],TabCondicoesComerciais[ID],TabCondicoesComerciais[Volume mínimo 
(m3)],0),"")</f>
        <v>6500</v>
      </c>
      <c r="Q68" s="2">
        <f>_xlfn.XLOOKUP(BD_Receitas[[#This Row],[ID]],TabCondicoesComerciais[ID],TabCondicoesComerciais[Vol. 1ºGiro],0)</f>
        <v>750</v>
      </c>
      <c r="R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68" s="1">
        <f xml:space="preserve"> IF(BD_Receitas[[#This Row],[TIPO DE COBRANÇA]]="Operação Normal",
_xlfn.XLOOKUP(BD_Receitas[[#This Row],[ID]],TabCondicoesComerciais[ID],TabCondicoesComerciais[Tarifa 2º Giro],0),0)</f>
        <v>32.42</v>
      </c>
      <c r="T68" s="5">
        <f>IFERROR(IF(BD_Receitas[[#This Row],[TIPO DE COBRANÇA]]&lt;&gt;"Operação Normal","",BD_Receitas[[#This Row],[Valor Total R$]]/ MAX(BD_Receitas[[#This Row],[Vol. Movimentado M³]],
BD_Receitas[[#This Row],[Volume Mínimo ]])
),0)</f>
        <v>32.42</v>
      </c>
      <c r="U6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46.028252999219141</v>
      </c>
      <c r="V6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6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148427.67550000001</v>
      </c>
      <c r="X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69" spans="1:24" hidden="1" x14ac:dyDescent="0.35">
      <c r="A69" s="3" t="s">
        <v>102</v>
      </c>
      <c r="B69" s="11">
        <v>45689</v>
      </c>
      <c r="C69" t="s">
        <v>31</v>
      </c>
      <c r="D69" t="s">
        <v>202</v>
      </c>
      <c r="E69" t="s">
        <v>36</v>
      </c>
      <c r="F69" s="10" t="s">
        <v>48</v>
      </c>
      <c r="G69" s="3" t="s">
        <v>49</v>
      </c>
      <c r="H69" s="3" t="s">
        <v>51</v>
      </c>
      <c r="I69" s="3" t="s">
        <v>65</v>
      </c>
      <c r="J69" s="1">
        <v>0</v>
      </c>
      <c r="K69" s="12">
        <v>0</v>
      </c>
      <c r="L69" s="1"/>
      <c r="M69" s="12"/>
      <c r="N69"/>
      <c r="O69"/>
      <c r="P69" s="2" t="str">
        <f>IF(BD_Receitas[[#This Row],[TIPO DE COBRANÇA]]="Operação Normal",
_xlfn.XLOOKUP(BD_Receitas[[#This Row],[ID]],TabCondicoesComerciais[ID],TabCondicoesComerciais[Volume mínimo 
(m3)],0),"")</f>
        <v/>
      </c>
      <c r="Q69" s="2">
        <f>_xlfn.XLOOKUP(BD_Receitas[[#This Row],[ID]],TabCondicoesComerciais[ID],TabCondicoesComerciais[Vol. 1ºGiro],0)</f>
        <v>750</v>
      </c>
      <c r="R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" s="1">
        <f xml:space="preserve"> IF(BD_Receitas[[#This Row],[TIPO DE COBRANÇA]]="Operação Normal",
_xlfn.XLOOKUP(BD_Receitas[[#This Row],[ID]],TabCondicoesComerciais[ID],TabCondicoesComerciais[Tarifa 2º Giro],0),0)</f>
        <v>0</v>
      </c>
      <c r="T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" spans="1:24" hidden="1" x14ac:dyDescent="0.35">
      <c r="A70" s="3" t="s">
        <v>190</v>
      </c>
      <c r="B70" s="11">
        <v>45689</v>
      </c>
      <c r="C70" t="s">
        <v>31</v>
      </c>
      <c r="D70" t="s">
        <v>202</v>
      </c>
      <c r="E70" t="s">
        <v>35</v>
      </c>
      <c r="F70" s="10" t="s">
        <v>22</v>
      </c>
      <c r="G70" s="3" t="s">
        <v>11</v>
      </c>
      <c r="H70" s="3" t="s">
        <v>116</v>
      </c>
      <c r="I70" s="3" t="s">
        <v>7</v>
      </c>
      <c r="J70" s="1">
        <v>0</v>
      </c>
      <c r="K70" s="12">
        <v>0</v>
      </c>
      <c r="L70" s="1"/>
      <c r="M70" s="12"/>
      <c r="N70"/>
      <c r="O70"/>
      <c r="P70" s="2" t="str">
        <f>IF(BD_Receitas[[#This Row],[TIPO DE COBRANÇA]]="Operação Normal",
_xlfn.XLOOKUP(BD_Receitas[[#This Row],[ID]],TabCondicoesComerciais[ID],TabCondicoesComerciais[Volume mínimo 
(m3)],0),"")</f>
        <v/>
      </c>
      <c r="Q70" s="2">
        <f>_xlfn.XLOOKUP(BD_Receitas[[#This Row],[ID]],TabCondicoesComerciais[ID],TabCondicoesComerciais[Vol. 1ºGiro],0)</f>
        <v>580</v>
      </c>
      <c r="R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0" s="1">
        <f xml:space="preserve"> IF(BD_Receitas[[#This Row],[TIPO DE COBRANÇA]]="Operação Normal",
_xlfn.XLOOKUP(BD_Receitas[[#This Row],[ID]],TabCondicoesComerciais[ID],TabCondicoesComerciais[Tarifa 2º Giro],0),0)</f>
        <v>0</v>
      </c>
      <c r="T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" spans="1:24" hidden="1" x14ac:dyDescent="0.35">
      <c r="A71" s="3" t="s">
        <v>190</v>
      </c>
      <c r="B71" s="11">
        <v>45689</v>
      </c>
      <c r="C71" t="s">
        <v>31</v>
      </c>
      <c r="D71" t="s">
        <v>202</v>
      </c>
      <c r="E71" t="s">
        <v>35</v>
      </c>
      <c r="F71" s="10" t="s">
        <v>22</v>
      </c>
      <c r="G71" s="3" t="s">
        <v>11</v>
      </c>
      <c r="H71" s="3" t="s">
        <v>116</v>
      </c>
      <c r="I71" s="3" t="s">
        <v>8</v>
      </c>
      <c r="J71" s="1">
        <v>0</v>
      </c>
      <c r="K71" s="12">
        <v>0</v>
      </c>
      <c r="L71" s="1"/>
      <c r="M71" s="12"/>
      <c r="N71"/>
      <c r="O71"/>
      <c r="P71" s="2" t="str">
        <f>IF(BD_Receitas[[#This Row],[TIPO DE COBRANÇA]]="Operação Normal",
_xlfn.XLOOKUP(BD_Receitas[[#This Row],[ID]],TabCondicoesComerciais[ID],TabCondicoesComerciais[Volume mínimo 
(m3)],0),"")</f>
        <v/>
      </c>
      <c r="Q71" s="2">
        <f>_xlfn.XLOOKUP(BD_Receitas[[#This Row],[ID]],TabCondicoesComerciais[ID],TabCondicoesComerciais[Vol. 1ºGiro],0)</f>
        <v>580</v>
      </c>
      <c r="R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" s="1">
        <f xml:space="preserve"> IF(BD_Receitas[[#This Row],[TIPO DE COBRANÇA]]="Operação Normal",
_xlfn.XLOOKUP(BD_Receitas[[#This Row],[ID]],TabCondicoesComerciais[ID],TabCondicoesComerciais[Tarifa 2º Giro],0),0)</f>
        <v>0</v>
      </c>
      <c r="T7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" spans="1:24" hidden="1" x14ac:dyDescent="0.35">
      <c r="A72" s="3" t="s">
        <v>190</v>
      </c>
      <c r="B72" s="11">
        <v>45689</v>
      </c>
      <c r="C72" t="s">
        <v>31</v>
      </c>
      <c r="D72" t="s">
        <v>202</v>
      </c>
      <c r="E72" t="s">
        <v>35</v>
      </c>
      <c r="F72" s="10" t="s">
        <v>22</v>
      </c>
      <c r="G72" s="3" t="s">
        <v>11</v>
      </c>
      <c r="H72" s="3" t="s">
        <v>116</v>
      </c>
      <c r="I72" s="3" t="s">
        <v>15</v>
      </c>
      <c r="J72" s="1">
        <v>59115.789499999999</v>
      </c>
      <c r="K72" s="12">
        <v>2000</v>
      </c>
      <c r="L72" s="1"/>
      <c r="M72" s="12"/>
      <c r="N72"/>
      <c r="O72"/>
      <c r="P72" s="2">
        <f>IF(BD_Receitas[[#This Row],[TIPO DE COBRANÇA]]="Operação Normal",
_xlfn.XLOOKUP(BD_Receitas[[#This Row],[ID]],TabCondicoesComerciais[ID],TabCondicoesComerciais[Volume mínimo 
(m3)],0),"")</f>
        <v>2000</v>
      </c>
      <c r="Q72" s="2">
        <f>_xlfn.XLOOKUP(BD_Receitas[[#This Row],[ID]],TabCondicoesComerciais[ID],TabCondicoesComerciais[Vol. 1ºGiro],0)</f>
        <v>580</v>
      </c>
      <c r="R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72" s="1">
        <f xml:space="preserve"> IF(BD_Receitas[[#This Row],[TIPO DE COBRANÇA]]="Operação Normal",
_xlfn.XLOOKUP(BD_Receitas[[#This Row],[ID]],TabCondicoesComerciais[ID],TabCondicoesComerciais[Tarifa 2º Giro],0),0)</f>
        <v>27</v>
      </c>
      <c r="T72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7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7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7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3" spans="1:24" hidden="1" x14ac:dyDescent="0.35">
      <c r="A73" s="3" t="s">
        <v>190</v>
      </c>
      <c r="B73" s="11">
        <v>45689</v>
      </c>
      <c r="C73" t="s">
        <v>31</v>
      </c>
      <c r="D73" t="s">
        <v>202</v>
      </c>
      <c r="E73" t="s">
        <v>35</v>
      </c>
      <c r="F73" s="10" t="s">
        <v>22</v>
      </c>
      <c r="G73" s="3" t="s">
        <v>11</v>
      </c>
      <c r="H73" s="3" t="s">
        <v>116</v>
      </c>
      <c r="I73" s="3" t="s">
        <v>65</v>
      </c>
      <c r="J73" s="1">
        <v>0</v>
      </c>
      <c r="K73" s="12">
        <v>0</v>
      </c>
      <c r="L73" s="1"/>
      <c r="M73" s="12"/>
      <c r="N73"/>
      <c r="O73"/>
      <c r="P73" s="2" t="str">
        <f>IF(BD_Receitas[[#This Row],[TIPO DE COBRANÇA]]="Operação Normal",
_xlfn.XLOOKUP(BD_Receitas[[#This Row],[ID]],TabCondicoesComerciais[ID],TabCondicoesComerciais[Volume mínimo 
(m3)],0),"")</f>
        <v/>
      </c>
      <c r="Q73" s="2">
        <f>_xlfn.XLOOKUP(BD_Receitas[[#This Row],[ID]],TabCondicoesComerciais[ID],TabCondicoesComerciais[Vol. 1ºGiro],0)</f>
        <v>580</v>
      </c>
      <c r="R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3" s="1">
        <f xml:space="preserve"> IF(BD_Receitas[[#This Row],[TIPO DE COBRANÇA]]="Operação Normal",
_xlfn.XLOOKUP(BD_Receitas[[#This Row],[ID]],TabCondicoesComerciais[ID],TabCondicoesComerciais[Tarifa 2º Giro],0),0)</f>
        <v>0</v>
      </c>
      <c r="T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" spans="1:24" hidden="1" x14ac:dyDescent="0.35">
      <c r="A74" s="3" t="s">
        <v>172</v>
      </c>
      <c r="B74" s="11">
        <v>45689</v>
      </c>
      <c r="C74" t="s">
        <v>31</v>
      </c>
      <c r="D74" t="s">
        <v>202</v>
      </c>
      <c r="E74" t="s">
        <v>35</v>
      </c>
      <c r="F74" s="10" t="s">
        <v>22</v>
      </c>
      <c r="G74" s="3" t="s">
        <v>11</v>
      </c>
      <c r="H74" s="3" t="s">
        <v>13</v>
      </c>
      <c r="I74" s="3" t="s">
        <v>7</v>
      </c>
      <c r="J74" s="1">
        <v>0</v>
      </c>
      <c r="K74" s="12">
        <v>0</v>
      </c>
      <c r="L74" s="1">
        <v>2944.8004999999998</v>
      </c>
      <c r="M74" s="12">
        <v>36</v>
      </c>
      <c r="N74" t="s">
        <v>167</v>
      </c>
      <c r="O74"/>
      <c r="P74" s="2" t="str">
        <f>IF(BD_Receitas[[#This Row],[TIPO DE COBRANÇA]]="Operação Normal",
_xlfn.XLOOKUP(BD_Receitas[[#This Row],[ID]],TabCondicoesComerciais[ID],TabCondicoesComerciais[Volume mínimo 
(m3)],0),"")</f>
        <v/>
      </c>
      <c r="Q74" s="2">
        <f>_xlfn.XLOOKUP(BD_Receitas[[#This Row],[ID]],TabCondicoesComerciais[ID],TabCondicoesComerciais[Vol. 1ºGiro],0)</f>
        <v>750</v>
      </c>
      <c r="R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4" s="1">
        <f xml:space="preserve"> IF(BD_Receitas[[#This Row],[TIPO DE COBRANÇA]]="Operação Normal",
_xlfn.XLOOKUP(BD_Receitas[[#This Row],[ID]],TabCondicoesComerciais[ID],TabCondicoesComerciais[Tarifa 2º Giro],0),0)</f>
        <v>0</v>
      </c>
      <c r="T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" spans="1:24" hidden="1" x14ac:dyDescent="0.35">
      <c r="A75" s="3" t="s">
        <v>172</v>
      </c>
      <c r="B75" s="11">
        <v>45689</v>
      </c>
      <c r="C75" t="s">
        <v>31</v>
      </c>
      <c r="D75" t="s">
        <v>202</v>
      </c>
      <c r="E75" t="s">
        <v>35</v>
      </c>
      <c r="F75" s="10" t="s">
        <v>22</v>
      </c>
      <c r="G75" s="3" t="s">
        <v>11</v>
      </c>
      <c r="H75" s="3" t="s">
        <v>13</v>
      </c>
      <c r="I75" s="3" t="s">
        <v>8</v>
      </c>
      <c r="J75" s="1">
        <v>0</v>
      </c>
      <c r="K75" s="12">
        <v>0</v>
      </c>
      <c r="L75" s="1"/>
      <c r="M75" s="12"/>
      <c r="N75"/>
      <c r="O75"/>
      <c r="P75" s="2" t="str">
        <f>IF(BD_Receitas[[#This Row],[TIPO DE COBRANÇA]]="Operação Normal",
_xlfn.XLOOKUP(BD_Receitas[[#This Row],[ID]],TabCondicoesComerciais[ID],TabCondicoesComerciais[Volume mínimo 
(m3)],0),"")</f>
        <v/>
      </c>
      <c r="Q75" s="2">
        <f>_xlfn.XLOOKUP(BD_Receitas[[#This Row],[ID]],TabCondicoesComerciais[ID],TabCondicoesComerciais[Vol. 1ºGiro],0)</f>
        <v>750</v>
      </c>
      <c r="R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5" s="1">
        <f xml:space="preserve"> IF(BD_Receitas[[#This Row],[TIPO DE COBRANÇA]]="Operação Normal",
_xlfn.XLOOKUP(BD_Receitas[[#This Row],[ID]],TabCondicoesComerciais[ID],TabCondicoesComerciais[Tarifa 2º Giro],0),0)</f>
        <v>0</v>
      </c>
      <c r="T7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" spans="1:24" hidden="1" x14ac:dyDescent="0.35">
      <c r="A76" s="3" t="s">
        <v>172</v>
      </c>
      <c r="B76" s="11">
        <v>45689</v>
      </c>
      <c r="C76" t="s">
        <v>31</v>
      </c>
      <c r="D76" t="s">
        <v>202</v>
      </c>
      <c r="E76" t="s">
        <v>35</v>
      </c>
      <c r="F76" s="10" t="s">
        <v>22</v>
      </c>
      <c r="G76" s="3" t="s">
        <v>11</v>
      </c>
      <c r="H76" s="3" t="s">
        <v>13</v>
      </c>
      <c r="I76" s="3" t="s">
        <v>15</v>
      </c>
      <c r="J76" s="1">
        <v>0</v>
      </c>
      <c r="K76" s="12">
        <v>0</v>
      </c>
      <c r="L76" s="1">
        <v>9978.5720000000001</v>
      </c>
      <c r="M76" s="12">
        <v>487.94900000000001</v>
      </c>
      <c r="N76" t="s">
        <v>167</v>
      </c>
      <c r="O76"/>
      <c r="P76" s="2">
        <f>IF(BD_Receitas[[#This Row],[TIPO DE COBRANÇA]]="Operação Normal",
_xlfn.XLOOKUP(BD_Receitas[[#This Row],[ID]],TabCondicoesComerciais[ID],TabCondicoesComerciais[Volume mínimo 
(m3)],0),"")</f>
        <v>0</v>
      </c>
      <c r="Q76" s="2">
        <f>_xlfn.XLOOKUP(BD_Receitas[[#This Row],[ID]],TabCondicoesComerciais[ID],TabCondicoesComerciais[Vol. 1ºGiro],0)</f>
        <v>750</v>
      </c>
      <c r="R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76" s="1">
        <f xml:space="preserve"> IF(BD_Receitas[[#This Row],[TIPO DE COBRANÇA]]="Operação Normal",
_xlfn.XLOOKUP(BD_Receitas[[#This Row],[ID]],TabCondicoesComerciais[ID],TabCondicoesComerciais[Tarifa 2º Giro],0),0)</f>
        <v>22.2</v>
      </c>
      <c r="T76" s="5">
        <f>IFERROR(IF(BD_Receitas[[#This Row],[TIPO DE COBRANÇA]]&lt;&gt;"Operação Normal","",BD_Receitas[[#This Row],[Valor Total R$]]/ MAX(BD_Receitas[[#This Row],[Vol. Movimentado M³]],
BD_Receitas[[#This Row],[Volume Mínimo ]])
),0)</f>
        <v>20.450030638447871</v>
      </c>
      <c r="U7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26.485088605571484</v>
      </c>
      <c r="V7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7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10832.4678</v>
      </c>
      <c r="X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7" spans="1:24" hidden="1" x14ac:dyDescent="0.35">
      <c r="A77" s="3" t="s">
        <v>172</v>
      </c>
      <c r="B77" s="11">
        <v>45689</v>
      </c>
      <c r="C77" t="s">
        <v>31</v>
      </c>
      <c r="D77" t="s">
        <v>202</v>
      </c>
      <c r="E77" t="s">
        <v>35</v>
      </c>
      <c r="F77" s="10" t="s">
        <v>22</v>
      </c>
      <c r="G77" s="3" t="s">
        <v>11</v>
      </c>
      <c r="H77" s="3" t="s">
        <v>13</v>
      </c>
      <c r="I77" s="3" t="s">
        <v>65</v>
      </c>
      <c r="J77" s="1">
        <v>0</v>
      </c>
      <c r="K77" s="12">
        <v>0</v>
      </c>
      <c r="L77" s="1"/>
      <c r="M77" s="12"/>
      <c r="N77"/>
      <c r="O77"/>
      <c r="P77" s="2" t="str">
        <f>IF(BD_Receitas[[#This Row],[TIPO DE COBRANÇA]]="Operação Normal",
_xlfn.XLOOKUP(BD_Receitas[[#This Row],[ID]],TabCondicoesComerciais[ID],TabCondicoesComerciais[Volume mínimo 
(m3)],0),"")</f>
        <v/>
      </c>
      <c r="Q77" s="2">
        <f>_xlfn.XLOOKUP(BD_Receitas[[#This Row],[ID]],TabCondicoesComerciais[ID],TabCondicoesComerciais[Vol. 1ºGiro],0)</f>
        <v>750</v>
      </c>
      <c r="R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7" s="1">
        <f xml:space="preserve"> IF(BD_Receitas[[#This Row],[TIPO DE COBRANÇA]]="Operação Normal",
_xlfn.XLOOKUP(BD_Receitas[[#This Row],[ID]],TabCondicoesComerciais[ID],TabCondicoesComerciais[Tarifa 2º Giro],0),0)</f>
        <v>0</v>
      </c>
      <c r="T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" spans="1:24" hidden="1" x14ac:dyDescent="0.35">
      <c r="A78" s="3" t="s">
        <v>149</v>
      </c>
      <c r="B78" s="11">
        <v>45689</v>
      </c>
      <c r="C78" t="s">
        <v>31</v>
      </c>
      <c r="D78" t="s">
        <v>110</v>
      </c>
      <c r="E78" t="s">
        <v>117</v>
      </c>
      <c r="F78" s="10" t="s">
        <v>23</v>
      </c>
      <c r="G78" s="3" t="s">
        <v>112</v>
      </c>
      <c r="H78" s="3" t="s">
        <v>113</v>
      </c>
      <c r="I78" s="3" t="s">
        <v>7</v>
      </c>
      <c r="J78" s="1">
        <v>0</v>
      </c>
      <c r="K78" s="12">
        <v>0</v>
      </c>
      <c r="L78" s="1"/>
      <c r="M78" s="12"/>
      <c r="N78"/>
      <c r="O78"/>
      <c r="P78" s="2" t="str">
        <f>IF(BD_Receitas[[#This Row],[TIPO DE COBRANÇA]]="Operação Normal",
_xlfn.XLOOKUP(BD_Receitas[[#This Row],[ID]],TabCondicoesComerciais[ID],TabCondicoesComerciais[Volume mínimo 
(m3)],0),"")</f>
        <v/>
      </c>
      <c r="Q78" s="2">
        <f>_xlfn.XLOOKUP(BD_Receitas[[#This Row],[ID]],TabCondicoesComerciais[ID],TabCondicoesComerciais[Vol. 1ºGiro],0)</f>
        <v>750</v>
      </c>
      <c r="R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78" s="1">
        <f xml:space="preserve"> IF(BD_Receitas[[#This Row],[TIPO DE COBRANÇA]]="Operação Normal",
_xlfn.XLOOKUP(BD_Receitas[[#This Row],[ID]],TabCondicoesComerciais[ID],TabCondicoesComerciais[Tarifa 2º Giro],0),0)</f>
        <v>0</v>
      </c>
      <c r="T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" spans="1:24" hidden="1" x14ac:dyDescent="0.35">
      <c r="A79" s="3" t="s">
        <v>149</v>
      </c>
      <c r="B79" s="11">
        <v>45689</v>
      </c>
      <c r="C79" t="s">
        <v>31</v>
      </c>
      <c r="D79" t="s">
        <v>110</v>
      </c>
      <c r="E79" t="s">
        <v>117</v>
      </c>
      <c r="F79" s="10" t="s">
        <v>23</v>
      </c>
      <c r="G79" s="3" t="s">
        <v>112</v>
      </c>
      <c r="H79" s="3" t="s">
        <v>113</v>
      </c>
      <c r="I79" s="3" t="s">
        <v>8</v>
      </c>
      <c r="J79" s="1">
        <v>0</v>
      </c>
      <c r="K79" s="12">
        <v>0</v>
      </c>
      <c r="L79" s="1"/>
      <c r="M79" s="12"/>
      <c r="N79"/>
      <c r="O79"/>
      <c r="P79" s="2" t="str">
        <f>IF(BD_Receitas[[#This Row],[TIPO DE COBRANÇA]]="Operação Normal",
_xlfn.XLOOKUP(BD_Receitas[[#This Row],[ID]],TabCondicoesComerciais[ID],TabCondicoesComerciais[Volume mínimo 
(m3)],0),"")</f>
        <v/>
      </c>
      <c r="Q79" s="2">
        <f>_xlfn.XLOOKUP(BD_Receitas[[#This Row],[ID]],TabCondicoesComerciais[ID],TabCondicoesComerciais[Vol. 1ºGiro],0)</f>
        <v>750</v>
      </c>
      <c r="R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79" s="1">
        <f xml:space="preserve"> IF(BD_Receitas[[#This Row],[TIPO DE COBRANÇA]]="Operação Normal",
_xlfn.XLOOKUP(BD_Receitas[[#This Row],[ID]],TabCondicoesComerciais[ID],TabCondicoesComerciais[Tarifa 2º Giro],0),0)</f>
        <v>0</v>
      </c>
      <c r="T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" spans="1:24" hidden="1" x14ac:dyDescent="0.35">
      <c r="A80" s="3" t="s">
        <v>149</v>
      </c>
      <c r="B80" s="11">
        <v>45689</v>
      </c>
      <c r="C80" t="s">
        <v>31</v>
      </c>
      <c r="D80" t="s">
        <v>110</v>
      </c>
      <c r="E80" t="s">
        <v>117</v>
      </c>
      <c r="F80" s="10" t="s">
        <v>23</v>
      </c>
      <c r="G80" s="3" t="s">
        <v>112</v>
      </c>
      <c r="H80" s="3" t="s">
        <v>113</v>
      </c>
      <c r="I80" s="3" t="s">
        <v>15</v>
      </c>
      <c r="J80" s="1">
        <v>89658.947400000005</v>
      </c>
      <c r="K80" s="12">
        <v>4200</v>
      </c>
      <c r="L80" s="1"/>
      <c r="M80" s="12"/>
      <c r="N80"/>
      <c r="O80"/>
      <c r="P80" s="2">
        <f>IF(BD_Receitas[[#This Row],[TIPO DE COBRANÇA]]="Operação Normal",
_xlfn.XLOOKUP(BD_Receitas[[#This Row],[ID]],TabCondicoesComerciais[ID],TabCondicoesComerciais[Volume mínimo 
(m3)],0),"")</f>
        <v>3000</v>
      </c>
      <c r="Q80" s="2">
        <f>_xlfn.XLOOKUP(BD_Receitas[[#This Row],[ID]],TabCondicoesComerciais[ID],TabCondicoesComerciais[Vol. 1ºGiro],0)</f>
        <v>750</v>
      </c>
      <c r="R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80" s="1">
        <f xml:space="preserve"> IF(BD_Receitas[[#This Row],[TIPO DE COBRANÇA]]="Operação Normal",
_xlfn.XLOOKUP(BD_Receitas[[#This Row],[ID]],TabCondicoesComerciais[ID],TabCondicoesComerciais[Tarifa 2º Giro],0),0)</f>
        <v>19.5</v>
      </c>
      <c r="T80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8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1" spans="1:24" hidden="1" x14ac:dyDescent="0.35">
      <c r="A81" s="3" t="s">
        <v>149</v>
      </c>
      <c r="B81" s="11">
        <v>45689</v>
      </c>
      <c r="C81" t="s">
        <v>31</v>
      </c>
      <c r="D81" t="s">
        <v>110</v>
      </c>
      <c r="E81" t="s">
        <v>117</v>
      </c>
      <c r="F81" s="10" t="s">
        <v>23</v>
      </c>
      <c r="G81" s="3" t="s">
        <v>112</v>
      </c>
      <c r="H81" s="3" t="s">
        <v>113</v>
      </c>
      <c r="I81" s="3" t="s">
        <v>65</v>
      </c>
      <c r="J81" s="1">
        <v>0</v>
      </c>
      <c r="K81" s="12">
        <v>0</v>
      </c>
      <c r="L81" s="1"/>
      <c r="M81" s="12"/>
      <c r="N81"/>
      <c r="O81"/>
      <c r="P81" s="2" t="str">
        <f>IF(BD_Receitas[[#This Row],[TIPO DE COBRANÇA]]="Operação Normal",
_xlfn.XLOOKUP(BD_Receitas[[#This Row],[ID]],TabCondicoesComerciais[ID],TabCondicoesComerciais[Volume mínimo 
(m3)],0),"")</f>
        <v/>
      </c>
      <c r="Q81" s="2">
        <f>_xlfn.XLOOKUP(BD_Receitas[[#This Row],[ID]],TabCondicoesComerciais[ID],TabCondicoesComerciais[Vol. 1ºGiro],0)</f>
        <v>750</v>
      </c>
      <c r="R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" s="1">
        <f xml:space="preserve"> IF(BD_Receitas[[#This Row],[TIPO DE COBRANÇA]]="Operação Normal",
_xlfn.XLOOKUP(BD_Receitas[[#This Row],[ID]],TabCondicoesComerciais[ID],TabCondicoesComerciais[Tarifa 2º Giro],0),0)</f>
        <v>0</v>
      </c>
      <c r="T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" spans="1:24" hidden="1" x14ac:dyDescent="0.35">
      <c r="A82" s="3" t="s">
        <v>150</v>
      </c>
      <c r="B82" s="11">
        <v>45689</v>
      </c>
      <c r="C82" t="s">
        <v>31</v>
      </c>
      <c r="D82" t="s">
        <v>62</v>
      </c>
      <c r="E82" t="s">
        <v>33</v>
      </c>
      <c r="F82" s="10" t="s">
        <v>46</v>
      </c>
      <c r="G82" s="3" t="s">
        <v>87</v>
      </c>
      <c r="H82" s="3" t="s">
        <v>9</v>
      </c>
      <c r="I82" s="3" t="s">
        <v>7</v>
      </c>
      <c r="J82" s="1">
        <v>0</v>
      </c>
      <c r="K82" s="12">
        <v>0</v>
      </c>
      <c r="L82" s="1">
        <v>896.29200000000003</v>
      </c>
      <c r="M82" s="12">
        <v>124.485</v>
      </c>
      <c r="N82" t="s">
        <v>148</v>
      </c>
      <c r="O82"/>
      <c r="P82" s="2" t="str">
        <f>IF(BD_Receitas[[#This Row],[TIPO DE COBRANÇA]]="Operação Normal",
_xlfn.XLOOKUP(BD_Receitas[[#This Row],[ID]],TabCondicoesComerciais[ID],TabCondicoesComerciais[Volume mínimo 
(m3)],0),"")</f>
        <v/>
      </c>
      <c r="Q82" s="2">
        <f>_xlfn.XLOOKUP(BD_Receitas[[#This Row],[ID]],TabCondicoesComerciais[ID],TabCondicoesComerciais[Vol. 1ºGiro],0)</f>
        <v>1070</v>
      </c>
      <c r="R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2" s="1">
        <f xml:space="preserve"> IF(BD_Receitas[[#This Row],[TIPO DE COBRANÇA]]="Operação Normal",
_xlfn.XLOOKUP(BD_Receitas[[#This Row],[ID]],TabCondicoesComerciais[ID],TabCondicoesComerciais[Tarifa 2º Giro],0),0)</f>
        <v>0</v>
      </c>
      <c r="T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" spans="1:24" hidden="1" x14ac:dyDescent="0.35">
      <c r="A83" s="3" t="s">
        <v>150</v>
      </c>
      <c r="B83" s="11">
        <v>45689</v>
      </c>
      <c r="C83" t="s">
        <v>31</v>
      </c>
      <c r="D83" t="s">
        <v>62</v>
      </c>
      <c r="E83" t="s">
        <v>33</v>
      </c>
      <c r="F83" s="10" t="s">
        <v>46</v>
      </c>
      <c r="G83" s="3" t="s">
        <v>87</v>
      </c>
      <c r="H83" s="3" t="s">
        <v>9</v>
      </c>
      <c r="I83" s="3" t="s">
        <v>8</v>
      </c>
      <c r="J83" s="1">
        <v>0</v>
      </c>
      <c r="K83" s="12">
        <v>0</v>
      </c>
      <c r="L83" s="1">
        <v>199.548</v>
      </c>
      <c r="M83" s="12">
        <v>27.715</v>
      </c>
      <c r="N83" t="s">
        <v>148</v>
      </c>
      <c r="O83"/>
      <c r="P83" s="2" t="str">
        <f>IF(BD_Receitas[[#This Row],[TIPO DE COBRANÇA]]="Operação Normal",
_xlfn.XLOOKUP(BD_Receitas[[#This Row],[ID]],TabCondicoesComerciais[ID],TabCondicoesComerciais[Volume mínimo 
(m3)],0),"")</f>
        <v/>
      </c>
      <c r="Q83" s="2">
        <f>_xlfn.XLOOKUP(BD_Receitas[[#This Row],[ID]],TabCondicoesComerciais[ID],TabCondicoesComerciais[Vol. 1ºGiro],0)</f>
        <v>1070</v>
      </c>
      <c r="R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3" s="1">
        <f xml:space="preserve"> IF(BD_Receitas[[#This Row],[TIPO DE COBRANÇA]]="Operação Normal",
_xlfn.XLOOKUP(BD_Receitas[[#This Row],[ID]],TabCondicoesComerciais[ID],TabCondicoesComerciais[Tarifa 2º Giro],0),0)</f>
        <v>0</v>
      </c>
      <c r="T8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" spans="1:24" hidden="1" x14ac:dyDescent="0.35">
      <c r="A84" s="3" t="s">
        <v>150</v>
      </c>
      <c r="B84" s="11">
        <v>45689</v>
      </c>
      <c r="C84" t="s">
        <v>31</v>
      </c>
      <c r="D84" t="s">
        <v>62</v>
      </c>
      <c r="E84" t="s">
        <v>33</v>
      </c>
      <c r="F84" s="10" t="s">
        <v>46</v>
      </c>
      <c r="G84" s="3" t="s">
        <v>87</v>
      </c>
      <c r="H84" s="3" t="s">
        <v>9</v>
      </c>
      <c r="I84" s="3" t="s">
        <v>15</v>
      </c>
      <c r="J84" s="1">
        <v>137499.15789999999</v>
      </c>
      <c r="K84" s="12">
        <v>4200</v>
      </c>
      <c r="L84" s="1">
        <v>57780</v>
      </c>
      <c r="M84" s="12">
        <v>1321.4</v>
      </c>
      <c r="N84" t="s">
        <v>148</v>
      </c>
      <c r="O84"/>
      <c r="P84" s="2">
        <f>IF(BD_Receitas[[#This Row],[TIPO DE COBRANÇA]]="Operação Normal",
_xlfn.XLOOKUP(BD_Receitas[[#This Row],[ID]],TabCondicoesComerciais[ID],TabCondicoesComerciais[Volume mínimo 
(m3)],0),"")</f>
        <v>3210</v>
      </c>
      <c r="Q84" s="2">
        <f>_xlfn.XLOOKUP(BD_Receitas[[#This Row],[ID]],TabCondicoesComerciais[ID],TabCondicoesComerciais[Vol. 1ºGiro],0)</f>
        <v>1070</v>
      </c>
      <c r="R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84" s="1">
        <f xml:space="preserve"> IF(BD_Receitas[[#This Row],[TIPO DE COBRANÇA]]="Operação Normal",
_xlfn.XLOOKUP(BD_Receitas[[#This Row],[ID]],TabCondicoesComerciais[ID],TabCondicoesComerciais[Tarifa 2º Giro],0),0)</f>
        <v>30</v>
      </c>
      <c r="T84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8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48.496927501135154</v>
      </c>
      <c r="V8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96300</v>
      </c>
      <c r="W8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39642</v>
      </c>
      <c r="X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5" spans="1:24" hidden="1" x14ac:dyDescent="0.35">
      <c r="A85" s="3" t="s">
        <v>150</v>
      </c>
      <c r="B85" s="11">
        <v>45689</v>
      </c>
      <c r="C85" t="s">
        <v>31</v>
      </c>
      <c r="D85" t="s">
        <v>62</v>
      </c>
      <c r="E85" t="s">
        <v>33</v>
      </c>
      <c r="F85" s="10" t="s">
        <v>46</v>
      </c>
      <c r="G85" s="3" t="s">
        <v>87</v>
      </c>
      <c r="H85" s="3" t="s">
        <v>9</v>
      </c>
      <c r="I85" s="3" t="s">
        <v>65</v>
      </c>
      <c r="J85" s="1">
        <v>0</v>
      </c>
      <c r="K85" s="12">
        <v>0</v>
      </c>
      <c r="L85" s="1">
        <v>5208</v>
      </c>
      <c r="M85" s="12">
        <v>0</v>
      </c>
      <c r="N85" t="s">
        <v>148</v>
      </c>
      <c r="O85"/>
      <c r="P85" s="2" t="str">
        <f>IF(BD_Receitas[[#This Row],[TIPO DE COBRANÇA]]="Operação Normal",
_xlfn.XLOOKUP(BD_Receitas[[#This Row],[ID]],TabCondicoesComerciais[ID],TabCondicoesComerciais[Volume mínimo 
(m3)],0),"")</f>
        <v/>
      </c>
      <c r="Q85" s="2">
        <f>_xlfn.XLOOKUP(BD_Receitas[[#This Row],[ID]],TabCondicoesComerciais[ID],TabCondicoesComerciais[Vol. 1ºGiro],0)</f>
        <v>1070</v>
      </c>
      <c r="R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5" s="1">
        <f xml:space="preserve"> IF(BD_Receitas[[#This Row],[TIPO DE COBRANÇA]]="Operação Normal",
_xlfn.XLOOKUP(BD_Receitas[[#This Row],[ID]],TabCondicoesComerciais[ID],TabCondicoesComerciais[Tarifa 2º Giro],0),0)</f>
        <v>0</v>
      </c>
      <c r="T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" spans="1:24" hidden="1" x14ac:dyDescent="0.35">
      <c r="A86" s="3" t="s">
        <v>200</v>
      </c>
      <c r="B86" s="11">
        <v>45689</v>
      </c>
      <c r="C86" t="s">
        <v>31</v>
      </c>
      <c r="D86" t="s">
        <v>203</v>
      </c>
      <c r="E86" t="s">
        <v>32</v>
      </c>
      <c r="F86" s="10" t="s">
        <v>25</v>
      </c>
      <c r="G86" s="3" t="s">
        <v>12</v>
      </c>
      <c r="H86" s="3" t="s">
        <v>10</v>
      </c>
      <c r="I86" s="3" t="s">
        <v>7</v>
      </c>
      <c r="J86" s="1">
        <v>0</v>
      </c>
      <c r="K86" s="12">
        <v>0</v>
      </c>
      <c r="L86" s="1"/>
      <c r="M86" s="12"/>
      <c r="N86"/>
      <c r="O86"/>
      <c r="P86" s="2" t="str">
        <f>IF(BD_Receitas[[#This Row],[TIPO DE COBRANÇA]]="Operação Normal",
_xlfn.XLOOKUP(BD_Receitas[[#This Row],[ID]],TabCondicoesComerciais[ID],TabCondicoesComerciais[Volume mínimo 
(m3)],0),"")</f>
        <v/>
      </c>
      <c r="Q86" s="2">
        <f>_xlfn.XLOOKUP(BD_Receitas[[#This Row],[ID]],TabCondicoesComerciais[ID],TabCondicoesComerciais[Vol. 1ºGiro],0)</f>
        <v>2000</v>
      </c>
      <c r="R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6" s="1">
        <f xml:space="preserve"> IF(BD_Receitas[[#This Row],[TIPO DE COBRANÇA]]="Operação Normal",
_xlfn.XLOOKUP(BD_Receitas[[#This Row],[ID]],TabCondicoesComerciais[ID],TabCondicoesComerciais[Tarifa 2º Giro],0),0)</f>
        <v>0</v>
      </c>
      <c r="T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" spans="1:24" hidden="1" x14ac:dyDescent="0.35">
      <c r="A87" s="3" t="s">
        <v>200</v>
      </c>
      <c r="B87" s="11">
        <v>45689</v>
      </c>
      <c r="C87" t="s">
        <v>31</v>
      </c>
      <c r="D87" t="s">
        <v>203</v>
      </c>
      <c r="E87" t="s">
        <v>32</v>
      </c>
      <c r="F87" s="10" t="s">
        <v>25</v>
      </c>
      <c r="G87" s="3" t="s">
        <v>12</v>
      </c>
      <c r="H87" s="3" t="s">
        <v>10</v>
      </c>
      <c r="I87" s="3" t="s">
        <v>8</v>
      </c>
      <c r="J87" s="1">
        <v>0</v>
      </c>
      <c r="K87" s="12">
        <v>0</v>
      </c>
      <c r="L87" s="1"/>
      <c r="M87" s="12"/>
      <c r="N87"/>
      <c r="O87"/>
      <c r="P87" s="2" t="str">
        <f>IF(BD_Receitas[[#This Row],[TIPO DE COBRANÇA]]="Operação Normal",
_xlfn.XLOOKUP(BD_Receitas[[#This Row],[ID]],TabCondicoesComerciais[ID],TabCondicoesComerciais[Volume mínimo 
(m3)],0),"")</f>
        <v/>
      </c>
      <c r="Q87" s="2">
        <f>_xlfn.XLOOKUP(BD_Receitas[[#This Row],[ID]],TabCondicoesComerciais[ID],TabCondicoesComerciais[Vol. 1ºGiro],0)</f>
        <v>2000</v>
      </c>
      <c r="R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7" s="1">
        <f xml:space="preserve"> IF(BD_Receitas[[#This Row],[TIPO DE COBRANÇA]]="Operação Normal",
_xlfn.XLOOKUP(BD_Receitas[[#This Row],[ID]],TabCondicoesComerciais[ID],TabCondicoesComerciais[Tarifa 2º Giro],0),0)</f>
        <v>0</v>
      </c>
      <c r="T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" spans="1:24" hidden="1" x14ac:dyDescent="0.35">
      <c r="A88" s="3" t="s">
        <v>200</v>
      </c>
      <c r="B88" s="11">
        <v>45689</v>
      </c>
      <c r="C88" t="s">
        <v>31</v>
      </c>
      <c r="D88" t="s">
        <v>203</v>
      </c>
      <c r="E88" t="s">
        <v>32</v>
      </c>
      <c r="F88" s="10" t="s">
        <v>25</v>
      </c>
      <c r="G88" s="3" t="s">
        <v>12</v>
      </c>
      <c r="H88" s="3" t="s">
        <v>10</v>
      </c>
      <c r="I88" s="3" t="s">
        <v>15</v>
      </c>
      <c r="J88" s="1">
        <v>0</v>
      </c>
      <c r="K88" s="12">
        <v>0</v>
      </c>
      <c r="L88" s="1"/>
      <c r="M88" s="12"/>
      <c r="N88"/>
      <c r="O88"/>
      <c r="P88" s="2">
        <f>IF(BD_Receitas[[#This Row],[TIPO DE COBRANÇA]]="Operação Normal",
_xlfn.XLOOKUP(BD_Receitas[[#This Row],[ID]],TabCondicoesComerciais[ID],TabCondicoesComerciais[Volume mínimo 
(m3)],0),"")</f>
        <v>8000</v>
      </c>
      <c r="Q88" s="2">
        <f>_xlfn.XLOOKUP(BD_Receitas[[#This Row],[ID]],TabCondicoesComerciais[ID],TabCondicoesComerciais[Vol. 1ºGiro],0)</f>
        <v>2000</v>
      </c>
      <c r="R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88" s="1">
        <f xml:space="preserve"> IF(BD_Receitas[[#This Row],[TIPO DE COBRANÇA]]="Operação Normal",
_xlfn.XLOOKUP(BD_Receitas[[#This Row],[ID]],TabCondicoesComerciais[ID],TabCondicoesComerciais[Tarifa 2º Giro],0),0)</f>
        <v>20</v>
      </c>
      <c r="T88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8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9" spans="1:24" hidden="1" x14ac:dyDescent="0.35">
      <c r="A89" s="3" t="s">
        <v>200</v>
      </c>
      <c r="B89" s="11">
        <v>45689</v>
      </c>
      <c r="C89" t="s">
        <v>31</v>
      </c>
      <c r="D89" t="s">
        <v>203</v>
      </c>
      <c r="E89" t="s">
        <v>32</v>
      </c>
      <c r="F89" s="10" t="s">
        <v>25</v>
      </c>
      <c r="G89" s="3" t="s">
        <v>12</v>
      </c>
      <c r="H89" s="3" t="s">
        <v>10</v>
      </c>
      <c r="I89" s="3" t="s">
        <v>65</v>
      </c>
      <c r="J89" s="1">
        <v>0</v>
      </c>
      <c r="K89" s="12">
        <v>0</v>
      </c>
      <c r="L89" s="1"/>
      <c r="M89" s="12"/>
      <c r="N89"/>
      <c r="O89"/>
      <c r="P89" s="2" t="str">
        <f>IF(BD_Receitas[[#This Row],[TIPO DE COBRANÇA]]="Operação Normal",
_xlfn.XLOOKUP(BD_Receitas[[#This Row],[ID]],TabCondicoesComerciais[ID],TabCondicoesComerciais[Volume mínimo 
(m3)],0),"")</f>
        <v/>
      </c>
      <c r="Q89" s="2">
        <f>_xlfn.XLOOKUP(BD_Receitas[[#This Row],[ID]],TabCondicoesComerciais[ID],TabCondicoesComerciais[Vol. 1ºGiro],0)</f>
        <v>2000</v>
      </c>
      <c r="R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" s="1">
        <f xml:space="preserve"> IF(BD_Receitas[[#This Row],[TIPO DE COBRANÇA]]="Operação Normal",
_xlfn.XLOOKUP(BD_Receitas[[#This Row],[ID]],TabCondicoesComerciais[ID],TabCondicoesComerciais[Tarifa 2º Giro],0),0)</f>
        <v>0</v>
      </c>
      <c r="T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" spans="1:24" hidden="1" x14ac:dyDescent="0.35">
      <c r="A90" s="3" t="s">
        <v>166</v>
      </c>
      <c r="B90" s="11">
        <v>45689</v>
      </c>
      <c r="C90" t="s">
        <v>31</v>
      </c>
      <c r="D90" t="s">
        <v>203</v>
      </c>
      <c r="E90" t="s">
        <v>32</v>
      </c>
      <c r="F90" s="10" t="s">
        <v>25</v>
      </c>
      <c r="G90" s="3" t="s">
        <v>12</v>
      </c>
      <c r="H90" s="3" t="s">
        <v>9</v>
      </c>
      <c r="I90" s="3" t="s">
        <v>7</v>
      </c>
      <c r="J90" s="1">
        <v>0</v>
      </c>
      <c r="K90" s="12">
        <v>0</v>
      </c>
      <c r="L90" s="1">
        <v>1307.673</v>
      </c>
      <c r="M90" s="12">
        <v>145.297</v>
      </c>
      <c r="N90" t="s">
        <v>120</v>
      </c>
      <c r="O90" t="s">
        <v>129</v>
      </c>
      <c r="P90" s="2" t="str">
        <f>IF(BD_Receitas[[#This Row],[TIPO DE COBRANÇA]]="Operação Normal",
_xlfn.XLOOKUP(BD_Receitas[[#This Row],[ID]],TabCondicoesComerciais[ID],TabCondicoesComerciais[Volume mínimo 
(m3)],0),"")</f>
        <v/>
      </c>
      <c r="Q90" s="2">
        <f>_xlfn.XLOOKUP(BD_Receitas[[#This Row],[ID]],TabCondicoesComerciais[ID],TabCondicoesComerciais[Vol. 1ºGiro],0)</f>
        <v>1175</v>
      </c>
      <c r="R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0" s="1">
        <f xml:space="preserve"> IF(BD_Receitas[[#This Row],[TIPO DE COBRANÇA]]="Operação Normal",
_xlfn.XLOOKUP(BD_Receitas[[#This Row],[ID]],TabCondicoesComerciais[ID],TabCondicoesComerciais[Tarifa 2º Giro],0),0)</f>
        <v>0</v>
      </c>
      <c r="T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" spans="1:24" hidden="1" x14ac:dyDescent="0.35">
      <c r="A91" s="3" t="s">
        <v>166</v>
      </c>
      <c r="B91" s="11">
        <v>45689</v>
      </c>
      <c r="C91" t="s">
        <v>31</v>
      </c>
      <c r="D91" t="s">
        <v>203</v>
      </c>
      <c r="E91" t="s">
        <v>32</v>
      </c>
      <c r="F91" s="10" t="s">
        <v>25</v>
      </c>
      <c r="G91" s="3" t="s">
        <v>12</v>
      </c>
      <c r="H91" s="3" t="s">
        <v>9</v>
      </c>
      <c r="I91" s="3" t="s">
        <v>7</v>
      </c>
      <c r="J91" s="1">
        <v>0</v>
      </c>
      <c r="K91" s="12">
        <v>0</v>
      </c>
      <c r="L91" s="1">
        <v>1307.67</v>
      </c>
      <c r="M91" s="12">
        <v>145.297</v>
      </c>
      <c r="N91" t="s">
        <v>120</v>
      </c>
      <c r="O91" t="s">
        <v>129</v>
      </c>
      <c r="P91" s="2" t="str">
        <f>IF(BD_Receitas[[#This Row],[TIPO DE COBRANÇA]]="Operação Normal",
_xlfn.XLOOKUP(BD_Receitas[[#This Row],[ID]],TabCondicoesComerciais[ID],TabCondicoesComerciais[Volume mínimo 
(m3)],0),"")</f>
        <v/>
      </c>
      <c r="Q91" s="2">
        <f>_xlfn.XLOOKUP(BD_Receitas[[#This Row],[ID]],TabCondicoesComerciais[ID],TabCondicoesComerciais[Vol. 1ºGiro],0)</f>
        <v>1175</v>
      </c>
      <c r="R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1" s="1">
        <f xml:space="preserve"> IF(BD_Receitas[[#This Row],[TIPO DE COBRANÇA]]="Operação Normal",
_xlfn.XLOOKUP(BD_Receitas[[#This Row],[ID]],TabCondicoesComerciais[ID],TabCondicoesComerciais[Tarifa 2º Giro],0),0)</f>
        <v>0</v>
      </c>
      <c r="T9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" spans="1:24" hidden="1" x14ac:dyDescent="0.35">
      <c r="A92" s="3" t="s">
        <v>166</v>
      </c>
      <c r="B92" s="11">
        <v>45689</v>
      </c>
      <c r="C92" t="s">
        <v>31</v>
      </c>
      <c r="D92" t="s">
        <v>203</v>
      </c>
      <c r="E92" t="s">
        <v>32</v>
      </c>
      <c r="F92" s="10" t="s">
        <v>25</v>
      </c>
      <c r="G92" s="3" t="s">
        <v>12</v>
      </c>
      <c r="H92" s="3" t="s">
        <v>9</v>
      </c>
      <c r="I92" s="3" t="s">
        <v>7</v>
      </c>
      <c r="J92" s="1">
        <v>0</v>
      </c>
      <c r="K92" s="12">
        <v>0</v>
      </c>
      <c r="L92" s="1">
        <v>1307.67</v>
      </c>
      <c r="M92" s="12">
        <v>145.297</v>
      </c>
      <c r="N92" t="s">
        <v>120</v>
      </c>
      <c r="O92" t="s">
        <v>129</v>
      </c>
      <c r="P92" s="2" t="str">
        <f>IF(BD_Receitas[[#This Row],[TIPO DE COBRANÇA]]="Operação Normal",
_xlfn.XLOOKUP(BD_Receitas[[#This Row],[ID]],TabCondicoesComerciais[ID],TabCondicoesComerciais[Volume mínimo 
(m3)],0),"")</f>
        <v/>
      </c>
      <c r="Q92" s="2">
        <f>_xlfn.XLOOKUP(BD_Receitas[[#This Row],[ID]],TabCondicoesComerciais[ID],TabCondicoesComerciais[Vol. 1ºGiro],0)</f>
        <v>1175</v>
      </c>
      <c r="R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2" s="1">
        <f xml:space="preserve"> IF(BD_Receitas[[#This Row],[TIPO DE COBRANÇA]]="Operação Normal",
_xlfn.XLOOKUP(BD_Receitas[[#This Row],[ID]],TabCondicoesComerciais[ID],TabCondicoesComerciais[Tarifa 2º Giro],0),0)</f>
        <v>0</v>
      </c>
      <c r="T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" spans="1:24" hidden="1" x14ac:dyDescent="0.35">
      <c r="A93" s="3" t="s">
        <v>166</v>
      </c>
      <c r="B93" s="11">
        <v>45689</v>
      </c>
      <c r="C93" t="s">
        <v>31</v>
      </c>
      <c r="D93" t="s">
        <v>203</v>
      </c>
      <c r="E93" t="s">
        <v>32</v>
      </c>
      <c r="F93" s="10" t="s">
        <v>25</v>
      </c>
      <c r="G93" s="3" t="s">
        <v>12</v>
      </c>
      <c r="H93" s="3" t="s">
        <v>9</v>
      </c>
      <c r="I93" s="3" t="s">
        <v>7</v>
      </c>
      <c r="J93" s="1">
        <v>0</v>
      </c>
      <c r="K93" s="12">
        <v>0</v>
      </c>
      <c r="L93" s="1">
        <v>1307.67</v>
      </c>
      <c r="M93" s="12">
        <v>145.297</v>
      </c>
      <c r="N93" t="s">
        <v>120</v>
      </c>
      <c r="O93" t="s">
        <v>129</v>
      </c>
      <c r="P93" s="2" t="str">
        <f>IF(BD_Receitas[[#This Row],[TIPO DE COBRANÇA]]="Operação Normal",
_xlfn.XLOOKUP(BD_Receitas[[#This Row],[ID]],TabCondicoesComerciais[ID],TabCondicoesComerciais[Volume mínimo 
(m3)],0),"")</f>
        <v/>
      </c>
      <c r="Q93" s="2">
        <f>_xlfn.XLOOKUP(BD_Receitas[[#This Row],[ID]],TabCondicoesComerciais[ID],TabCondicoesComerciais[Vol. 1ºGiro],0)</f>
        <v>1175</v>
      </c>
      <c r="R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3" s="1">
        <f xml:space="preserve"> IF(BD_Receitas[[#This Row],[TIPO DE COBRANÇA]]="Operação Normal",
_xlfn.XLOOKUP(BD_Receitas[[#This Row],[ID]],TabCondicoesComerciais[ID],TabCondicoesComerciais[Tarifa 2º Giro],0),0)</f>
        <v>0</v>
      </c>
      <c r="T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" spans="1:24" hidden="1" x14ac:dyDescent="0.35">
      <c r="A94" s="3" t="s">
        <v>166</v>
      </c>
      <c r="B94" s="11">
        <v>45689</v>
      </c>
      <c r="C94" t="s">
        <v>31</v>
      </c>
      <c r="D94" t="s">
        <v>203</v>
      </c>
      <c r="E94" t="s">
        <v>32</v>
      </c>
      <c r="F94" s="10" t="s">
        <v>25</v>
      </c>
      <c r="G94" s="3" t="s">
        <v>12</v>
      </c>
      <c r="H94" s="3" t="s">
        <v>9</v>
      </c>
      <c r="I94" s="3" t="s">
        <v>7</v>
      </c>
      <c r="J94" s="1">
        <v>0</v>
      </c>
      <c r="K94" s="12">
        <v>0</v>
      </c>
      <c r="L94" s="1">
        <v>1307.673</v>
      </c>
      <c r="M94" s="12">
        <v>145.297</v>
      </c>
      <c r="N94" t="s">
        <v>120</v>
      </c>
      <c r="O94" t="s">
        <v>129</v>
      </c>
      <c r="P94" s="2" t="str">
        <f>IF(BD_Receitas[[#This Row],[TIPO DE COBRANÇA]]="Operação Normal",
_xlfn.XLOOKUP(BD_Receitas[[#This Row],[ID]],TabCondicoesComerciais[ID],TabCondicoesComerciais[Volume mínimo 
(m3)],0),"")</f>
        <v/>
      </c>
      <c r="Q94" s="2">
        <f>_xlfn.XLOOKUP(BD_Receitas[[#This Row],[ID]],TabCondicoesComerciais[ID],TabCondicoesComerciais[Vol. 1ºGiro],0)</f>
        <v>1175</v>
      </c>
      <c r="R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4" s="1">
        <f xml:space="preserve"> IF(BD_Receitas[[#This Row],[TIPO DE COBRANÇA]]="Operação Normal",
_xlfn.XLOOKUP(BD_Receitas[[#This Row],[ID]],TabCondicoesComerciais[ID],TabCondicoesComerciais[Tarifa 2º Giro],0),0)</f>
        <v>0</v>
      </c>
      <c r="T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" spans="1:24" hidden="1" x14ac:dyDescent="0.35">
      <c r="A95" s="3" t="s">
        <v>166</v>
      </c>
      <c r="B95" s="11">
        <v>45689</v>
      </c>
      <c r="C95" t="s">
        <v>31</v>
      </c>
      <c r="D95" t="s">
        <v>203</v>
      </c>
      <c r="E95" t="s">
        <v>32</v>
      </c>
      <c r="F95" s="10" t="s">
        <v>25</v>
      </c>
      <c r="G95" s="3" t="s">
        <v>12</v>
      </c>
      <c r="H95" s="3" t="s">
        <v>9</v>
      </c>
      <c r="I95" s="3" t="s">
        <v>7</v>
      </c>
      <c r="J95" s="1">
        <v>0</v>
      </c>
      <c r="K95" s="12">
        <v>0</v>
      </c>
      <c r="L95" s="1">
        <v>1307.67</v>
      </c>
      <c r="M95" s="12">
        <v>145.297</v>
      </c>
      <c r="N95" t="s">
        <v>120</v>
      </c>
      <c r="O95" t="s">
        <v>129</v>
      </c>
      <c r="P95" s="2" t="str">
        <f>IF(BD_Receitas[[#This Row],[TIPO DE COBRANÇA]]="Operação Normal",
_xlfn.XLOOKUP(BD_Receitas[[#This Row],[ID]],TabCondicoesComerciais[ID],TabCondicoesComerciais[Volume mínimo 
(m3)],0),"")</f>
        <v/>
      </c>
      <c r="Q95" s="2">
        <f>_xlfn.XLOOKUP(BD_Receitas[[#This Row],[ID]],TabCondicoesComerciais[ID],TabCondicoesComerciais[Vol. 1ºGiro],0)</f>
        <v>1175</v>
      </c>
      <c r="R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95" s="1">
        <f xml:space="preserve"> IF(BD_Receitas[[#This Row],[TIPO DE COBRANÇA]]="Operação Normal",
_xlfn.XLOOKUP(BD_Receitas[[#This Row],[ID]],TabCondicoesComerciais[ID],TabCondicoesComerciais[Tarifa 2º Giro],0),0)</f>
        <v>0</v>
      </c>
      <c r="T9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" spans="1:24" hidden="1" x14ac:dyDescent="0.35">
      <c r="A96" s="3" t="s">
        <v>166</v>
      </c>
      <c r="B96" s="11">
        <v>45689</v>
      </c>
      <c r="C96" t="s">
        <v>31</v>
      </c>
      <c r="D96" t="s">
        <v>203</v>
      </c>
      <c r="E96" t="s">
        <v>32</v>
      </c>
      <c r="F96" s="10" t="s">
        <v>25</v>
      </c>
      <c r="G96" s="3" t="s">
        <v>12</v>
      </c>
      <c r="H96" s="3" t="s">
        <v>9</v>
      </c>
      <c r="I96" s="3" t="s">
        <v>8</v>
      </c>
      <c r="J96" s="1">
        <v>0</v>
      </c>
      <c r="K96" s="12">
        <v>0</v>
      </c>
      <c r="L96" s="1"/>
      <c r="M96" s="12"/>
      <c r="N96"/>
      <c r="O96"/>
      <c r="P96" s="2" t="str">
        <f>IF(BD_Receitas[[#This Row],[TIPO DE COBRANÇA]]="Operação Normal",
_xlfn.XLOOKUP(BD_Receitas[[#This Row],[ID]],TabCondicoesComerciais[ID],TabCondicoesComerciais[Volume mínimo 
(m3)],0),"")</f>
        <v/>
      </c>
      <c r="Q96" s="2">
        <f>_xlfn.XLOOKUP(BD_Receitas[[#This Row],[ID]],TabCondicoesComerciais[ID],TabCondicoesComerciais[Vol. 1ºGiro],0)</f>
        <v>1175</v>
      </c>
      <c r="R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</v>
      </c>
      <c r="S96" s="1">
        <f xml:space="preserve"> IF(BD_Receitas[[#This Row],[TIPO DE COBRANÇA]]="Operação Normal",
_xlfn.XLOOKUP(BD_Receitas[[#This Row],[ID]],TabCondicoesComerciais[ID],TabCondicoesComerciais[Tarifa 2º Giro],0),0)</f>
        <v>0</v>
      </c>
      <c r="T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" spans="1:24" hidden="1" x14ac:dyDescent="0.35">
      <c r="A97" s="3" t="s">
        <v>166</v>
      </c>
      <c r="B97" s="11">
        <v>45689</v>
      </c>
      <c r="C97" t="s">
        <v>31</v>
      </c>
      <c r="D97" t="s">
        <v>203</v>
      </c>
      <c r="E97" t="s">
        <v>32</v>
      </c>
      <c r="F97" s="10" t="s">
        <v>25</v>
      </c>
      <c r="G97" s="3" t="s">
        <v>12</v>
      </c>
      <c r="H97" s="3" t="s">
        <v>9</v>
      </c>
      <c r="I97" s="3" t="s">
        <v>15</v>
      </c>
      <c r="J97" s="1">
        <v>164947.60920000001</v>
      </c>
      <c r="K97" s="12">
        <v>6100</v>
      </c>
      <c r="L97" s="1">
        <v>152744</v>
      </c>
      <c r="M97" s="12">
        <v>6100</v>
      </c>
      <c r="N97" t="s">
        <v>120</v>
      </c>
      <c r="O97" t="s">
        <v>155</v>
      </c>
      <c r="P97" s="2">
        <f>IF(BD_Receitas[[#This Row],[TIPO DE COBRANÇA]]="Operação Normal",
_xlfn.XLOOKUP(BD_Receitas[[#This Row],[ID]],TabCondicoesComerciais[ID],TabCondicoesComerciais[Volume mínimo 
(m3)],0),"")</f>
        <v>6100</v>
      </c>
      <c r="Q97" s="2">
        <f>_xlfn.XLOOKUP(BD_Receitas[[#This Row],[ID]],TabCondicoesComerciais[ID],TabCondicoesComerciais[Vol. 1ºGiro],0)</f>
        <v>1175</v>
      </c>
      <c r="R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97" s="1">
        <f xml:space="preserve"> IF(BD_Receitas[[#This Row],[TIPO DE COBRANÇA]]="Operação Normal",
_xlfn.XLOOKUP(BD_Receitas[[#This Row],[ID]],TabCondicoesComerciais[ID],TabCondicoesComerciais[Tarifa 2º Giro],0),0)</f>
        <v>25.04</v>
      </c>
      <c r="T97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9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76.406233770491809</v>
      </c>
      <c r="V9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9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98" spans="1:24" hidden="1" x14ac:dyDescent="0.35">
      <c r="A98" s="3" t="s">
        <v>166</v>
      </c>
      <c r="B98" s="11">
        <v>45689</v>
      </c>
      <c r="C98" t="s">
        <v>31</v>
      </c>
      <c r="D98" t="s">
        <v>203</v>
      </c>
      <c r="E98" t="s">
        <v>32</v>
      </c>
      <c r="F98" s="10" t="s">
        <v>25</v>
      </c>
      <c r="G98" s="3" t="s">
        <v>12</v>
      </c>
      <c r="H98" s="3" t="s">
        <v>9</v>
      </c>
      <c r="I98" s="3" t="s">
        <v>15</v>
      </c>
      <c r="J98" s="1">
        <v>164947.60920000001</v>
      </c>
      <c r="K98" s="12">
        <v>6100</v>
      </c>
      <c r="L98" s="1">
        <v>152744</v>
      </c>
      <c r="M98" s="12">
        <v>6100</v>
      </c>
      <c r="N98" t="s">
        <v>120</v>
      </c>
      <c r="O98" t="s">
        <v>155</v>
      </c>
      <c r="P98" s="2">
        <f>IF(BD_Receitas[[#This Row],[TIPO DE COBRANÇA]]="Operação Normal",
_xlfn.XLOOKUP(BD_Receitas[[#This Row],[ID]],TabCondicoesComerciais[ID],TabCondicoesComerciais[Volume mínimo 
(m3)],0),"")</f>
        <v>6100</v>
      </c>
      <c r="Q98" s="2">
        <f>_xlfn.XLOOKUP(BD_Receitas[[#This Row],[ID]],TabCondicoesComerciais[ID],TabCondicoesComerciais[Vol. 1ºGiro],0)</f>
        <v>1175</v>
      </c>
      <c r="R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98" s="1">
        <f xml:space="preserve"> IF(BD_Receitas[[#This Row],[TIPO DE COBRANÇA]]="Operação Normal",
_xlfn.XLOOKUP(BD_Receitas[[#This Row],[ID]],TabCondicoesComerciais[ID],TabCondicoesComerciais[Tarifa 2º Giro],0),0)</f>
        <v>25.04</v>
      </c>
      <c r="T98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9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76.406233770491809</v>
      </c>
      <c r="V9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9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99" spans="1:24" hidden="1" x14ac:dyDescent="0.35">
      <c r="A99" s="3" t="s">
        <v>166</v>
      </c>
      <c r="B99" s="11">
        <v>45689</v>
      </c>
      <c r="C99" t="s">
        <v>31</v>
      </c>
      <c r="D99" t="s">
        <v>203</v>
      </c>
      <c r="E99" t="s">
        <v>32</v>
      </c>
      <c r="F99" s="10" t="s">
        <v>25</v>
      </c>
      <c r="G99" s="3" t="s">
        <v>12</v>
      </c>
      <c r="H99" s="3" t="s">
        <v>9</v>
      </c>
      <c r="I99" s="3" t="s">
        <v>15</v>
      </c>
      <c r="J99" s="1">
        <v>164947.60920000001</v>
      </c>
      <c r="K99" s="12">
        <v>6100</v>
      </c>
      <c r="L99" s="1">
        <v>152744</v>
      </c>
      <c r="M99" s="12">
        <v>4008.768</v>
      </c>
      <c r="N99" t="s">
        <v>120</v>
      </c>
      <c r="O99" t="s">
        <v>155</v>
      </c>
      <c r="P99" s="2">
        <f>IF(BD_Receitas[[#This Row],[TIPO DE COBRANÇA]]="Operação Normal",
_xlfn.XLOOKUP(BD_Receitas[[#This Row],[ID]],TabCondicoesComerciais[ID],TabCondicoesComerciais[Volume mínimo 
(m3)],0),"")</f>
        <v>6100</v>
      </c>
      <c r="Q99" s="2">
        <f>_xlfn.XLOOKUP(BD_Receitas[[#This Row],[ID]],TabCondicoesComerciais[ID],TabCondicoesComerciais[Vol. 1ºGiro],0)</f>
        <v>1175</v>
      </c>
      <c r="R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99" s="1">
        <f xml:space="preserve"> IF(BD_Receitas[[#This Row],[TIPO DE COBRANÇA]]="Operação Normal",
_xlfn.XLOOKUP(BD_Receitas[[#This Row],[ID]],TabCondicoesComerciais[ID],TabCondicoesComerciais[Tarifa 2º Giro],0),0)</f>
        <v>25.04</v>
      </c>
      <c r="T99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116.26465437760429</v>
      </c>
      <c r="V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100379.55072</v>
      </c>
      <c r="X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0" spans="1:24" hidden="1" x14ac:dyDescent="0.35">
      <c r="A100" s="3" t="s">
        <v>166</v>
      </c>
      <c r="B100" s="11">
        <v>45689</v>
      </c>
      <c r="C100" t="s">
        <v>31</v>
      </c>
      <c r="D100" t="s">
        <v>203</v>
      </c>
      <c r="E100" t="s">
        <v>32</v>
      </c>
      <c r="F100" s="10" t="s">
        <v>25</v>
      </c>
      <c r="G100" s="3" t="s">
        <v>12</v>
      </c>
      <c r="H100" s="3" t="s">
        <v>9</v>
      </c>
      <c r="I100" s="3" t="s">
        <v>65</v>
      </c>
      <c r="J100" s="1">
        <v>0</v>
      </c>
      <c r="K100" s="12">
        <v>0</v>
      </c>
      <c r="L100" s="1"/>
      <c r="M100" s="12"/>
      <c r="N100"/>
      <c r="O100"/>
      <c r="P100" s="2" t="str">
        <f>IF(BD_Receitas[[#This Row],[TIPO DE COBRANÇA]]="Operação Normal",
_xlfn.XLOOKUP(BD_Receitas[[#This Row],[ID]],TabCondicoesComerciais[ID],TabCondicoesComerciais[Volume mínimo 
(m3)],0),"")</f>
        <v/>
      </c>
      <c r="Q100" s="2">
        <f>_xlfn.XLOOKUP(BD_Receitas[[#This Row],[ID]],TabCondicoesComerciais[ID],TabCondicoesComerciais[Vol. 1ºGiro],0)</f>
        <v>1175</v>
      </c>
      <c r="R1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" s="1">
        <f xml:space="preserve"> IF(BD_Receitas[[#This Row],[TIPO DE COBRANÇA]]="Operação Normal",
_xlfn.XLOOKUP(BD_Receitas[[#This Row],[ID]],TabCondicoesComerciais[ID],TabCondicoesComerciais[Tarifa 2º Giro],0),0)</f>
        <v>0</v>
      </c>
      <c r="T1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" spans="1:24" hidden="1" x14ac:dyDescent="0.35">
      <c r="A101" s="3" t="s">
        <v>169</v>
      </c>
      <c r="B101" s="11">
        <v>45689</v>
      </c>
      <c r="C101" t="s">
        <v>31</v>
      </c>
      <c r="D101" t="s">
        <v>203</v>
      </c>
      <c r="E101" t="s">
        <v>32</v>
      </c>
      <c r="F101" s="10" t="s">
        <v>25</v>
      </c>
      <c r="G101" s="3" t="s">
        <v>12</v>
      </c>
      <c r="H101" s="3" t="s">
        <v>170</v>
      </c>
      <c r="I101" s="3" t="s">
        <v>7</v>
      </c>
      <c r="J101" s="1">
        <v>0</v>
      </c>
      <c r="K101" s="12">
        <v>0</v>
      </c>
      <c r="L101" s="1"/>
      <c r="M101" s="12"/>
      <c r="N101"/>
      <c r="O101"/>
      <c r="P101" s="2" t="str">
        <f>IF(BD_Receitas[[#This Row],[TIPO DE COBRANÇA]]="Operação Normal",
_xlfn.XLOOKUP(BD_Receitas[[#This Row],[ID]],TabCondicoesComerciais[ID],TabCondicoesComerciais[Volume mínimo 
(m3)],0),"")</f>
        <v/>
      </c>
      <c r="Q101" s="2">
        <f>_xlfn.XLOOKUP(BD_Receitas[[#This Row],[ID]],TabCondicoesComerciais[ID],TabCondicoesComerciais[Vol. 1ºGiro],0)</f>
        <v>1040</v>
      </c>
      <c r="R1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101" s="1">
        <f xml:space="preserve"> IF(BD_Receitas[[#This Row],[TIPO DE COBRANÇA]]="Operação Normal",
_xlfn.XLOOKUP(BD_Receitas[[#This Row],[ID]],TabCondicoesComerciais[ID],TabCondicoesComerciais[Tarifa 2º Giro],0),0)</f>
        <v>0</v>
      </c>
      <c r="T1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" spans="1:24" hidden="1" x14ac:dyDescent="0.35">
      <c r="A102" s="3" t="s">
        <v>169</v>
      </c>
      <c r="B102" s="11">
        <v>45689</v>
      </c>
      <c r="C102" t="s">
        <v>31</v>
      </c>
      <c r="D102" t="s">
        <v>203</v>
      </c>
      <c r="E102" t="s">
        <v>32</v>
      </c>
      <c r="F102" s="10" t="s">
        <v>25</v>
      </c>
      <c r="G102" s="3" t="s">
        <v>12</v>
      </c>
      <c r="H102" s="3" t="s">
        <v>170</v>
      </c>
      <c r="I102" s="3" t="s">
        <v>8</v>
      </c>
      <c r="J102" s="1">
        <v>0</v>
      </c>
      <c r="K102" s="12">
        <v>0</v>
      </c>
      <c r="L102" s="1"/>
      <c r="M102" s="12"/>
      <c r="N102"/>
      <c r="O102"/>
      <c r="P102" s="2" t="str">
        <f>IF(BD_Receitas[[#This Row],[TIPO DE COBRANÇA]]="Operação Normal",
_xlfn.XLOOKUP(BD_Receitas[[#This Row],[ID]],TabCondicoesComerciais[ID],TabCondicoesComerciais[Volume mínimo 
(m3)],0),"")</f>
        <v/>
      </c>
      <c r="Q102" s="2">
        <f>_xlfn.XLOOKUP(BD_Receitas[[#This Row],[ID]],TabCondicoesComerciais[ID],TabCondicoesComerciais[Vol. 1ºGiro],0)</f>
        <v>1040</v>
      </c>
      <c r="R1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102" s="1">
        <f xml:space="preserve"> IF(BD_Receitas[[#This Row],[TIPO DE COBRANÇA]]="Operação Normal",
_xlfn.XLOOKUP(BD_Receitas[[#This Row],[ID]],TabCondicoesComerciais[ID],TabCondicoesComerciais[Tarifa 2º Giro],0),0)</f>
        <v>0</v>
      </c>
      <c r="T1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" spans="1:24" hidden="1" x14ac:dyDescent="0.35">
      <c r="A103" s="3" t="s">
        <v>169</v>
      </c>
      <c r="B103" s="11">
        <v>45689</v>
      </c>
      <c r="C103" t="s">
        <v>31</v>
      </c>
      <c r="D103" t="s">
        <v>203</v>
      </c>
      <c r="E103" t="s">
        <v>32</v>
      </c>
      <c r="F103" s="10" t="s">
        <v>25</v>
      </c>
      <c r="G103" s="3" t="s">
        <v>12</v>
      </c>
      <c r="H103" s="3" t="s">
        <v>170</v>
      </c>
      <c r="I103" s="3" t="s">
        <v>15</v>
      </c>
      <c r="J103" s="1">
        <v>0</v>
      </c>
      <c r="K103" s="12">
        <v>0</v>
      </c>
      <c r="L103" s="1"/>
      <c r="M103" s="12"/>
      <c r="N103"/>
      <c r="O103"/>
      <c r="P103" s="2">
        <f>IF(BD_Receitas[[#This Row],[TIPO DE COBRANÇA]]="Operação Normal",
_xlfn.XLOOKUP(BD_Receitas[[#This Row],[ID]],TabCondicoesComerciais[ID],TabCondicoesComerciais[Volume mínimo 
(m3)],0),"")</f>
        <v>4160</v>
      </c>
      <c r="Q103" s="2">
        <f>_xlfn.XLOOKUP(BD_Receitas[[#This Row],[ID]],TabCondicoesComerciais[ID],TabCondicoesComerciais[Vol. 1ºGiro],0)</f>
        <v>1040</v>
      </c>
      <c r="R1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103" s="1">
        <f xml:space="preserve"> IF(BD_Receitas[[#This Row],[TIPO DE COBRANÇA]]="Operação Normal",
_xlfn.XLOOKUP(BD_Receitas[[#This Row],[ID]],TabCondicoesComerciais[ID],TabCondicoesComerciais[Tarifa 2º Giro],0),0)</f>
        <v>28.44</v>
      </c>
      <c r="T10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1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4" spans="1:24" hidden="1" x14ac:dyDescent="0.35">
      <c r="A104" s="3" t="s">
        <v>169</v>
      </c>
      <c r="B104" s="11">
        <v>45689</v>
      </c>
      <c r="C104" t="s">
        <v>31</v>
      </c>
      <c r="D104" t="s">
        <v>203</v>
      </c>
      <c r="E104" t="s">
        <v>32</v>
      </c>
      <c r="F104" s="10" t="s">
        <v>25</v>
      </c>
      <c r="G104" s="3" t="s">
        <v>12</v>
      </c>
      <c r="H104" s="3" t="s">
        <v>170</v>
      </c>
      <c r="I104" s="3" t="s">
        <v>65</v>
      </c>
      <c r="J104" s="1">
        <v>0</v>
      </c>
      <c r="K104" s="12">
        <v>0</v>
      </c>
      <c r="L104" s="1"/>
      <c r="M104" s="12"/>
      <c r="N104"/>
      <c r="O104"/>
      <c r="P104" s="2" t="str">
        <f>IF(BD_Receitas[[#This Row],[TIPO DE COBRANÇA]]="Operação Normal",
_xlfn.XLOOKUP(BD_Receitas[[#This Row],[ID]],TabCondicoesComerciais[ID],TabCondicoesComerciais[Volume mínimo 
(m3)],0),"")</f>
        <v/>
      </c>
      <c r="Q104" s="2">
        <f>_xlfn.XLOOKUP(BD_Receitas[[#This Row],[ID]],TabCondicoesComerciais[ID],TabCondicoesComerciais[Vol. 1ºGiro],0)</f>
        <v>1040</v>
      </c>
      <c r="R1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" s="1">
        <f xml:space="preserve"> IF(BD_Receitas[[#This Row],[TIPO DE COBRANÇA]]="Operação Normal",
_xlfn.XLOOKUP(BD_Receitas[[#This Row],[ID]],TabCondicoesComerciais[ID],TabCondicoesComerciais[Tarifa 2º Giro],0),0)</f>
        <v>0</v>
      </c>
      <c r="T1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" spans="1:24" hidden="1" x14ac:dyDescent="0.35">
      <c r="A105" s="3" t="s">
        <v>134</v>
      </c>
      <c r="B105" s="11">
        <v>45689</v>
      </c>
      <c r="C105" t="s">
        <v>31</v>
      </c>
      <c r="D105" t="s">
        <v>62</v>
      </c>
      <c r="E105" t="s">
        <v>37</v>
      </c>
      <c r="F105" s="10" t="s">
        <v>57</v>
      </c>
      <c r="G105" s="3" t="s">
        <v>58</v>
      </c>
      <c r="H105" s="3" t="s">
        <v>10</v>
      </c>
      <c r="I105" s="3" t="s">
        <v>7</v>
      </c>
      <c r="J105" s="1">
        <v>0</v>
      </c>
      <c r="K105" s="12">
        <v>0</v>
      </c>
      <c r="L105" s="1"/>
      <c r="M105" s="12"/>
      <c r="N105"/>
      <c r="O105"/>
      <c r="P105" s="2" t="str">
        <f>IF(BD_Receitas[[#This Row],[TIPO DE COBRANÇA]]="Operação Normal",
_xlfn.XLOOKUP(BD_Receitas[[#This Row],[ID]],TabCondicoesComerciais[ID],TabCondicoesComerciais[Volume mínimo 
(m3)],0),"")</f>
        <v/>
      </c>
      <c r="Q105" s="2">
        <f>_xlfn.XLOOKUP(BD_Receitas[[#This Row],[ID]],TabCondicoesComerciais[ID],TabCondicoesComerciais[Vol. 1ºGiro],0)</f>
        <v>310</v>
      </c>
      <c r="R1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" s="1">
        <f xml:space="preserve"> IF(BD_Receitas[[#This Row],[TIPO DE COBRANÇA]]="Operação Normal",
_xlfn.XLOOKUP(BD_Receitas[[#This Row],[ID]],TabCondicoesComerciais[ID],TabCondicoesComerciais[Tarifa 2º Giro],0),0)</f>
        <v>0</v>
      </c>
      <c r="T1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" spans="1:24" hidden="1" x14ac:dyDescent="0.35">
      <c r="A106" s="3" t="s">
        <v>134</v>
      </c>
      <c r="B106" s="11">
        <v>45689</v>
      </c>
      <c r="C106" t="s">
        <v>31</v>
      </c>
      <c r="D106" t="s">
        <v>62</v>
      </c>
      <c r="E106" t="s">
        <v>37</v>
      </c>
      <c r="F106" s="10" t="s">
        <v>57</v>
      </c>
      <c r="G106" s="3" t="s">
        <v>58</v>
      </c>
      <c r="H106" s="3" t="s">
        <v>10</v>
      </c>
      <c r="I106" s="3" t="s">
        <v>8</v>
      </c>
      <c r="J106" s="1">
        <v>0</v>
      </c>
      <c r="K106" s="12">
        <v>0</v>
      </c>
      <c r="L106" s="1"/>
      <c r="M106" s="12"/>
      <c r="N106"/>
      <c r="O106"/>
      <c r="P106" s="2" t="str">
        <f>IF(BD_Receitas[[#This Row],[TIPO DE COBRANÇA]]="Operação Normal",
_xlfn.XLOOKUP(BD_Receitas[[#This Row],[ID]],TabCondicoesComerciais[ID],TabCondicoesComerciais[Volume mínimo 
(m3)],0),"")</f>
        <v/>
      </c>
      <c r="Q106" s="2">
        <f>_xlfn.XLOOKUP(BD_Receitas[[#This Row],[ID]],TabCondicoesComerciais[ID],TabCondicoesComerciais[Vol. 1ºGiro],0)</f>
        <v>310</v>
      </c>
      <c r="R1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06" s="1">
        <f xml:space="preserve"> IF(BD_Receitas[[#This Row],[TIPO DE COBRANÇA]]="Operação Normal",
_xlfn.XLOOKUP(BD_Receitas[[#This Row],[ID]],TabCondicoesComerciais[ID],TabCondicoesComerciais[Tarifa 2º Giro],0),0)</f>
        <v>0</v>
      </c>
      <c r="T1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" spans="1:24" hidden="1" x14ac:dyDescent="0.35">
      <c r="A107" s="3" t="s">
        <v>134</v>
      </c>
      <c r="B107" s="11">
        <v>45689</v>
      </c>
      <c r="C107" t="s">
        <v>31</v>
      </c>
      <c r="D107" t="s">
        <v>62</v>
      </c>
      <c r="E107" t="s">
        <v>37</v>
      </c>
      <c r="F107" s="10" t="s">
        <v>57</v>
      </c>
      <c r="G107" s="3" t="s">
        <v>58</v>
      </c>
      <c r="H107" s="3" t="s">
        <v>10</v>
      </c>
      <c r="I107" s="3" t="s">
        <v>15</v>
      </c>
      <c r="J107" s="1">
        <v>17311.068899999998</v>
      </c>
      <c r="K107" s="12">
        <v>550</v>
      </c>
      <c r="L107" s="1">
        <v>32571</v>
      </c>
      <c r="M107" s="12">
        <v>726.02599999999995</v>
      </c>
      <c r="N107" t="s">
        <v>164</v>
      </c>
      <c r="O107"/>
      <c r="P107" s="2">
        <f>IF(BD_Receitas[[#This Row],[TIPO DE COBRANÇA]]="Operação Normal",
_xlfn.XLOOKUP(BD_Receitas[[#This Row],[ID]],TabCondicoesComerciais[ID],TabCondicoesComerciais[Volume mínimo 
(m3)],0),"")</f>
        <v>1100</v>
      </c>
      <c r="Q107" s="2">
        <f>_xlfn.XLOOKUP(BD_Receitas[[#This Row],[ID]],TabCondicoesComerciais[ID],TabCondicoesComerciais[Vol. 1ºGiro],0)</f>
        <v>310</v>
      </c>
      <c r="R1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07" s="1">
        <f xml:space="preserve"> IF(BD_Receitas[[#This Row],[TIPO DE COBRANÇA]]="Operação Normal",
_xlfn.XLOOKUP(BD_Receitas[[#This Row],[ID]],TabCondicoesComerciais[ID],TabCondicoesComerciais[Tarifa 2º Giro],0),0)</f>
        <v>31.04</v>
      </c>
      <c r="T107" s="5">
        <f>IFERROR(IF(BD_Receitas[[#This Row],[TIPO DE COBRANÇA]]&lt;&gt;"Operação Normal","",BD_Receitas[[#This Row],[Valor Total R$]]/ MAX(BD_Receitas[[#This Row],[Vol. Movimentado M³]],
BD_Receitas[[#This Row],[Volume Mínimo ]])
),0)</f>
        <v>29.61</v>
      </c>
      <c r="U1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44.862029734472323</v>
      </c>
      <c r="V1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22535.847040000001</v>
      </c>
      <c r="X1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8" spans="1:24" hidden="1" x14ac:dyDescent="0.35">
      <c r="A108" s="3" t="s">
        <v>134</v>
      </c>
      <c r="B108" s="11">
        <v>45689</v>
      </c>
      <c r="C108" t="s">
        <v>31</v>
      </c>
      <c r="D108" t="s">
        <v>62</v>
      </c>
      <c r="E108" t="s">
        <v>37</v>
      </c>
      <c r="F108" s="10" t="s">
        <v>57</v>
      </c>
      <c r="G108" s="3" t="s">
        <v>58</v>
      </c>
      <c r="H108" s="3" t="s">
        <v>10</v>
      </c>
      <c r="I108" s="3" t="s">
        <v>65</v>
      </c>
      <c r="J108" s="1">
        <v>0</v>
      </c>
      <c r="K108" s="12">
        <v>0</v>
      </c>
      <c r="L108" s="1"/>
      <c r="M108" s="12"/>
      <c r="N108"/>
      <c r="O108"/>
      <c r="P108" s="2" t="str">
        <f>IF(BD_Receitas[[#This Row],[TIPO DE COBRANÇA]]="Operação Normal",
_xlfn.XLOOKUP(BD_Receitas[[#This Row],[ID]],TabCondicoesComerciais[ID],TabCondicoesComerciais[Volume mínimo 
(m3)],0),"")</f>
        <v/>
      </c>
      <c r="Q108" s="2">
        <f>_xlfn.XLOOKUP(BD_Receitas[[#This Row],[ID]],TabCondicoesComerciais[ID],TabCondicoesComerciais[Vol. 1ºGiro],0)</f>
        <v>310</v>
      </c>
      <c r="R1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" s="1">
        <f xml:space="preserve"> IF(BD_Receitas[[#This Row],[TIPO DE COBRANÇA]]="Operação Normal",
_xlfn.XLOOKUP(BD_Receitas[[#This Row],[ID]],TabCondicoesComerciais[ID],TabCondicoesComerciais[Tarifa 2º Giro],0),0)</f>
        <v>0</v>
      </c>
      <c r="T1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" spans="1:24" hidden="1" x14ac:dyDescent="0.35">
      <c r="A109" s="3" t="s">
        <v>173</v>
      </c>
      <c r="B109" s="11">
        <v>45689</v>
      </c>
      <c r="C109" t="s">
        <v>31</v>
      </c>
      <c r="D109" t="s">
        <v>62</v>
      </c>
      <c r="E109" t="s">
        <v>37</v>
      </c>
      <c r="F109" s="10" t="s">
        <v>57</v>
      </c>
      <c r="G109" s="3" t="s">
        <v>58</v>
      </c>
      <c r="H109" s="3" t="s">
        <v>6</v>
      </c>
      <c r="I109" s="3" t="s">
        <v>7</v>
      </c>
      <c r="J109" s="1">
        <v>0</v>
      </c>
      <c r="K109" s="12">
        <v>0</v>
      </c>
      <c r="L109" s="1"/>
      <c r="M109" s="12"/>
      <c r="N109"/>
      <c r="O109"/>
      <c r="P109" s="2" t="str">
        <f>IF(BD_Receitas[[#This Row],[TIPO DE COBRANÇA]]="Operação Normal",
_xlfn.XLOOKUP(BD_Receitas[[#This Row],[ID]],TabCondicoesComerciais[ID],TabCondicoesComerciais[Volume mínimo 
(m3)],0),"")</f>
        <v/>
      </c>
      <c r="Q109" s="2">
        <f>_xlfn.XLOOKUP(BD_Receitas[[#This Row],[ID]],TabCondicoesComerciais[ID],TabCondicoesComerciais[Vol. 1ºGiro],0)</f>
        <v>1070</v>
      </c>
      <c r="R1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9" s="1">
        <f xml:space="preserve"> IF(BD_Receitas[[#This Row],[TIPO DE COBRANÇA]]="Operação Normal",
_xlfn.XLOOKUP(BD_Receitas[[#This Row],[ID]],TabCondicoesComerciais[ID],TabCondicoesComerciais[Tarifa 2º Giro],0),0)</f>
        <v>0</v>
      </c>
      <c r="T1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" spans="1:24" hidden="1" x14ac:dyDescent="0.35">
      <c r="A110" s="3" t="s">
        <v>173</v>
      </c>
      <c r="B110" s="11">
        <v>45689</v>
      </c>
      <c r="C110" t="s">
        <v>31</v>
      </c>
      <c r="D110" t="s">
        <v>62</v>
      </c>
      <c r="E110" t="s">
        <v>37</v>
      </c>
      <c r="F110" s="10" t="s">
        <v>57</v>
      </c>
      <c r="G110" s="3" t="s">
        <v>58</v>
      </c>
      <c r="H110" s="3" t="s">
        <v>6</v>
      </c>
      <c r="I110" s="3" t="s">
        <v>8</v>
      </c>
      <c r="J110" s="1">
        <v>0</v>
      </c>
      <c r="K110" s="12">
        <v>0</v>
      </c>
      <c r="L110" s="1"/>
      <c r="M110" s="12"/>
      <c r="N110"/>
      <c r="O110"/>
      <c r="P110" s="2" t="str">
        <f>IF(BD_Receitas[[#This Row],[TIPO DE COBRANÇA]]="Operação Normal",
_xlfn.XLOOKUP(BD_Receitas[[#This Row],[ID]],TabCondicoesComerciais[ID],TabCondicoesComerciais[Volume mínimo 
(m3)],0),"")</f>
        <v/>
      </c>
      <c r="Q110" s="2">
        <f>_xlfn.XLOOKUP(BD_Receitas[[#This Row],[ID]],TabCondicoesComerciais[ID],TabCondicoesComerciais[Vol. 1ºGiro],0)</f>
        <v>1070</v>
      </c>
      <c r="R1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" s="1">
        <f xml:space="preserve"> IF(BD_Receitas[[#This Row],[TIPO DE COBRANÇA]]="Operação Normal",
_xlfn.XLOOKUP(BD_Receitas[[#This Row],[ID]],TabCondicoesComerciais[ID],TabCondicoesComerciais[Tarifa 2º Giro],0),0)</f>
        <v>0</v>
      </c>
      <c r="T1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" spans="1:24" hidden="1" x14ac:dyDescent="0.35">
      <c r="A111" s="3" t="s">
        <v>173</v>
      </c>
      <c r="B111" s="11">
        <v>45689</v>
      </c>
      <c r="C111" t="s">
        <v>31</v>
      </c>
      <c r="D111" t="s">
        <v>62</v>
      </c>
      <c r="E111" t="s">
        <v>37</v>
      </c>
      <c r="F111" s="10" t="s">
        <v>57</v>
      </c>
      <c r="G111" s="3" t="s">
        <v>58</v>
      </c>
      <c r="H111" s="3" t="s">
        <v>6</v>
      </c>
      <c r="I111" s="3" t="s">
        <v>15</v>
      </c>
      <c r="J111" s="1">
        <v>0</v>
      </c>
      <c r="K111" s="12">
        <v>0</v>
      </c>
      <c r="L111" s="1">
        <v>74184</v>
      </c>
      <c r="M111" s="12">
        <v>3113.1289999999999</v>
      </c>
      <c r="N111" t="s">
        <v>165</v>
      </c>
      <c r="O111"/>
      <c r="P111" s="2">
        <f>IF(BD_Receitas[[#This Row],[TIPO DE COBRANÇA]]="Operação Normal",
_xlfn.XLOOKUP(BD_Receitas[[#This Row],[ID]],TabCondicoesComerciais[ID],TabCondicoesComerciais[Volume mínimo 
(m3)],0),"")</f>
        <v>3300</v>
      </c>
      <c r="Q111" s="2">
        <f>_xlfn.XLOOKUP(BD_Receitas[[#This Row],[ID]],TabCondicoesComerciais[ID],TabCondicoesComerciais[Vol. 1ºGiro],0)</f>
        <v>1070</v>
      </c>
      <c r="R1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11" s="1">
        <f xml:space="preserve"> IF(BD_Receitas[[#This Row],[TIPO DE COBRANÇA]]="Operação Normal",
_xlfn.XLOOKUP(BD_Receitas[[#This Row],[ID]],TabCondicoesComerciais[ID],TabCondicoesComerciais[Tarifa 2º Giro],0),0)</f>
        <v>23.42</v>
      </c>
      <c r="T111" s="5">
        <f>IFERROR(IF(BD_Receitas[[#This Row],[TIPO DE COBRANÇA]]&lt;&gt;"Operação Normal","",BD_Receitas[[#This Row],[Valor Total R$]]/ MAX(BD_Receitas[[#This Row],[Vol. Movimentado M³]],
BD_Receitas[[#This Row],[Volume Mínimo ]])
),0)</f>
        <v>22.48</v>
      </c>
      <c r="U1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23.829401223013889</v>
      </c>
      <c r="V1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72909.481180000002</v>
      </c>
      <c r="X1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2" spans="1:24" hidden="1" x14ac:dyDescent="0.35">
      <c r="A112" s="3" t="s">
        <v>173</v>
      </c>
      <c r="B112" s="11">
        <v>45689</v>
      </c>
      <c r="C112" t="s">
        <v>31</v>
      </c>
      <c r="D112" t="s">
        <v>62</v>
      </c>
      <c r="E112" t="s">
        <v>37</v>
      </c>
      <c r="F112" s="10" t="s">
        <v>57</v>
      </c>
      <c r="G112" s="3" t="s">
        <v>58</v>
      </c>
      <c r="H112" s="3" t="s">
        <v>6</v>
      </c>
      <c r="I112" s="3" t="s">
        <v>65</v>
      </c>
      <c r="J112" s="1">
        <v>0</v>
      </c>
      <c r="K112" s="12">
        <v>0</v>
      </c>
      <c r="L112" s="1"/>
      <c r="M112" s="12"/>
      <c r="N112"/>
      <c r="O112"/>
      <c r="P112" s="2" t="str">
        <f>IF(BD_Receitas[[#This Row],[TIPO DE COBRANÇA]]="Operação Normal",
_xlfn.XLOOKUP(BD_Receitas[[#This Row],[ID]],TabCondicoesComerciais[ID],TabCondicoesComerciais[Volume mínimo 
(m3)],0),"")</f>
        <v/>
      </c>
      <c r="Q112" s="2">
        <f>_xlfn.XLOOKUP(BD_Receitas[[#This Row],[ID]],TabCondicoesComerciais[ID],TabCondicoesComerciais[Vol. 1ºGiro],0)</f>
        <v>1070</v>
      </c>
      <c r="R1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2" s="1">
        <f xml:space="preserve"> IF(BD_Receitas[[#This Row],[TIPO DE COBRANÇA]]="Operação Normal",
_xlfn.XLOOKUP(BD_Receitas[[#This Row],[ID]],TabCondicoesComerciais[ID],TabCondicoesComerciais[Tarifa 2º Giro],0),0)</f>
        <v>0</v>
      </c>
      <c r="T1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" spans="1:24" hidden="1" x14ac:dyDescent="0.35">
      <c r="A113" s="3" t="s">
        <v>184</v>
      </c>
      <c r="B113" s="11">
        <v>45689</v>
      </c>
      <c r="C113" t="s">
        <v>31</v>
      </c>
      <c r="D113" t="s">
        <v>203</v>
      </c>
      <c r="E113" t="s">
        <v>34</v>
      </c>
      <c r="F113" s="10" t="s">
        <v>26</v>
      </c>
      <c r="G113" s="3" t="s">
        <v>19</v>
      </c>
      <c r="H113" s="3" t="s">
        <v>13</v>
      </c>
      <c r="I113" s="3" t="s">
        <v>7</v>
      </c>
      <c r="J113" s="1">
        <v>0</v>
      </c>
      <c r="K113" s="12">
        <v>0</v>
      </c>
      <c r="L113" s="1"/>
      <c r="M113" s="12"/>
      <c r="N113"/>
      <c r="O113"/>
      <c r="P113" s="2" t="str">
        <f>IF(BD_Receitas[[#This Row],[TIPO DE COBRANÇA]]="Operação Normal",
_xlfn.XLOOKUP(BD_Receitas[[#This Row],[ID]],TabCondicoesComerciais[ID],TabCondicoesComerciais[Volume mínimo 
(m3)],0),"")</f>
        <v/>
      </c>
      <c r="Q113" s="2">
        <f>_xlfn.XLOOKUP(BD_Receitas[[#This Row],[ID]],TabCondicoesComerciais[ID],TabCondicoesComerciais[Vol. 1ºGiro],0)</f>
        <v>340</v>
      </c>
      <c r="R1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3" s="1">
        <f xml:space="preserve"> IF(BD_Receitas[[#This Row],[TIPO DE COBRANÇA]]="Operação Normal",
_xlfn.XLOOKUP(BD_Receitas[[#This Row],[ID]],TabCondicoesComerciais[ID],TabCondicoesComerciais[Tarifa 2º Giro],0),0)</f>
        <v>0</v>
      </c>
      <c r="T1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" spans="1:24" hidden="1" x14ac:dyDescent="0.35">
      <c r="A114" s="3" t="s">
        <v>184</v>
      </c>
      <c r="B114" s="11">
        <v>45689</v>
      </c>
      <c r="C114" t="s">
        <v>31</v>
      </c>
      <c r="D114" t="s">
        <v>203</v>
      </c>
      <c r="E114" t="s">
        <v>34</v>
      </c>
      <c r="F114" s="10" t="s">
        <v>26</v>
      </c>
      <c r="G114" s="3" t="s">
        <v>19</v>
      </c>
      <c r="H114" s="3" t="s">
        <v>13</v>
      </c>
      <c r="I114" s="3" t="s">
        <v>8</v>
      </c>
      <c r="J114" s="1">
        <v>0</v>
      </c>
      <c r="K114" s="12">
        <v>0</v>
      </c>
      <c r="L114" s="1"/>
      <c r="M114" s="12"/>
      <c r="N114"/>
      <c r="O114"/>
      <c r="P114" s="2" t="str">
        <f>IF(BD_Receitas[[#This Row],[TIPO DE COBRANÇA]]="Operação Normal",
_xlfn.XLOOKUP(BD_Receitas[[#This Row],[ID]],TabCondicoesComerciais[ID],TabCondicoesComerciais[Volume mínimo 
(m3)],0),"")</f>
        <v/>
      </c>
      <c r="Q114" s="2">
        <f>_xlfn.XLOOKUP(BD_Receitas[[#This Row],[ID]],TabCondicoesComerciais[ID],TabCondicoesComerciais[Vol. 1ºGiro],0)</f>
        <v>340</v>
      </c>
      <c r="R1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14" s="1">
        <f xml:space="preserve"> IF(BD_Receitas[[#This Row],[TIPO DE COBRANÇA]]="Operação Normal",
_xlfn.XLOOKUP(BD_Receitas[[#This Row],[ID]],TabCondicoesComerciais[ID],TabCondicoesComerciais[Tarifa 2º Giro],0),0)</f>
        <v>0</v>
      </c>
      <c r="T1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" spans="1:24" hidden="1" x14ac:dyDescent="0.35">
      <c r="A115" s="3" t="s">
        <v>184</v>
      </c>
      <c r="B115" s="11">
        <v>45689</v>
      </c>
      <c r="C115" t="s">
        <v>31</v>
      </c>
      <c r="D115" t="s">
        <v>203</v>
      </c>
      <c r="E115" t="s">
        <v>34</v>
      </c>
      <c r="F115" s="10" t="s">
        <v>26</v>
      </c>
      <c r="G115" s="3" t="s">
        <v>19</v>
      </c>
      <c r="H115" s="3" t="s">
        <v>13</v>
      </c>
      <c r="I115" s="3" t="s">
        <v>15</v>
      </c>
      <c r="J115" s="1">
        <v>16933.880399999998</v>
      </c>
      <c r="K115" s="12">
        <v>545</v>
      </c>
      <c r="L115" s="1">
        <v>15260</v>
      </c>
      <c r="M115" s="12">
        <v>879.678</v>
      </c>
      <c r="N115" t="s">
        <v>163</v>
      </c>
      <c r="O115"/>
      <c r="P115" s="2">
        <f>IF(BD_Receitas[[#This Row],[TIPO DE COBRANÇA]]="Operação Normal",
_xlfn.XLOOKUP(BD_Receitas[[#This Row],[ID]],TabCondicoesComerciais[ID],TabCondicoesComerciais[Volume mínimo 
(m3)],0),"")</f>
        <v>1020</v>
      </c>
      <c r="Q115" s="2">
        <f>_xlfn.XLOOKUP(BD_Receitas[[#This Row],[ID]],TabCondicoesComerciais[ID],TabCondicoesComerciais[Vol. 1ºGiro],0)</f>
        <v>340</v>
      </c>
      <c r="R1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5" s="1">
        <f xml:space="preserve"> IF(BD_Receitas[[#This Row],[TIPO DE COBRANÇA]]="Operação Normal",
_xlfn.XLOOKUP(BD_Receitas[[#This Row],[ID]],TabCondicoesComerciais[ID],TabCondicoesComerciais[Tarifa 2º Giro],0),0)</f>
        <v>28</v>
      </c>
      <c r="T115" s="5">
        <f>IFERROR(IF(BD_Receitas[[#This Row],[TIPO DE COBRANÇA]]&lt;&gt;"Operação Normal","",BD_Receitas[[#This Row],[Valor Total R$]]/ MAX(BD_Receitas[[#This Row],[Vol. Movimentado M³]],
BD_Receitas[[#This Row],[Volume Mínimo ]])
),0)</f>
        <v>14.96078431372549</v>
      </c>
      <c r="U1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17.347256609804951</v>
      </c>
      <c r="V1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1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24630.984</v>
      </c>
      <c r="X1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6" spans="1:24" hidden="1" x14ac:dyDescent="0.35">
      <c r="A116" s="3" t="s">
        <v>184</v>
      </c>
      <c r="B116" s="11">
        <v>45689</v>
      </c>
      <c r="C116" t="s">
        <v>31</v>
      </c>
      <c r="D116" t="s">
        <v>203</v>
      </c>
      <c r="E116" t="s">
        <v>34</v>
      </c>
      <c r="F116" s="10" t="s">
        <v>26</v>
      </c>
      <c r="G116" s="3" t="s">
        <v>19</v>
      </c>
      <c r="H116" s="3" t="s">
        <v>13</v>
      </c>
      <c r="I116" s="3" t="s">
        <v>65</v>
      </c>
      <c r="J116" s="1">
        <v>0</v>
      </c>
      <c r="K116" s="12">
        <v>0</v>
      </c>
      <c r="L116" s="1"/>
      <c r="M116" s="12"/>
      <c r="N116"/>
      <c r="O116"/>
      <c r="P116" s="2" t="str">
        <f>IF(BD_Receitas[[#This Row],[TIPO DE COBRANÇA]]="Operação Normal",
_xlfn.XLOOKUP(BD_Receitas[[#This Row],[ID]],TabCondicoesComerciais[ID],TabCondicoesComerciais[Volume mínimo 
(m3)],0),"")</f>
        <v/>
      </c>
      <c r="Q116" s="2">
        <f>_xlfn.XLOOKUP(BD_Receitas[[#This Row],[ID]],TabCondicoesComerciais[ID],TabCondicoesComerciais[Vol. 1ºGiro],0)</f>
        <v>340</v>
      </c>
      <c r="R1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6" s="1">
        <f xml:space="preserve"> IF(BD_Receitas[[#This Row],[TIPO DE COBRANÇA]]="Operação Normal",
_xlfn.XLOOKUP(BD_Receitas[[#This Row],[ID]],TabCondicoesComerciais[ID],TabCondicoesComerciais[Tarifa 2º Giro],0),0)</f>
        <v>0</v>
      </c>
      <c r="T1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" spans="1:24" hidden="1" x14ac:dyDescent="0.35">
      <c r="A117" s="3" t="s">
        <v>142</v>
      </c>
      <c r="B117" s="11">
        <v>45717</v>
      </c>
      <c r="C117" t="s">
        <v>31</v>
      </c>
      <c r="D117" t="s">
        <v>202</v>
      </c>
      <c r="E117" t="s">
        <v>36</v>
      </c>
      <c r="F117" s="10" t="s">
        <v>48</v>
      </c>
      <c r="G117" s="3" t="s">
        <v>49</v>
      </c>
      <c r="H117" s="3" t="s">
        <v>52</v>
      </c>
      <c r="I117" s="3" t="s">
        <v>7</v>
      </c>
      <c r="J117" s="1">
        <v>0</v>
      </c>
      <c r="K117" s="12">
        <v>0</v>
      </c>
      <c r="L117" s="1"/>
      <c r="M117" s="12"/>
      <c r="N117"/>
      <c r="O117"/>
      <c r="P117" s="2" t="str">
        <f>IF(BD_Receitas[[#This Row],[TIPO DE COBRANÇA]]="Operação Normal",
_xlfn.XLOOKUP(BD_Receitas[[#This Row],[ID]],TabCondicoesComerciais[ID],TabCondicoesComerciais[Volume mínimo 
(m3)],0),"")</f>
        <v/>
      </c>
      <c r="Q117" s="2">
        <f>_xlfn.XLOOKUP(BD_Receitas[[#This Row],[ID]],TabCondicoesComerciais[ID],TabCondicoesComerciais[Vol. 1ºGiro],0)</f>
        <v>360</v>
      </c>
      <c r="R1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117" s="1">
        <f xml:space="preserve"> IF(BD_Receitas[[#This Row],[TIPO DE COBRANÇA]]="Operação Normal",
_xlfn.XLOOKUP(BD_Receitas[[#This Row],[ID]],TabCondicoesComerciais[ID],TabCondicoesComerciais[Tarifa 2º Giro],0),0)</f>
        <v>0</v>
      </c>
      <c r="T1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" spans="1:24" hidden="1" x14ac:dyDescent="0.35">
      <c r="A118" s="3" t="s">
        <v>142</v>
      </c>
      <c r="B118" s="11">
        <v>45717</v>
      </c>
      <c r="C118" t="s">
        <v>31</v>
      </c>
      <c r="D118" t="s">
        <v>202</v>
      </c>
      <c r="E118" t="s">
        <v>36</v>
      </c>
      <c r="F118" s="10" t="s">
        <v>48</v>
      </c>
      <c r="G118" s="3" t="s">
        <v>49</v>
      </c>
      <c r="H118" s="3" t="s">
        <v>52</v>
      </c>
      <c r="I118" s="3" t="s">
        <v>8</v>
      </c>
      <c r="J118" s="1">
        <v>0</v>
      </c>
      <c r="K118" s="12">
        <v>0</v>
      </c>
      <c r="L118" s="1"/>
      <c r="M118" s="12"/>
      <c r="N118"/>
      <c r="O118"/>
      <c r="P118" s="2" t="str">
        <f>IF(BD_Receitas[[#This Row],[TIPO DE COBRANÇA]]="Operação Normal",
_xlfn.XLOOKUP(BD_Receitas[[#This Row],[ID]],TabCondicoesComerciais[ID],TabCondicoesComerciais[Volume mínimo 
(m3)],0),"")</f>
        <v/>
      </c>
      <c r="Q118" s="2">
        <f>_xlfn.XLOOKUP(BD_Receitas[[#This Row],[ID]],TabCondicoesComerciais[ID],TabCondicoesComerciais[Vol. 1ºGiro],0)</f>
        <v>360</v>
      </c>
      <c r="R1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118" s="1">
        <f xml:space="preserve"> IF(BD_Receitas[[#This Row],[TIPO DE COBRANÇA]]="Operação Normal",
_xlfn.XLOOKUP(BD_Receitas[[#This Row],[ID]],TabCondicoesComerciais[ID],TabCondicoesComerciais[Tarifa 2º Giro],0),0)</f>
        <v>0</v>
      </c>
      <c r="T1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" spans="1:24" hidden="1" x14ac:dyDescent="0.35">
      <c r="A119" s="3" t="s">
        <v>142</v>
      </c>
      <c r="B119" s="11">
        <v>45717</v>
      </c>
      <c r="C119" t="s">
        <v>31</v>
      </c>
      <c r="D119" t="s">
        <v>202</v>
      </c>
      <c r="E119" t="s">
        <v>36</v>
      </c>
      <c r="F119" s="10" t="s">
        <v>48</v>
      </c>
      <c r="G119" s="3" t="s">
        <v>49</v>
      </c>
      <c r="H119" s="3" t="s">
        <v>52</v>
      </c>
      <c r="I119" s="3" t="s">
        <v>15</v>
      </c>
      <c r="J119" s="1">
        <v>89789.3701</v>
      </c>
      <c r="K119" s="12">
        <v>2040</v>
      </c>
      <c r="L119" s="1">
        <v>83456.399999999994</v>
      </c>
      <c r="M119" s="12">
        <v>796.94500000000005</v>
      </c>
      <c r="N119" t="s">
        <v>174</v>
      </c>
      <c r="O119"/>
      <c r="P119" s="2">
        <f>IF(BD_Receitas[[#This Row],[TIPO DE COBRANÇA]]="Operação Normal",
_xlfn.XLOOKUP(BD_Receitas[[#This Row],[ID]],TabCondicoesComerciais[ID],TabCondicoesComerciais[Volume mínimo 
(m3)],0),"")</f>
        <v>2040</v>
      </c>
      <c r="Q119" s="2">
        <f>_xlfn.XLOOKUP(BD_Receitas[[#This Row],[ID]],TabCondicoesComerciais[ID],TabCondicoesComerciais[Vol. 1ºGiro],0)</f>
        <v>360</v>
      </c>
      <c r="R1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119" s="1">
        <f xml:space="preserve"> IF(BD_Receitas[[#This Row],[TIPO DE COBRANÇA]]="Operação Normal",
_xlfn.XLOOKUP(BD_Receitas[[#This Row],[ID]],TabCondicoesComerciais[ID],TabCondicoesComerciais[Tarifa 2º Giro],0),0)</f>
        <v>42.64</v>
      </c>
      <c r="T119" s="5">
        <f>IFERROR(IF(BD_Receitas[[#This Row],[TIPO DE COBRANÇA]]&lt;&gt;"Operação Normal","",BD_Receitas[[#This Row],[Valor Total R$]]/ MAX(BD_Receitas[[#This Row],[Vol. Movimentado M³]],
BD_Receitas[[#This Row],[Volume Mínimo ]])
),0)</f>
        <v>40.909999999999997</v>
      </c>
      <c r="U1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104.7204010314388</v>
      </c>
      <c r="V1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1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33981.734800000006</v>
      </c>
      <c r="X1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0" spans="1:24" hidden="1" x14ac:dyDescent="0.35">
      <c r="A120" s="3" t="s">
        <v>142</v>
      </c>
      <c r="B120" s="11">
        <v>45717</v>
      </c>
      <c r="C120" t="s">
        <v>31</v>
      </c>
      <c r="D120" t="s">
        <v>202</v>
      </c>
      <c r="E120" t="s">
        <v>36</v>
      </c>
      <c r="F120" s="10" t="s">
        <v>48</v>
      </c>
      <c r="G120" s="3" t="s">
        <v>49</v>
      </c>
      <c r="H120" s="3" t="s">
        <v>52</v>
      </c>
      <c r="I120" s="3" t="s">
        <v>65</v>
      </c>
      <c r="J120" s="1">
        <v>0</v>
      </c>
      <c r="K120" s="12">
        <v>0</v>
      </c>
      <c r="L120" s="1"/>
      <c r="M120" s="12"/>
      <c r="N120"/>
      <c r="O120"/>
      <c r="P120" s="2" t="str">
        <f>IF(BD_Receitas[[#This Row],[TIPO DE COBRANÇA]]="Operação Normal",
_xlfn.XLOOKUP(BD_Receitas[[#This Row],[ID]],TabCondicoesComerciais[ID],TabCondicoesComerciais[Volume mínimo 
(m3)],0),"")</f>
        <v/>
      </c>
      <c r="Q120" s="2">
        <f>_xlfn.XLOOKUP(BD_Receitas[[#This Row],[ID]],TabCondicoesComerciais[ID],TabCondicoesComerciais[Vol. 1ºGiro],0)</f>
        <v>360</v>
      </c>
      <c r="R1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" s="1">
        <f xml:space="preserve"> IF(BD_Receitas[[#This Row],[TIPO DE COBRANÇA]]="Operação Normal",
_xlfn.XLOOKUP(BD_Receitas[[#This Row],[ID]],TabCondicoesComerciais[ID],TabCondicoesComerciais[Tarifa 2º Giro],0),0)</f>
        <v>0</v>
      </c>
      <c r="T1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" spans="1:24" hidden="1" x14ac:dyDescent="0.35">
      <c r="A121" s="3" t="s">
        <v>139</v>
      </c>
      <c r="B121" s="11">
        <v>45717</v>
      </c>
      <c r="C121" t="s">
        <v>31</v>
      </c>
      <c r="D121" t="s">
        <v>202</v>
      </c>
      <c r="E121" t="s">
        <v>36</v>
      </c>
      <c r="F121" s="10" t="s">
        <v>48</v>
      </c>
      <c r="G121" s="3" t="s">
        <v>49</v>
      </c>
      <c r="H121" s="3" t="s">
        <v>14</v>
      </c>
      <c r="I121" s="3" t="s">
        <v>7</v>
      </c>
      <c r="J121" s="1">
        <v>0</v>
      </c>
      <c r="K121" s="12">
        <v>0</v>
      </c>
      <c r="L121" s="1"/>
      <c r="M121" s="12"/>
      <c r="N121"/>
      <c r="O121"/>
      <c r="P121" s="2" t="str">
        <f>IF(BD_Receitas[[#This Row],[TIPO DE COBRANÇA]]="Operação Normal",
_xlfn.XLOOKUP(BD_Receitas[[#This Row],[ID]],TabCondicoesComerciais[ID],TabCondicoesComerciais[Volume mínimo 
(m3)],0),"")</f>
        <v/>
      </c>
      <c r="Q121" s="2">
        <f>_xlfn.XLOOKUP(BD_Receitas[[#This Row],[ID]],TabCondicoesComerciais[ID],TabCondicoesComerciais[Vol. 1ºGiro],0)</f>
        <v>365</v>
      </c>
      <c r="R1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1" s="1">
        <f xml:space="preserve"> IF(BD_Receitas[[#This Row],[TIPO DE COBRANÇA]]="Operação Normal",
_xlfn.XLOOKUP(BD_Receitas[[#This Row],[ID]],TabCondicoesComerciais[ID],TabCondicoesComerciais[Tarifa 2º Giro],0),0)</f>
        <v>0</v>
      </c>
      <c r="T1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" spans="1:24" hidden="1" x14ac:dyDescent="0.35">
      <c r="A122" s="3" t="s">
        <v>139</v>
      </c>
      <c r="B122" s="11">
        <v>45717</v>
      </c>
      <c r="C122" t="s">
        <v>31</v>
      </c>
      <c r="D122" t="s">
        <v>202</v>
      </c>
      <c r="E122" t="s">
        <v>36</v>
      </c>
      <c r="F122" s="10" t="s">
        <v>48</v>
      </c>
      <c r="G122" s="3" t="s">
        <v>49</v>
      </c>
      <c r="H122" s="3" t="s">
        <v>14</v>
      </c>
      <c r="I122" s="3" t="s">
        <v>8</v>
      </c>
      <c r="J122" s="1">
        <v>0</v>
      </c>
      <c r="K122" s="12">
        <v>0</v>
      </c>
      <c r="L122" s="1"/>
      <c r="M122" s="12"/>
      <c r="N122"/>
      <c r="O122"/>
      <c r="P122" s="2" t="str">
        <f>IF(BD_Receitas[[#This Row],[TIPO DE COBRANÇA]]="Operação Normal",
_xlfn.XLOOKUP(BD_Receitas[[#This Row],[ID]],TabCondicoesComerciais[ID],TabCondicoesComerciais[Volume mínimo 
(m3)],0),"")</f>
        <v/>
      </c>
      <c r="Q122" s="2">
        <f>_xlfn.XLOOKUP(BD_Receitas[[#This Row],[ID]],TabCondicoesComerciais[ID],TabCondicoesComerciais[Vol. 1ºGiro],0)</f>
        <v>365</v>
      </c>
      <c r="R1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" s="1">
        <f xml:space="preserve"> IF(BD_Receitas[[#This Row],[TIPO DE COBRANÇA]]="Operação Normal",
_xlfn.XLOOKUP(BD_Receitas[[#This Row],[ID]],TabCondicoesComerciais[ID],TabCondicoesComerciais[Tarifa 2º Giro],0),0)</f>
        <v>0</v>
      </c>
      <c r="T1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" spans="1:24" hidden="1" x14ac:dyDescent="0.35">
      <c r="A123" s="3" t="s">
        <v>139</v>
      </c>
      <c r="B123" s="11">
        <v>45717</v>
      </c>
      <c r="C123" t="s">
        <v>31</v>
      </c>
      <c r="D123" t="s">
        <v>202</v>
      </c>
      <c r="E123" t="s">
        <v>36</v>
      </c>
      <c r="F123" s="10" t="s">
        <v>48</v>
      </c>
      <c r="G123" s="3" t="s">
        <v>49</v>
      </c>
      <c r="H123" s="3" t="s">
        <v>14</v>
      </c>
      <c r="I123" s="3" t="s">
        <v>15</v>
      </c>
      <c r="J123" s="1">
        <v>28839.059300000001</v>
      </c>
      <c r="K123" s="12">
        <v>1500</v>
      </c>
      <c r="L123" s="1">
        <v>16726.32</v>
      </c>
      <c r="M123" s="12">
        <v>334.53199999999998</v>
      </c>
      <c r="N123" t="s">
        <v>175</v>
      </c>
      <c r="O123"/>
      <c r="P123" s="2">
        <f>IF(BD_Receitas[[#This Row],[TIPO DE COBRANÇA]]="Operação Normal",
_xlfn.XLOOKUP(BD_Receitas[[#This Row],[ID]],TabCondicoesComerciais[ID],TabCondicoesComerciais[Volume mínimo 
(m3)],0),"")</f>
        <v>936</v>
      </c>
      <c r="Q123" s="2">
        <f>_xlfn.XLOOKUP(BD_Receitas[[#This Row],[ID]],TabCondicoesComerciais[ID],TabCondicoesComerciais[Vol. 1ºGiro],0)</f>
        <v>365</v>
      </c>
      <c r="R1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123" s="1">
        <f xml:space="preserve"> IF(BD_Receitas[[#This Row],[TIPO DE COBRANÇA]]="Operação Normal",
_xlfn.XLOOKUP(BD_Receitas[[#This Row],[ID]],TabCondicoesComerciais[ID],TabCondicoesComerciais[Tarifa 2º Giro],0),0)</f>
        <v>17.87</v>
      </c>
      <c r="T123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1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49.999163009816698</v>
      </c>
      <c r="V1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1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5978.0868399999999</v>
      </c>
      <c r="X1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24" spans="1:24" hidden="1" x14ac:dyDescent="0.35">
      <c r="A124" s="3" t="s">
        <v>139</v>
      </c>
      <c r="B124" s="11">
        <v>45717</v>
      </c>
      <c r="C124" t="s">
        <v>31</v>
      </c>
      <c r="D124" t="s">
        <v>202</v>
      </c>
      <c r="E124" t="s">
        <v>36</v>
      </c>
      <c r="F124" s="10" t="s">
        <v>48</v>
      </c>
      <c r="G124" s="3" t="s">
        <v>49</v>
      </c>
      <c r="H124" s="3" t="s">
        <v>14</v>
      </c>
      <c r="I124" s="3" t="s">
        <v>65</v>
      </c>
      <c r="J124" s="1">
        <v>0</v>
      </c>
      <c r="K124" s="12">
        <v>0</v>
      </c>
      <c r="L124" s="1"/>
      <c r="M124" s="12"/>
      <c r="N124"/>
      <c r="O124"/>
      <c r="P124" s="2" t="str">
        <f>IF(BD_Receitas[[#This Row],[TIPO DE COBRANÇA]]="Operação Normal",
_xlfn.XLOOKUP(BD_Receitas[[#This Row],[ID]],TabCondicoesComerciais[ID],TabCondicoesComerciais[Volume mínimo 
(m3)],0),"")</f>
        <v/>
      </c>
      <c r="Q124" s="2">
        <f>_xlfn.XLOOKUP(BD_Receitas[[#This Row],[ID]],TabCondicoesComerciais[ID],TabCondicoesComerciais[Vol. 1ºGiro],0)</f>
        <v>365</v>
      </c>
      <c r="R1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" s="1">
        <f xml:space="preserve"> IF(BD_Receitas[[#This Row],[TIPO DE COBRANÇA]]="Operação Normal",
_xlfn.XLOOKUP(BD_Receitas[[#This Row],[ID]],TabCondicoesComerciais[ID],TabCondicoesComerciais[Tarifa 2º Giro],0),0)</f>
        <v>0</v>
      </c>
      <c r="T1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" spans="1:24" hidden="1" x14ac:dyDescent="0.35">
      <c r="A125" s="3" t="s">
        <v>25</v>
      </c>
      <c r="B125" s="11">
        <v>45717</v>
      </c>
      <c r="C125" t="s">
        <v>31</v>
      </c>
      <c r="D125" t="s">
        <v>202</v>
      </c>
      <c r="E125" t="s">
        <v>36</v>
      </c>
      <c r="F125" s="10" t="s">
        <v>48</v>
      </c>
      <c r="G125" s="3" t="s">
        <v>49</v>
      </c>
      <c r="H125" s="3" t="s">
        <v>116</v>
      </c>
      <c r="I125" s="3" t="s">
        <v>7</v>
      </c>
      <c r="J125" s="1">
        <v>0</v>
      </c>
      <c r="K125" s="12">
        <v>0</v>
      </c>
      <c r="L125" s="1"/>
      <c r="M125" s="12"/>
      <c r="N125"/>
      <c r="O125"/>
      <c r="P125" s="2" t="str">
        <f>IF(BD_Receitas[[#This Row],[TIPO DE COBRANÇA]]="Operação Normal",
_xlfn.XLOOKUP(BD_Receitas[[#This Row],[ID]],TabCondicoesComerciais[ID],TabCondicoesComerciais[Volume mínimo 
(m3)],0),"")</f>
        <v/>
      </c>
      <c r="Q125" s="2">
        <f>_xlfn.XLOOKUP(BD_Receitas[[#This Row],[ID]],TabCondicoesComerciais[ID],TabCondicoesComerciais[Vol. 1ºGiro],0)</f>
        <v>100</v>
      </c>
      <c r="R1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5" s="1">
        <f xml:space="preserve"> IF(BD_Receitas[[#This Row],[TIPO DE COBRANÇA]]="Operação Normal",
_xlfn.XLOOKUP(BD_Receitas[[#This Row],[ID]],TabCondicoesComerciais[ID],TabCondicoesComerciais[Tarifa 2º Giro],0),0)</f>
        <v>0</v>
      </c>
      <c r="T1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" spans="1:24" hidden="1" x14ac:dyDescent="0.35">
      <c r="A126" s="3" t="s">
        <v>25</v>
      </c>
      <c r="B126" s="11">
        <v>45717</v>
      </c>
      <c r="C126" t="s">
        <v>31</v>
      </c>
      <c r="D126" t="s">
        <v>202</v>
      </c>
      <c r="E126" t="s">
        <v>36</v>
      </c>
      <c r="F126" s="10" t="s">
        <v>48</v>
      </c>
      <c r="G126" s="3" t="s">
        <v>49</v>
      </c>
      <c r="H126" s="3" t="s">
        <v>116</v>
      </c>
      <c r="I126" s="3" t="s">
        <v>8</v>
      </c>
      <c r="J126" s="1">
        <v>0</v>
      </c>
      <c r="K126" s="12">
        <v>0</v>
      </c>
      <c r="L126" s="1"/>
      <c r="M126" s="12"/>
      <c r="N126"/>
      <c r="O126"/>
      <c r="P126" s="2" t="str">
        <f>IF(BD_Receitas[[#This Row],[TIPO DE COBRANÇA]]="Operação Normal",
_xlfn.XLOOKUP(BD_Receitas[[#This Row],[ID]],TabCondicoesComerciais[ID],TabCondicoesComerciais[Volume mínimo 
(m3)],0),"")</f>
        <v/>
      </c>
      <c r="Q126" s="2">
        <f>_xlfn.XLOOKUP(BD_Receitas[[#This Row],[ID]],TabCondicoesComerciais[ID],TabCondicoesComerciais[Vol. 1ºGiro],0)</f>
        <v>100</v>
      </c>
      <c r="R1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6" s="1">
        <f xml:space="preserve"> IF(BD_Receitas[[#This Row],[TIPO DE COBRANÇA]]="Operação Normal",
_xlfn.XLOOKUP(BD_Receitas[[#This Row],[ID]],TabCondicoesComerciais[ID],TabCondicoesComerciais[Tarifa 2º Giro],0),0)</f>
        <v>0</v>
      </c>
      <c r="T1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" spans="1:24" hidden="1" x14ac:dyDescent="0.35">
      <c r="A127" s="3" t="s">
        <v>25</v>
      </c>
      <c r="B127" s="11">
        <v>45717</v>
      </c>
      <c r="C127" t="s">
        <v>31</v>
      </c>
      <c r="D127" t="s">
        <v>202</v>
      </c>
      <c r="E127" t="s">
        <v>36</v>
      </c>
      <c r="F127" s="10" t="s">
        <v>48</v>
      </c>
      <c r="G127" s="3" t="s">
        <v>49</v>
      </c>
      <c r="H127" s="3" t="s">
        <v>116</v>
      </c>
      <c r="I127" s="3" t="s">
        <v>15</v>
      </c>
      <c r="J127" s="1">
        <v>9729.7296999999999</v>
      </c>
      <c r="K127" s="12">
        <v>300</v>
      </c>
      <c r="L127" s="1"/>
      <c r="M127" s="12"/>
      <c r="N127"/>
      <c r="O127"/>
      <c r="P127" s="2">
        <f>IF(BD_Receitas[[#This Row],[TIPO DE COBRANÇA]]="Operação Normal",
_xlfn.XLOOKUP(BD_Receitas[[#This Row],[ID]],TabCondicoesComerciais[ID],TabCondicoesComerciais[Volume mínimo 
(m3)],0),"")</f>
        <v>300</v>
      </c>
      <c r="Q127" s="2">
        <f>_xlfn.XLOOKUP(BD_Receitas[[#This Row],[ID]],TabCondicoesComerciais[ID],TabCondicoesComerciais[Vol. 1ºGiro],0)</f>
        <v>100</v>
      </c>
      <c r="R1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27" s="1">
        <f xml:space="preserve"> IF(BD_Receitas[[#This Row],[TIPO DE COBRANÇA]]="Operação Normal",
_xlfn.XLOOKUP(BD_Receitas[[#This Row],[ID]],TabCondicoesComerciais[ID],TabCondicoesComerciais[Tarifa 2º Giro],0),0)</f>
        <v>30</v>
      </c>
      <c r="T12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1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8" spans="1:24" hidden="1" x14ac:dyDescent="0.35">
      <c r="A128" s="3" t="s">
        <v>25</v>
      </c>
      <c r="B128" s="11">
        <v>45717</v>
      </c>
      <c r="C128" t="s">
        <v>31</v>
      </c>
      <c r="D128" t="s">
        <v>202</v>
      </c>
      <c r="E128" t="s">
        <v>36</v>
      </c>
      <c r="F128" s="10" t="s">
        <v>48</v>
      </c>
      <c r="G128" s="3" t="s">
        <v>49</v>
      </c>
      <c r="H128" s="3" t="s">
        <v>116</v>
      </c>
      <c r="I128" s="3" t="s">
        <v>65</v>
      </c>
      <c r="J128" s="1">
        <v>0</v>
      </c>
      <c r="K128" s="12">
        <v>0</v>
      </c>
      <c r="L128" s="1"/>
      <c r="M128" s="12"/>
      <c r="N128"/>
      <c r="O128"/>
      <c r="P128" s="2" t="str">
        <f>IF(BD_Receitas[[#This Row],[TIPO DE COBRANÇA]]="Operação Normal",
_xlfn.XLOOKUP(BD_Receitas[[#This Row],[ID]],TabCondicoesComerciais[ID],TabCondicoesComerciais[Volume mínimo 
(m3)],0),"")</f>
        <v/>
      </c>
      <c r="Q128" s="2">
        <f>_xlfn.XLOOKUP(BD_Receitas[[#This Row],[ID]],TabCondicoesComerciais[ID],TabCondicoesComerciais[Vol. 1ºGiro],0)</f>
        <v>100</v>
      </c>
      <c r="R1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" s="1">
        <f xml:space="preserve"> IF(BD_Receitas[[#This Row],[TIPO DE COBRANÇA]]="Operação Normal",
_xlfn.XLOOKUP(BD_Receitas[[#This Row],[ID]],TabCondicoesComerciais[ID],TabCondicoesComerciais[Tarifa 2º Giro],0),0)</f>
        <v>0</v>
      </c>
      <c r="T1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" spans="1:28" hidden="1" x14ac:dyDescent="0.35">
      <c r="A129" s="3" t="s">
        <v>102</v>
      </c>
      <c r="B129" s="11">
        <v>45717</v>
      </c>
      <c r="C129" t="s">
        <v>31</v>
      </c>
      <c r="D129" t="s">
        <v>202</v>
      </c>
      <c r="E129" t="s">
        <v>36</v>
      </c>
      <c r="F129" s="10" t="s">
        <v>48</v>
      </c>
      <c r="G129" s="3" t="s">
        <v>49</v>
      </c>
      <c r="H129" s="3" t="s">
        <v>51</v>
      </c>
      <c r="I129" s="3" t="s">
        <v>7</v>
      </c>
      <c r="J129" s="1">
        <v>0</v>
      </c>
      <c r="K129" s="12">
        <v>0</v>
      </c>
      <c r="L129" s="1"/>
      <c r="M129" s="12"/>
      <c r="N129"/>
      <c r="O129"/>
      <c r="P129" s="2" t="str">
        <f>IF(BD_Receitas[[#This Row],[TIPO DE COBRANÇA]]="Operação Normal",
_xlfn.XLOOKUP(BD_Receitas[[#This Row],[ID]],TabCondicoesComerciais[ID],TabCondicoesComerciais[Volume mínimo 
(m3)],0),"")</f>
        <v/>
      </c>
      <c r="Q129" s="2">
        <f>_xlfn.XLOOKUP(BD_Receitas[[#This Row],[ID]],TabCondicoesComerciais[ID],TabCondicoesComerciais[Vol. 1ºGiro],0)</f>
        <v>750</v>
      </c>
      <c r="R1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29" s="1">
        <f xml:space="preserve"> IF(BD_Receitas[[#This Row],[TIPO DE COBRANÇA]]="Operação Normal",
_xlfn.XLOOKUP(BD_Receitas[[#This Row],[ID]],TabCondicoesComerciais[ID],TabCondicoesComerciais[Tarifa 2º Giro],0),0)</f>
        <v>0</v>
      </c>
      <c r="T1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29"/>
      <c r="Z129"/>
      <c r="AA129"/>
      <c r="AB129"/>
    </row>
    <row r="130" spans="1:28" hidden="1" x14ac:dyDescent="0.35">
      <c r="A130" s="3" t="s">
        <v>102</v>
      </c>
      <c r="B130" s="11">
        <v>45717</v>
      </c>
      <c r="C130" t="s">
        <v>31</v>
      </c>
      <c r="D130" t="s">
        <v>202</v>
      </c>
      <c r="E130" t="s">
        <v>36</v>
      </c>
      <c r="F130" s="10" t="s">
        <v>48</v>
      </c>
      <c r="G130" s="3" t="s">
        <v>49</v>
      </c>
      <c r="H130" s="3" t="s">
        <v>51</v>
      </c>
      <c r="I130" s="3" t="s">
        <v>8</v>
      </c>
      <c r="J130" s="1">
        <v>0</v>
      </c>
      <c r="K130" s="12">
        <v>0</v>
      </c>
      <c r="L130" s="1"/>
      <c r="M130" s="12"/>
      <c r="N130"/>
      <c r="O130"/>
      <c r="P130" s="2" t="str">
        <f>IF(BD_Receitas[[#This Row],[TIPO DE COBRANÇA]]="Operação Normal",
_xlfn.XLOOKUP(BD_Receitas[[#This Row],[ID]],TabCondicoesComerciais[ID],TabCondicoesComerciais[Volume mínimo 
(m3)],0),"")</f>
        <v/>
      </c>
      <c r="Q130" s="2">
        <f>_xlfn.XLOOKUP(BD_Receitas[[#This Row],[ID]],TabCondicoesComerciais[ID],TabCondicoesComerciais[Vol. 1ºGiro],0)</f>
        <v>750</v>
      </c>
      <c r="R1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30" s="1">
        <f xml:space="preserve"> IF(BD_Receitas[[#This Row],[TIPO DE COBRANÇA]]="Operação Normal",
_xlfn.XLOOKUP(BD_Receitas[[#This Row],[ID]],TabCondicoesComerciais[ID],TabCondicoesComerciais[Tarifa 2º Giro],0),0)</f>
        <v>0</v>
      </c>
      <c r="T1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0"/>
      <c r="Z130"/>
      <c r="AA130"/>
      <c r="AB130"/>
    </row>
    <row r="131" spans="1:28" hidden="1" x14ac:dyDescent="0.35">
      <c r="A131" s="3" t="s">
        <v>102</v>
      </c>
      <c r="B131" s="11">
        <v>45717</v>
      </c>
      <c r="C131" t="s">
        <v>31</v>
      </c>
      <c r="D131" t="s">
        <v>202</v>
      </c>
      <c r="E131" t="s">
        <v>36</v>
      </c>
      <c r="F131" s="10" t="s">
        <v>48</v>
      </c>
      <c r="G131" s="3" t="s">
        <v>49</v>
      </c>
      <c r="H131" s="3" t="s">
        <v>51</v>
      </c>
      <c r="I131" s="3" t="s">
        <v>15</v>
      </c>
      <c r="J131" s="1">
        <v>226720.94589999999</v>
      </c>
      <c r="K131" s="12">
        <v>6500</v>
      </c>
      <c r="L131" s="1">
        <v>210730</v>
      </c>
      <c r="M131" s="12">
        <v>3264.277</v>
      </c>
      <c r="N131" t="s">
        <v>176</v>
      </c>
      <c r="O131"/>
      <c r="P131" s="2">
        <f>IF(BD_Receitas[[#This Row],[TIPO DE COBRANÇA]]="Operação Normal",
_xlfn.XLOOKUP(BD_Receitas[[#This Row],[ID]],TabCondicoesComerciais[ID],TabCondicoesComerciais[Volume mínimo 
(m3)],0),"")</f>
        <v>6500</v>
      </c>
      <c r="Q131" s="2">
        <f>_xlfn.XLOOKUP(BD_Receitas[[#This Row],[ID]],TabCondicoesComerciais[ID],TabCondicoesComerciais[Vol. 1ºGiro],0)</f>
        <v>750</v>
      </c>
      <c r="R1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131" s="1">
        <f xml:space="preserve"> IF(BD_Receitas[[#This Row],[TIPO DE COBRANÇA]]="Operação Normal",
_xlfn.XLOOKUP(BD_Receitas[[#This Row],[ID]],TabCondicoesComerciais[ID],TabCondicoesComerciais[Tarifa 2º Giro],0),0)</f>
        <v>32.42</v>
      </c>
      <c r="T131" s="5">
        <f>IFERROR(IF(BD_Receitas[[#This Row],[TIPO DE COBRANÇA]]&lt;&gt;"Operação Normal","",BD_Receitas[[#This Row],[Valor Total R$]]/ MAX(BD_Receitas[[#This Row],[Vol. Movimentado M³]],
BD_Receitas[[#This Row],[Volume Mínimo ]])
),0)</f>
        <v>32.42</v>
      </c>
      <c r="U1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64.556408662622687</v>
      </c>
      <c r="V1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1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105827.86034</v>
      </c>
      <c r="X1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  <c r="Y131"/>
      <c r="Z131"/>
      <c r="AA131"/>
      <c r="AB131"/>
    </row>
    <row r="132" spans="1:28" hidden="1" x14ac:dyDescent="0.35">
      <c r="A132" s="3" t="s">
        <v>102</v>
      </c>
      <c r="B132" s="11">
        <v>45717</v>
      </c>
      <c r="C132" t="s">
        <v>31</v>
      </c>
      <c r="D132" t="s">
        <v>202</v>
      </c>
      <c r="E132" t="s">
        <v>36</v>
      </c>
      <c r="F132" s="10" t="s">
        <v>48</v>
      </c>
      <c r="G132" s="3" t="s">
        <v>49</v>
      </c>
      <c r="H132" s="3" t="s">
        <v>51</v>
      </c>
      <c r="I132" s="3" t="s">
        <v>65</v>
      </c>
      <c r="J132" s="1">
        <v>0</v>
      </c>
      <c r="K132" s="12">
        <v>0</v>
      </c>
      <c r="L132" s="1"/>
      <c r="M132" s="12"/>
      <c r="N132"/>
      <c r="O132"/>
      <c r="P132" s="2" t="str">
        <f>IF(BD_Receitas[[#This Row],[TIPO DE COBRANÇA]]="Operação Normal",
_xlfn.XLOOKUP(BD_Receitas[[#This Row],[ID]],TabCondicoesComerciais[ID],TabCondicoesComerciais[Volume mínimo 
(m3)],0),"")</f>
        <v/>
      </c>
      <c r="Q132" s="2">
        <f>_xlfn.XLOOKUP(BD_Receitas[[#This Row],[ID]],TabCondicoesComerciais[ID],TabCondicoesComerciais[Vol. 1ºGiro],0)</f>
        <v>750</v>
      </c>
      <c r="R1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" s="1">
        <f xml:space="preserve"> IF(BD_Receitas[[#This Row],[TIPO DE COBRANÇA]]="Operação Normal",
_xlfn.XLOOKUP(BD_Receitas[[#This Row],[ID]],TabCondicoesComerciais[ID],TabCondicoesComerciais[Tarifa 2º Giro],0),0)</f>
        <v>0</v>
      </c>
      <c r="T1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2"/>
      <c r="Z132"/>
      <c r="AA132"/>
      <c r="AB132"/>
    </row>
    <row r="133" spans="1:28" hidden="1" x14ac:dyDescent="0.35">
      <c r="A133" s="3" t="s">
        <v>190</v>
      </c>
      <c r="B133" s="11">
        <v>45717</v>
      </c>
      <c r="C133" t="s">
        <v>31</v>
      </c>
      <c r="D133" t="s">
        <v>202</v>
      </c>
      <c r="E133" t="s">
        <v>35</v>
      </c>
      <c r="F133" s="10" t="s">
        <v>22</v>
      </c>
      <c r="G133" s="3" t="s">
        <v>11</v>
      </c>
      <c r="H133" s="3" t="s">
        <v>116</v>
      </c>
      <c r="I133" s="3" t="s">
        <v>7</v>
      </c>
      <c r="J133" s="1">
        <v>0</v>
      </c>
      <c r="K133" s="12">
        <v>0</v>
      </c>
      <c r="L133" s="1"/>
      <c r="M133" s="12"/>
      <c r="N133"/>
      <c r="O133"/>
      <c r="P133" s="2" t="str">
        <f>IF(BD_Receitas[[#This Row],[TIPO DE COBRANÇA]]="Operação Normal",
_xlfn.XLOOKUP(BD_Receitas[[#This Row],[ID]],TabCondicoesComerciais[ID],TabCondicoesComerciais[Volume mínimo 
(m3)],0),"")</f>
        <v/>
      </c>
      <c r="Q133" s="2">
        <f>_xlfn.XLOOKUP(BD_Receitas[[#This Row],[ID]],TabCondicoesComerciais[ID],TabCondicoesComerciais[Vol. 1ºGiro],0)</f>
        <v>580</v>
      </c>
      <c r="R1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3" s="1">
        <f xml:space="preserve"> IF(BD_Receitas[[#This Row],[TIPO DE COBRANÇA]]="Operação Normal",
_xlfn.XLOOKUP(BD_Receitas[[#This Row],[ID]],TabCondicoesComerciais[ID],TabCondicoesComerciais[Tarifa 2º Giro],0),0)</f>
        <v>0</v>
      </c>
      <c r="T1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3"/>
      <c r="Z133"/>
      <c r="AA133"/>
      <c r="AB133" s="13">
        <f>AA1+AA3</f>
        <v>0</v>
      </c>
    </row>
    <row r="134" spans="1:28" hidden="1" x14ac:dyDescent="0.35">
      <c r="A134" s="3" t="s">
        <v>190</v>
      </c>
      <c r="B134" s="11">
        <v>45717</v>
      </c>
      <c r="C134" t="s">
        <v>31</v>
      </c>
      <c r="D134" t="s">
        <v>202</v>
      </c>
      <c r="E134" t="s">
        <v>35</v>
      </c>
      <c r="F134" s="10" t="s">
        <v>22</v>
      </c>
      <c r="G134" s="3" t="s">
        <v>11</v>
      </c>
      <c r="H134" s="3" t="s">
        <v>116</v>
      </c>
      <c r="I134" s="3" t="s">
        <v>8</v>
      </c>
      <c r="J134" s="1">
        <v>0</v>
      </c>
      <c r="K134" s="12">
        <v>0</v>
      </c>
      <c r="L134" s="1"/>
      <c r="M134" s="12"/>
      <c r="N134"/>
      <c r="O134"/>
      <c r="P134" s="2" t="str">
        <f>IF(BD_Receitas[[#This Row],[TIPO DE COBRANÇA]]="Operação Normal",
_xlfn.XLOOKUP(BD_Receitas[[#This Row],[ID]],TabCondicoesComerciais[ID],TabCondicoesComerciais[Volume mínimo 
(m3)],0),"")</f>
        <v/>
      </c>
      <c r="Q134" s="2">
        <f>_xlfn.XLOOKUP(BD_Receitas[[#This Row],[ID]],TabCondicoesComerciais[ID],TabCondicoesComerciais[Vol. 1ºGiro],0)</f>
        <v>580</v>
      </c>
      <c r="R1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4" s="1">
        <f xml:space="preserve"> IF(BD_Receitas[[#This Row],[TIPO DE COBRANÇA]]="Operação Normal",
_xlfn.XLOOKUP(BD_Receitas[[#This Row],[ID]],TabCondicoesComerciais[ID],TabCondicoesComerciais[Tarifa 2º Giro],0),0)</f>
        <v>0</v>
      </c>
      <c r="T1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4"/>
      <c r="Z134"/>
      <c r="AA134"/>
      <c r="AB134"/>
    </row>
    <row r="135" spans="1:28" hidden="1" x14ac:dyDescent="0.35">
      <c r="A135" s="3" t="s">
        <v>190</v>
      </c>
      <c r="B135" s="11">
        <v>45717</v>
      </c>
      <c r="C135" t="s">
        <v>31</v>
      </c>
      <c r="D135" t="s">
        <v>202</v>
      </c>
      <c r="E135" t="s">
        <v>35</v>
      </c>
      <c r="F135" s="10" t="s">
        <v>22</v>
      </c>
      <c r="G135" s="3" t="s">
        <v>11</v>
      </c>
      <c r="H135" s="3" t="s">
        <v>116</v>
      </c>
      <c r="I135" s="3" t="s">
        <v>15</v>
      </c>
      <c r="J135" s="1">
        <v>59115.789499999999</v>
      </c>
      <c r="K135" s="12">
        <v>2000</v>
      </c>
      <c r="L135" s="1"/>
      <c r="M135" s="12"/>
      <c r="N135"/>
      <c r="O135"/>
      <c r="P135" s="2">
        <f>IF(BD_Receitas[[#This Row],[TIPO DE COBRANÇA]]="Operação Normal",
_xlfn.XLOOKUP(BD_Receitas[[#This Row],[ID]],TabCondicoesComerciais[ID],TabCondicoesComerciais[Volume mínimo 
(m3)],0),"")</f>
        <v>2000</v>
      </c>
      <c r="Q135" s="2">
        <f>_xlfn.XLOOKUP(BD_Receitas[[#This Row],[ID]],TabCondicoesComerciais[ID],TabCondicoesComerciais[Vol. 1ºGiro],0)</f>
        <v>580</v>
      </c>
      <c r="R1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35" s="1">
        <f xml:space="preserve"> IF(BD_Receitas[[#This Row],[TIPO DE COBRANÇA]]="Operação Normal",
_xlfn.XLOOKUP(BD_Receitas[[#This Row],[ID]],TabCondicoesComerciais[ID],TabCondicoesComerciais[Tarifa 2º Giro],0),0)</f>
        <v>27</v>
      </c>
      <c r="T13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  <c r="Y135"/>
      <c r="Z135"/>
      <c r="AA135"/>
      <c r="AB135"/>
    </row>
    <row r="136" spans="1:28" hidden="1" x14ac:dyDescent="0.35">
      <c r="A136" s="3" t="s">
        <v>190</v>
      </c>
      <c r="B136" s="11">
        <v>45717</v>
      </c>
      <c r="C136" t="s">
        <v>31</v>
      </c>
      <c r="D136" t="s">
        <v>202</v>
      </c>
      <c r="E136" t="s">
        <v>35</v>
      </c>
      <c r="F136" s="10" t="s">
        <v>22</v>
      </c>
      <c r="G136" s="3" t="s">
        <v>11</v>
      </c>
      <c r="H136" s="3" t="s">
        <v>116</v>
      </c>
      <c r="I136" s="3" t="s">
        <v>65</v>
      </c>
      <c r="J136" s="1">
        <v>0</v>
      </c>
      <c r="K136" s="12">
        <v>0</v>
      </c>
      <c r="L136" s="1"/>
      <c r="M136" s="12"/>
      <c r="N136"/>
      <c r="O136"/>
      <c r="P136" s="2" t="str">
        <f>IF(BD_Receitas[[#This Row],[TIPO DE COBRANÇA]]="Operação Normal",
_xlfn.XLOOKUP(BD_Receitas[[#This Row],[ID]],TabCondicoesComerciais[ID],TabCondicoesComerciais[Volume mínimo 
(m3)],0),"")</f>
        <v/>
      </c>
      <c r="Q136" s="2">
        <f>_xlfn.XLOOKUP(BD_Receitas[[#This Row],[ID]],TabCondicoesComerciais[ID],TabCondicoesComerciais[Vol. 1ºGiro],0)</f>
        <v>580</v>
      </c>
      <c r="R1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6" s="1">
        <f xml:space="preserve"> IF(BD_Receitas[[#This Row],[TIPO DE COBRANÇA]]="Operação Normal",
_xlfn.XLOOKUP(BD_Receitas[[#This Row],[ID]],TabCondicoesComerciais[ID],TabCondicoesComerciais[Tarifa 2º Giro],0),0)</f>
        <v>0</v>
      </c>
      <c r="T1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6"/>
      <c r="Z136"/>
      <c r="AA136"/>
      <c r="AB136"/>
    </row>
    <row r="137" spans="1:28" hidden="1" x14ac:dyDescent="0.35">
      <c r="A137" s="3" t="s">
        <v>172</v>
      </c>
      <c r="B137" s="11">
        <v>45717</v>
      </c>
      <c r="C137" t="s">
        <v>31</v>
      </c>
      <c r="D137" t="s">
        <v>202</v>
      </c>
      <c r="E137" t="s">
        <v>35</v>
      </c>
      <c r="F137" s="10" t="s">
        <v>22</v>
      </c>
      <c r="G137" s="3" t="s">
        <v>11</v>
      </c>
      <c r="H137" s="3" t="s">
        <v>13</v>
      </c>
      <c r="I137" s="3" t="s">
        <v>7</v>
      </c>
      <c r="J137" s="1">
        <v>0</v>
      </c>
      <c r="K137" s="12">
        <v>0</v>
      </c>
      <c r="L137" s="1">
        <v>21782.03</v>
      </c>
      <c r="M137" s="12">
        <v>1111</v>
      </c>
      <c r="N137" t="s">
        <v>181</v>
      </c>
      <c r="O137"/>
      <c r="P137" s="2" t="str">
        <f>IF(BD_Receitas[[#This Row],[TIPO DE COBRANÇA]]="Operação Normal",
_xlfn.XLOOKUP(BD_Receitas[[#This Row],[ID]],TabCondicoesComerciais[ID],TabCondicoesComerciais[Volume mínimo 
(m3)],0),"")</f>
        <v/>
      </c>
      <c r="Q137" s="2">
        <f>_xlfn.XLOOKUP(BD_Receitas[[#This Row],[ID]],TabCondicoesComerciais[ID],TabCondicoesComerciais[Vol. 1ºGiro],0)</f>
        <v>750</v>
      </c>
      <c r="R1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37" s="1">
        <f xml:space="preserve"> IF(BD_Receitas[[#This Row],[TIPO DE COBRANÇA]]="Operação Normal",
_xlfn.XLOOKUP(BD_Receitas[[#This Row],[ID]],TabCondicoesComerciais[ID],TabCondicoesComerciais[Tarifa 2º Giro],0),0)</f>
        <v>0</v>
      </c>
      <c r="T1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7"/>
      <c r="Z137"/>
      <c r="AA137"/>
      <c r="AB137"/>
    </row>
    <row r="138" spans="1:28" hidden="1" x14ac:dyDescent="0.35">
      <c r="A138" s="3" t="s">
        <v>172</v>
      </c>
      <c r="B138" s="11">
        <v>45717</v>
      </c>
      <c r="C138" t="s">
        <v>31</v>
      </c>
      <c r="D138" t="s">
        <v>202</v>
      </c>
      <c r="E138" t="s">
        <v>35</v>
      </c>
      <c r="F138" s="10" t="s">
        <v>22</v>
      </c>
      <c r="G138" s="3" t="s">
        <v>11</v>
      </c>
      <c r="H138" s="3" t="s">
        <v>13</v>
      </c>
      <c r="I138" s="3" t="s">
        <v>8</v>
      </c>
      <c r="J138" s="1">
        <v>0</v>
      </c>
      <c r="K138" s="12">
        <v>0</v>
      </c>
      <c r="L138" s="1"/>
      <c r="M138" s="12"/>
      <c r="N138"/>
      <c r="O138"/>
      <c r="P138" s="2" t="str">
        <f>IF(BD_Receitas[[#This Row],[TIPO DE COBRANÇA]]="Operação Normal",
_xlfn.XLOOKUP(BD_Receitas[[#This Row],[ID]],TabCondicoesComerciais[ID],TabCondicoesComerciais[Volume mínimo 
(m3)],0),"")</f>
        <v/>
      </c>
      <c r="Q138" s="2">
        <f>_xlfn.XLOOKUP(BD_Receitas[[#This Row],[ID]],TabCondicoesComerciais[ID],TabCondicoesComerciais[Vol. 1ºGiro],0)</f>
        <v>750</v>
      </c>
      <c r="R1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38" s="1">
        <f xml:space="preserve"> IF(BD_Receitas[[#This Row],[TIPO DE COBRANÇA]]="Operação Normal",
_xlfn.XLOOKUP(BD_Receitas[[#This Row],[ID]],TabCondicoesComerciais[ID],TabCondicoesComerciais[Tarifa 2º Giro],0),0)</f>
        <v>0</v>
      </c>
      <c r="T1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38"/>
      <c r="Z138"/>
      <c r="AA138"/>
      <c r="AB138"/>
    </row>
    <row r="139" spans="1:28" hidden="1" x14ac:dyDescent="0.35">
      <c r="A139" s="3" t="s">
        <v>172</v>
      </c>
      <c r="B139" s="11">
        <v>45717</v>
      </c>
      <c r="C139" t="s">
        <v>31</v>
      </c>
      <c r="D139" t="s">
        <v>202</v>
      </c>
      <c r="E139" t="s">
        <v>35</v>
      </c>
      <c r="F139" s="10" t="s">
        <v>22</v>
      </c>
      <c r="G139" s="3" t="s">
        <v>11</v>
      </c>
      <c r="H139" s="3" t="s">
        <v>13</v>
      </c>
      <c r="I139" s="3" t="s">
        <v>15</v>
      </c>
      <c r="J139" s="1">
        <v>0</v>
      </c>
      <c r="K139" s="12">
        <v>0</v>
      </c>
      <c r="L139" s="1">
        <v>34569.35</v>
      </c>
      <c r="M139" s="12">
        <v>990</v>
      </c>
      <c r="N139" t="s">
        <v>181</v>
      </c>
      <c r="O139"/>
      <c r="P139" s="2">
        <f>IF(BD_Receitas[[#This Row],[TIPO DE COBRANÇA]]="Operação Normal",
_xlfn.XLOOKUP(BD_Receitas[[#This Row],[ID]],TabCondicoesComerciais[ID],TabCondicoesComerciais[Volume mínimo 
(m3)],0),"")</f>
        <v>0</v>
      </c>
      <c r="Q139" s="2">
        <f>_xlfn.XLOOKUP(BD_Receitas[[#This Row],[ID]],TabCondicoesComerciais[ID],TabCondicoesComerciais[Vol. 1ºGiro],0)</f>
        <v>750</v>
      </c>
      <c r="R1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39" s="1">
        <f xml:space="preserve"> IF(BD_Receitas[[#This Row],[TIPO DE COBRANÇA]]="Operação Normal",
_xlfn.XLOOKUP(BD_Receitas[[#This Row],[ID]],TabCondicoesComerciais[ID],TabCondicoesComerciais[Tarifa 2º Giro],0),0)</f>
        <v>22.2</v>
      </c>
      <c r="T139" s="5">
        <f>IFERROR(IF(BD_Receitas[[#This Row],[TIPO DE COBRANÇA]]&lt;&gt;"Operação Normal","",BD_Receitas[[#This Row],[Valor Total R$]]/ MAX(BD_Receitas[[#This Row],[Vol. Movimentado M³]],
BD_Receitas[[#This Row],[Volume Mínimo ]])
),0)</f>
        <v>34.918535353535354</v>
      </c>
      <c r="U1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56.920585858585859</v>
      </c>
      <c r="V1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21978</v>
      </c>
      <c r="X1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  <c r="Y139"/>
      <c r="Z139"/>
      <c r="AA139"/>
      <c r="AB139"/>
    </row>
    <row r="140" spans="1:28" hidden="1" x14ac:dyDescent="0.35">
      <c r="A140" s="3" t="s">
        <v>172</v>
      </c>
      <c r="B140" s="11">
        <v>45717</v>
      </c>
      <c r="C140" t="s">
        <v>31</v>
      </c>
      <c r="D140" t="s">
        <v>202</v>
      </c>
      <c r="E140" t="s">
        <v>35</v>
      </c>
      <c r="F140" s="10" t="s">
        <v>22</v>
      </c>
      <c r="G140" s="3" t="s">
        <v>11</v>
      </c>
      <c r="H140" s="3" t="s">
        <v>13</v>
      </c>
      <c r="I140" s="3" t="s">
        <v>65</v>
      </c>
      <c r="J140" s="1">
        <v>0</v>
      </c>
      <c r="K140" s="12">
        <v>0</v>
      </c>
      <c r="L140" s="1"/>
      <c r="M140" s="12"/>
      <c r="N140"/>
      <c r="O140"/>
      <c r="P140" s="2" t="str">
        <f>IF(BD_Receitas[[#This Row],[TIPO DE COBRANÇA]]="Operação Normal",
_xlfn.XLOOKUP(BD_Receitas[[#This Row],[ID]],TabCondicoesComerciais[ID],TabCondicoesComerciais[Volume mínimo 
(m3)],0),"")</f>
        <v/>
      </c>
      <c r="Q140" s="2">
        <f>_xlfn.XLOOKUP(BD_Receitas[[#This Row],[ID]],TabCondicoesComerciais[ID],TabCondicoesComerciais[Vol. 1ºGiro],0)</f>
        <v>750</v>
      </c>
      <c r="R1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40" s="1">
        <f xml:space="preserve"> IF(BD_Receitas[[#This Row],[TIPO DE COBRANÇA]]="Operação Normal",
_xlfn.XLOOKUP(BD_Receitas[[#This Row],[ID]],TabCondicoesComerciais[ID],TabCondicoesComerciais[Tarifa 2º Giro],0),0)</f>
        <v>0</v>
      </c>
      <c r="T1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40"/>
      <c r="Z140"/>
      <c r="AA140"/>
      <c r="AB140"/>
    </row>
    <row r="141" spans="1:28" hidden="1" x14ac:dyDescent="0.35">
      <c r="A141" s="3" t="s">
        <v>149</v>
      </c>
      <c r="B141" s="11">
        <v>45717</v>
      </c>
      <c r="C141" t="s">
        <v>31</v>
      </c>
      <c r="D141" t="s">
        <v>110</v>
      </c>
      <c r="E141" t="s">
        <v>117</v>
      </c>
      <c r="F141" s="10" t="s">
        <v>23</v>
      </c>
      <c r="G141" s="3" t="s">
        <v>112</v>
      </c>
      <c r="H141" s="3" t="s">
        <v>113</v>
      </c>
      <c r="I141" s="3" t="s">
        <v>7</v>
      </c>
      <c r="J141" s="1">
        <v>0</v>
      </c>
      <c r="K141" s="12">
        <v>0</v>
      </c>
      <c r="L141" s="1"/>
      <c r="M141" s="12"/>
      <c r="N141"/>
      <c r="O141"/>
      <c r="P141" s="2" t="str">
        <f>IF(BD_Receitas[[#This Row],[TIPO DE COBRANÇA]]="Operação Normal",
_xlfn.XLOOKUP(BD_Receitas[[#This Row],[ID]],TabCondicoesComerciais[ID],TabCondicoesComerciais[Volume mínimo 
(m3)],0),"")</f>
        <v/>
      </c>
      <c r="Q141" s="2">
        <f>_xlfn.XLOOKUP(BD_Receitas[[#This Row],[ID]],TabCondicoesComerciais[ID],TabCondicoesComerciais[Vol. 1ºGiro],0)</f>
        <v>750</v>
      </c>
      <c r="R1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141" s="1">
        <f xml:space="preserve"> IF(BD_Receitas[[#This Row],[TIPO DE COBRANÇA]]="Operação Normal",
_xlfn.XLOOKUP(BD_Receitas[[#This Row],[ID]],TabCondicoesComerciais[ID],TabCondicoesComerciais[Tarifa 2º Giro],0),0)</f>
        <v>0</v>
      </c>
      <c r="T1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41"/>
      <c r="Z141"/>
      <c r="AA141"/>
      <c r="AB141"/>
    </row>
    <row r="142" spans="1:28" hidden="1" x14ac:dyDescent="0.35">
      <c r="A142" s="3" t="s">
        <v>149</v>
      </c>
      <c r="B142" s="11">
        <v>45717</v>
      </c>
      <c r="C142" t="s">
        <v>31</v>
      </c>
      <c r="D142" t="s">
        <v>110</v>
      </c>
      <c r="E142" t="s">
        <v>117</v>
      </c>
      <c r="F142" s="10" t="s">
        <v>23</v>
      </c>
      <c r="G142" s="3" t="s">
        <v>112</v>
      </c>
      <c r="H142" s="3" t="s">
        <v>113</v>
      </c>
      <c r="I142" s="3" t="s">
        <v>8</v>
      </c>
      <c r="J142" s="1">
        <v>0</v>
      </c>
      <c r="K142" s="12">
        <v>0</v>
      </c>
      <c r="L142" s="1"/>
      <c r="M142" s="12"/>
      <c r="N142"/>
      <c r="O142"/>
      <c r="P142" s="2" t="str">
        <f>IF(BD_Receitas[[#This Row],[TIPO DE COBRANÇA]]="Operação Normal",
_xlfn.XLOOKUP(BD_Receitas[[#This Row],[ID]],TabCondicoesComerciais[ID],TabCondicoesComerciais[Volume mínimo 
(m3)],0),"")</f>
        <v/>
      </c>
      <c r="Q142" s="2">
        <f>_xlfn.XLOOKUP(BD_Receitas[[#This Row],[ID]],TabCondicoesComerciais[ID],TabCondicoesComerciais[Vol. 1ºGiro],0)</f>
        <v>750</v>
      </c>
      <c r="R1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142" s="1">
        <f xml:space="preserve"> IF(BD_Receitas[[#This Row],[TIPO DE COBRANÇA]]="Operação Normal",
_xlfn.XLOOKUP(BD_Receitas[[#This Row],[ID]],TabCondicoesComerciais[ID],TabCondicoesComerciais[Tarifa 2º Giro],0),0)</f>
        <v>0</v>
      </c>
      <c r="T1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42"/>
      <c r="Z142"/>
      <c r="AA142"/>
      <c r="AB142"/>
    </row>
    <row r="143" spans="1:28" hidden="1" x14ac:dyDescent="0.35">
      <c r="A143" s="3" t="s">
        <v>149</v>
      </c>
      <c r="B143" s="11">
        <v>45717</v>
      </c>
      <c r="C143" t="s">
        <v>31</v>
      </c>
      <c r="D143" t="s">
        <v>110</v>
      </c>
      <c r="E143" t="s">
        <v>117</v>
      </c>
      <c r="F143" s="10" t="s">
        <v>23</v>
      </c>
      <c r="G143" s="3" t="s">
        <v>112</v>
      </c>
      <c r="H143" s="3" t="s">
        <v>113</v>
      </c>
      <c r="I143" s="3" t="s">
        <v>15</v>
      </c>
      <c r="J143" s="1">
        <v>89658.947400000005</v>
      </c>
      <c r="K143" s="12">
        <v>4200</v>
      </c>
      <c r="L143" s="1"/>
      <c r="M143" s="12"/>
      <c r="N143"/>
      <c r="O143"/>
      <c r="P143" s="2">
        <f>IF(BD_Receitas[[#This Row],[TIPO DE COBRANÇA]]="Operação Normal",
_xlfn.XLOOKUP(BD_Receitas[[#This Row],[ID]],TabCondicoesComerciais[ID],TabCondicoesComerciais[Volume mínimo 
(m3)],0),"")</f>
        <v>3000</v>
      </c>
      <c r="Q143" s="2">
        <f>_xlfn.XLOOKUP(BD_Receitas[[#This Row],[ID]],TabCondicoesComerciais[ID],TabCondicoesComerciais[Vol. 1ºGiro],0)</f>
        <v>750</v>
      </c>
      <c r="R1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143" s="1">
        <f xml:space="preserve"> IF(BD_Receitas[[#This Row],[TIPO DE COBRANÇA]]="Operação Normal",
_xlfn.XLOOKUP(BD_Receitas[[#This Row],[ID]],TabCondicoesComerciais[ID],TabCondicoesComerciais[Tarifa 2º Giro],0),0)</f>
        <v>19.5</v>
      </c>
      <c r="T14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1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  <c r="Y143"/>
      <c r="Z143"/>
      <c r="AA143"/>
      <c r="AB143"/>
    </row>
    <row r="144" spans="1:28" hidden="1" x14ac:dyDescent="0.35">
      <c r="A144" s="3" t="s">
        <v>149</v>
      </c>
      <c r="B144" s="11">
        <v>45717</v>
      </c>
      <c r="C144" t="s">
        <v>31</v>
      </c>
      <c r="D144" t="s">
        <v>110</v>
      </c>
      <c r="E144" t="s">
        <v>117</v>
      </c>
      <c r="F144" s="10" t="s">
        <v>23</v>
      </c>
      <c r="G144" s="3" t="s">
        <v>112</v>
      </c>
      <c r="H144" s="3" t="s">
        <v>113</v>
      </c>
      <c r="I144" s="3" t="s">
        <v>65</v>
      </c>
      <c r="J144" s="1">
        <v>0</v>
      </c>
      <c r="K144" s="12">
        <v>0</v>
      </c>
      <c r="L144" s="1"/>
      <c r="M144" s="12"/>
      <c r="N144"/>
      <c r="O144"/>
      <c r="P144" s="2" t="str">
        <f>IF(BD_Receitas[[#This Row],[TIPO DE COBRANÇA]]="Operação Normal",
_xlfn.XLOOKUP(BD_Receitas[[#This Row],[ID]],TabCondicoesComerciais[ID],TabCondicoesComerciais[Volume mínimo 
(m3)],0),"")</f>
        <v/>
      </c>
      <c r="Q144" s="2">
        <f>_xlfn.XLOOKUP(BD_Receitas[[#This Row],[ID]],TabCondicoesComerciais[ID],TabCondicoesComerciais[Vol. 1ºGiro],0)</f>
        <v>750</v>
      </c>
      <c r="R1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44" s="1">
        <f xml:space="preserve"> IF(BD_Receitas[[#This Row],[TIPO DE COBRANÇA]]="Operação Normal",
_xlfn.XLOOKUP(BD_Receitas[[#This Row],[ID]],TabCondicoesComerciais[ID],TabCondicoesComerciais[Tarifa 2º Giro],0),0)</f>
        <v>0</v>
      </c>
      <c r="T1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  <c r="Y144"/>
      <c r="Z144"/>
      <c r="AA144"/>
      <c r="AB144"/>
    </row>
    <row r="145" spans="1:24" hidden="1" x14ac:dyDescent="0.35">
      <c r="A145" s="3" t="s">
        <v>177</v>
      </c>
      <c r="B145" s="11">
        <v>45717</v>
      </c>
      <c r="C145" t="s">
        <v>31</v>
      </c>
      <c r="D145" t="s">
        <v>62</v>
      </c>
      <c r="E145" t="s">
        <v>33</v>
      </c>
      <c r="F145" s="10" t="s">
        <v>46</v>
      </c>
      <c r="G145" s="3" t="s">
        <v>87</v>
      </c>
      <c r="H145" s="3" t="s">
        <v>9</v>
      </c>
      <c r="I145" s="3" t="s">
        <v>7</v>
      </c>
      <c r="J145" s="1">
        <v>0</v>
      </c>
      <c r="K145" s="12">
        <v>0</v>
      </c>
      <c r="L145" s="1">
        <v>2578.0439999999999</v>
      </c>
      <c r="M145" s="12">
        <v>358.01</v>
      </c>
      <c r="N145" t="s">
        <v>179</v>
      </c>
      <c r="O145"/>
      <c r="P145" s="2" t="str">
        <f>IF(BD_Receitas[[#This Row],[TIPO DE COBRANÇA]]="Operação Normal",
_xlfn.XLOOKUP(BD_Receitas[[#This Row],[ID]],TabCondicoesComerciais[ID],TabCondicoesComerciais[Volume mínimo 
(m3)],0),"")</f>
        <v/>
      </c>
      <c r="Q145" s="2">
        <f>_xlfn.XLOOKUP(BD_Receitas[[#This Row],[ID]],TabCondicoesComerciais[ID],TabCondicoesComerciais[Vol. 1ºGiro],0)</f>
        <v>1070</v>
      </c>
      <c r="R1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45" s="1">
        <f xml:space="preserve"> IF(BD_Receitas[[#This Row],[TIPO DE COBRANÇA]]="Operação Normal",
_xlfn.XLOOKUP(BD_Receitas[[#This Row],[ID]],TabCondicoesComerciais[ID],TabCondicoesComerciais[Tarifa 2º Giro],0),0)</f>
        <v>0</v>
      </c>
      <c r="T1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46" spans="1:24" hidden="1" x14ac:dyDescent="0.35">
      <c r="A146" s="3" t="s">
        <v>177</v>
      </c>
      <c r="B146" s="11">
        <v>45717</v>
      </c>
      <c r="C146" t="s">
        <v>31</v>
      </c>
      <c r="D146" t="s">
        <v>62</v>
      </c>
      <c r="E146" t="s">
        <v>33</v>
      </c>
      <c r="F146" s="10" t="s">
        <v>46</v>
      </c>
      <c r="G146" s="3" t="s">
        <v>87</v>
      </c>
      <c r="H146" s="3" t="s">
        <v>9</v>
      </c>
      <c r="I146" s="3" t="s">
        <v>8</v>
      </c>
      <c r="J146" s="1">
        <v>0</v>
      </c>
      <c r="K146" s="12">
        <v>0</v>
      </c>
      <c r="L146" s="1">
        <v>669.39599999999996</v>
      </c>
      <c r="M146" s="12">
        <v>92.971999999999994</v>
      </c>
      <c r="N146" t="s">
        <v>179</v>
      </c>
      <c r="O146"/>
      <c r="P146" s="2" t="str">
        <f>IF(BD_Receitas[[#This Row],[TIPO DE COBRANÇA]]="Operação Normal",
_xlfn.XLOOKUP(BD_Receitas[[#This Row],[ID]],TabCondicoesComerciais[ID],TabCondicoesComerciais[Volume mínimo 
(m3)],0),"")</f>
        <v/>
      </c>
      <c r="Q146" s="2">
        <f>_xlfn.XLOOKUP(BD_Receitas[[#This Row],[ID]],TabCondicoesComerciais[ID],TabCondicoesComerciais[Vol. 1ºGiro],0)</f>
        <v>1070</v>
      </c>
      <c r="R1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46" s="1">
        <f xml:space="preserve"> IF(BD_Receitas[[#This Row],[TIPO DE COBRANÇA]]="Operação Normal",
_xlfn.XLOOKUP(BD_Receitas[[#This Row],[ID]],TabCondicoesComerciais[ID],TabCondicoesComerciais[Tarifa 2º Giro],0),0)</f>
        <v>0</v>
      </c>
      <c r="T1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47" spans="1:24" hidden="1" x14ac:dyDescent="0.35">
      <c r="A147" s="3" t="s">
        <v>177</v>
      </c>
      <c r="B147" s="11">
        <v>45717</v>
      </c>
      <c r="C147" t="s">
        <v>31</v>
      </c>
      <c r="D147" t="s">
        <v>62</v>
      </c>
      <c r="E147" t="s">
        <v>33</v>
      </c>
      <c r="F147" s="10" t="s">
        <v>46</v>
      </c>
      <c r="G147" s="3" t="s">
        <v>87</v>
      </c>
      <c r="H147" s="3" t="s">
        <v>9</v>
      </c>
      <c r="I147" s="3" t="s">
        <v>15</v>
      </c>
      <c r="J147" s="1">
        <v>137499.15789999999</v>
      </c>
      <c r="K147" s="12">
        <v>4200</v>
      </c>
      <c r="L147" s="1">
        <v>57780</v>
      </c>
      <c r="M147" s="12">
        <v>987.23800000000006</v>
      </c>
      <c r="N147" t="s">
        <v>179</v>
      </c>
      <c r="O147"/>
      <c r="P147" s="2">
        <f>IF(BD_Receitas[[#This Row],[TIPO DE COBRANÇA]]="Operação Normal",
_xlfn.XLOOKUP(BD_Receitas[[#This Row],[ID]],TabCondicoesComerciais[ID],TabCondicoesComerciais[Volume mínimo 
(m3)],0),"")</f>
        <v>3210</v>
      </c>
      <c r="Q147" s="2">
        <f>_xlfn.XLOOKUP(BD_Receitas[[#This Row],[ID]],TabCondicoesComerciais[ID],TabCondicoesComerciais[Vol. 1ºGiro],0)</f>
        <v>1070</v>
      </c>
      <c r="R1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47" s="1">
        <f xml:space="preserve"> IF(BD_Receitas[[#This Row],[TIPO DE COBRANÇA]]="Operação Normal",
_xlfn.XLOOKUP(BD_Receitas[[#This Row],[ID]],TabCondicoesComerciais[ID],TabCondicoesComerciais[Tarifa 2º Giro],0),0)</f>
        <v>32.64</v>
      </c>
      <c r="T147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1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66.617613989737023</v>
      </c>
      <c r="V1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32223.448320000003</v>
      </c>
      <c r="X1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48" spans="1:24" hidden="1" x14ac:dyDescent="0.35">
      <c r="A148" s="3" t="s">
        <v>177</v>
      </c>
      <c r="B148" s="11">
        <v>45717</v>
      </c>
      <c r="C148" t="s">
        <v>31</v>
      </c>
      <c r="D148" t="s">
        <v>62</v>
      </c>
      <c r="E148" t="s">
        <v>33</v>
      </c>
      <c r="F148" s="10" t="s">
        <v>46</v>
      </c>
      <c r="G148" s="3" t="s">
        <v>87</v>
      </c>
      <c r="H148" s="3" t="s">
        <v>9</v>
      </c>
      <c r="I148" s="3" t="s">
        <v>65</v>
      </c>
      <c r="J148" s="1">
        <v>0</v>
      </c>
      <c r="K148" s="12">
        <v>0</v>
      </c>
      <c r="L148" s="1">
        <v>4740</v>
      </c>
      <c r="M148" s="12">
        <v>0</v>
      </c>
      <c r="N148" t="s">
        <v>179</v>
      </c>
      <c r="O148" t="s">
        <v>180</v>
      </c>
      <c r="P148" s="2" t="str">
        <f>IF(BD_Receitas[[#This Row],[TIPO DE COBRANÇA]]="Operação Normal",
_xlfn.XLOOKUP(BD_Receitas[[#This Row],[ID]],TabCondicoesComerciais[ID],TabCondicoesComerciais[Volume mínimo 
(m3)],0),"")</f>
        <v/>
      </c>
      <c r="Q148" s="2">
        <f>_xlfn.XLOOKUP(BD_Receitas[[#This Row],[ID]],TabCondicoesComerciais[ID],TabCondicoesComerciais[Vol. 1ºGiro],0)</f>
        <v>1070</v>
      </c>
      <c r="R1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48" s="1">
        <f xml:space="preserve"> IF(BD_Receitas[[#This Row],[TIPO DE COBRANÇA]]="Operação Normal",
_xlfn.XLOOKUP(BD_Receitas[[#This Row],[ID]],TabCondicoesComerciais[ID],TabCondicoesComerciais[Tarifa 2º Giro],0),0)</f>
        <v>0</v>
      </c>
      <c r="T1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49" spans="1:24" hidden="1" x14ac:dyDescent="0.35">
      <c r="A149" s="3" t="s">
        <v>200</v>
      </c>
      <c r="B149" s="11">
        <v>45717</v>
      </c>
      <c r="C149" t="s">
        <v>31</v>
      </c>
      <c r="D149" t="s">
        <v>203</v>
      </c>
      <c r="E149" t="s">
        <v>32</v>
      </c>
      <c r="F149" s="10" t="s">
        <v>25</v>
      </c>
      <c r="G149" s="3" t="s">
        <v>12</v>
      </c>
      <c r="H149" s="3" t="s">
        <v>10</v>
      </c>
      <c r="I149" s="3" t="s">
        <v>7</v>
      </c>
      <c r="J149" s="1">
        <v>0</v>
      </c>
      <c r="K149" s="12">
        <v>0</v>
      </c>
      <c r="L149" s="1"/>
      <c r="M149" s="12"/>
      <c r="N149"/>
      <c r="O149"/>
      <c r="P149" s="2" t="str">
        <f>IF(BD_Receitas[[#This Row],[TIPO DE COBRANÇA]]="Operação Normal",
_xlfn.XLOOKUP(BD_Receitas[[#This Row],[ID]],TabCondicoesComerciais[ID],TabCondicoesComerciais[Volume mínimo 
(m3)],0),"")</f>
        <v/>
      </c>
      <c r="Q149" s="2">
        <f>_xlfn.XLOOKUP(BD_Receitas[[#This Row],[ID]],TabCondicoesComerciais[ID],TabCondicoesComerciais[Vol. 1ºGiro],0)</f>
        <v>2000</v>
      </c>
      <c r="R1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49" s="1">
        <f xml:space="preserve"> IF(BD_Receitas[[#This Row],[TIPO DE COBRANÇA]]="Operação Normal",
_xlfn.XLOOKUP(BD_Receitas[[#This Row],[ID]],TabCondicoesComerciais[ID],TabCondicoesComerciais[Tarifa 2º Giro],0),0)</f>
        <v>0</v>
      </c>
      <c r="T1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0" spans="1:24" hidden="1" x14ac:dyDescent="0.35">
      <c r="A150" s="3" t="s">
        <v>200</v>
      </c>
      <c r="B150" s="11">
        <v>45717</v>
      </c>
      <c r="C150" t="s">
        <v>31</v>
      </c>
      <c r="D150" t="s">
        <v>203</v>
      </c>
      <c r="E150" t="s">
        <v>32</v>
      </c>
      <c r="F150" s="10" t="s">
        <v>25</v>
      </c>
      <c r="G150" s="3" t="s">
        <v>12</v>
      </c>
      <c r="H150" s="3" t="s">
        <v>10</v>
      </c>
      <c r="I150" s="3" t="s">
        <v>8</v>
      </c>
      <c r="J150" s="1">
        <v>0</v>
      </c>
      <c r="K150" s="12">
        <v>0</v>
      </c>
      <c r="L150" s="1"/>
      <c r="M150" s="12"/>
      <c r="N150"/>
      <c r="O150"/>
      <c r="P150" s="2" t="str">
        <f>IF(BD_Receitas[[#This Row],[TIPO DE COBRANÇA]]="Operação Normal",
_xlfn.XLOOKUP(BD_Receitas[[#This Row],[ID]],TabCondicoesComerciais[ID],TabCondicoesComerciais[Volume mínimo 
(m3)],0),"")</f>
        <v/>
      </c>
      <c r="Q150" s="2">
        <f>_xlfn.XLOOKUP(BD_Receitas[[#This Row],[ID]],TabCondicoesComerciais[ID],TabCondicoesComerciais[Vol. 1ºGiro],0)</f>
        <v>2000</v>
      </c>
      <c r="R1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50" s="1">
        <f xml:space="preserve"> IF(BD_Receitas[[#This Row],[TIPO DE COBRANÇA]]="Operação Normal",
_xlfn.XLOOKUP(BD_Receitas[[#This Row],[ID]],TabCondicoesComerciais[ID],TabCondicoesComerciais[Tarifa 2º Giro],0),0)</f>
        <v>0</v>
      </c>
      <c r="T1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1" spans="1:24" hidden="1" x14ac:dyDescent="0.35">
      <c r="A151" s="3" t="s">
        <v>200</v>
      </c>
      <c r="B151" s="11">
        <v>45717</v>
      </c>
      <c r="C151" t="s">
        <v>31</v>
      </c>
      <c r="D151" t="s">
        <v>203</v>
      </c>
      <c r="E151" t="s">
        <v>32</v>
      </c>
      <c r="F151" s="10" t="s">
        <v>25</v>
      </c>
      <c r="G151" s="3" t="s">
        <v>12</v>
      </c>
      <c r="H151" s="3" t="s">
        <v>10</v>
      </c>
      <c r="I151" s="3" t="s">
        <v>15</v>
      </c>
      <c r="J151" s="1">
        <v>0</v>
      </c>
      <c r="K151" s="12">
        <v>0</v>
      </c>
      <c r="L151" s="1"/>
      <c r="M151" s="12"/>
      <c r="N151"/>
      <c r="O151"/>
      <c r="P151" s="2">
        <f>IF(BD_Receitas[[#This Row],[TIPO DE COBRANÇA]]="Operação Normal",
_xlfn.XLOOKUP(BD_Receitas[[#This Row],[ID]],TabCondicoesComerciais[ID],TabCondicoesComerciais[Volume mínimo 
(m3)],0),"")</f>
        <v>8000</v>
      </c>
      <c r="Q151" s="2">
        <f>_xlfn.XLOOKUP(BD_Receitas[[#This Row],[ID]],TabCondicoesComerciais[ID],TabCondicoesComerciais[Vol. 1ºGiro],0)</f>
        <v>2000</v>
      </c>
      <c r="R1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51" s="1">
        <f xml:space="preserve"> IF(BD_Receitas[[#This Row],[TIPO DE COBRANÇA]]="Operação Normal",
_xlfn.XLOOKUP(BD_Receitas[[#This Row],[ID]],TabCondicoesComerciais[ID],TabCondicoesComerciais[Tarifa 2º Giro],0),0)</f>
        <v>20</v>
      </c>
      <c r="T15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52" spans="1:24" hidden="1" x14ac:dyDescent="0.35">
      <c r="A152" s="3" t="s">
        <v>200</v>
      </c>
      <c r="B152" s="11">
        <v>45717</v>
      </c>
      <c r="C152" t="s">
        <v>31</v>
      </c>
      <c r="D152" t="s">
        <v>203</v>
      </c>
      <c r="E152" t="s">
        <v>32</v>
      </c>
      <c r="F152" s="10" t="s">
        <v>25</v>
      </c>
      <c r="G152" s="3" t="s">
        <v>12</v>
      </c>
      <c r="H152" s="3" t="s">
        <v>10</v>
      </c>
      <c r="I152" s="3" t="s">
        <v>65</v>
      </c>
      <c r="J152" s="1">
        <v>0</v>
      </c>
      <c r="K152" s="12">
        <v>0</v>
      </c>
      <c r="L152" s="1"/>
      <c r="M152" s="12"/>
      <c r="N152"/>
      <c r="O152"/>
      <c r="P152" s="2" t="str">
        <f>IF(BD_Receitas[[#This Row],[TIPO DE COBRANÇA]]="Operação Normal",
_xlfn.XLOOKUP(BD_Receitas[[#This Row],[ID]],TabCondicoesComerciais[ID],TabCondicoesComerciais[Volume mínimo 
(m3)],0),"")</f>
        <v/>
      </c>
      <c r="Q152" s="2">
        <f>_xlfn.XLOOKUP(BD_Receitas[[#This Row],[ID]],TabCondicoesComerciais[ID],TabCondicoesComerciais[Vol. 1ºGiro],0)</f>
        <v>2000</v>
      </c>
      <c r="R1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52" s="1">
        <f xml:space="preserve"> IF(BD_Receitas[[#This Row],[TIPO DE COBRANÇA]]="Operação Normal",
_xlfn.XLOOKUP(BD_Receitas[[#This Row],[ID]],TabCondicoesComerciais[ID],TabCondicoesComerciais[Tarifa 2º Giro],0),0)</f>
        <v>0</v>
      </c>
      <c r="T1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3" spans="1:24" hidden="1" x14ac:dyDescent="0.35">
      <c r="A153" s="3" t="s">
        <v>166</v>
      </c>
      <c r="B153" s="11">
        <v>45717</v>
      </c>
      <c r="C153" t="s">
        <v>31</v>
      </c>
      <c r="D153" t="s">
        <v>203</v>
      </c>
      <c r="E153" t="s">
        <v>32</v>
      </c>
      <c r="F153" s="10" t="s">
        <v>25</v>
      </c>
      <c r="G153" s="3" t="s">
        <v>12</v>
      </c>
      <c r="H153" s="3" t="s">
        <v>9</v>
      </c>
      <c r="I153" s="3" t="s">
        <v>7</v>
      </c>
      <c r="J153" s="1">
        <v>0</v>
      </c>
      <c r="K153" s="12">
        <v>0</v>
      </c>
      <c r="L153" s="1">
        <v>860.14800000000002</v>
      </c>
      <c r="M153" s="12">
        <v>95.572000000000003</v>
      </c>
      <c r="N153" t="s">
        <v>182</v>
      </c>
      <c r="O153" t="s">
        <v>129</v>
      </c>
      <c r="P153" s="2" t="str">
        <f>IF(BD_Receitas[[#This Row],[TIPO DE COBRANÇA]]="Operação Normal",
_xlfn.XLOOKUP(BD_Receitas[[#This Row],[ID]],TabCondicoesComerciais[ID],TabCondicoesComerciais[Volume mínimo 
(m3)],0),"")</f>
        <v/>
      </c>
      <c r="Q153" s="2">
        <f>_xlfn.XLOOKUP(BD_Receitas[[#This Row],[ID]],TabCondicoesComerciais[ID],TabCondicoesComerciais[Vol. 1ºGiro],0)</f>
        <v>1175</v>
      </c>
      <c r="R1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153" s="1">
        <f xml:space="preserve"> IF(BD_Receitas[[#This Row],[TIPO DE COBRANÇA]]="Operação Normal",
_xlfn.XLOOKUP(BD_Receitas[[#This Row],[ID]],TabCondicoesComerciais[ID],TabCondicoesComerciais[Tarifa 2º Giro],0),0)</f>
        <v>0</v>
      </c>
      <c r="T1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4" spans="1:24" hidden="1" x14ac:dyDescent="0.35">
      <c r="A154" s="3" t="s">
        <v>166</v>
      </c>
      <c r="B154" s="11">
        <v>45717</v>
      </c>
      <c r="C154" t="s">
        <v>31</v>
      </c>
      <c r="D154" t="s">
        <v>203</v>
      </c>
      <c r="E154" t="s">
        <v>32</v>
      </c>
      <c r="F154" s="10" t="s">
        <v>25</v>
      </c>
      <c r="G154" s="3" t="s">
        <v>12</v>
      </c>
      <c r="H154" s="3" t="s">
        <v>9</v>
      </c>
      <c r="I154" s="3" t="s">
        <v>7</v>
      </c>
      <c r="J154" s="1">
        <v>0</v>
      </c>
      <c r="K154" s="12">
        <v>0</v>
      </c>
      <c r="L154" s="1">
        <v>860.14800000000002</v>
      </c>
      <c r="M154" s="12">
        <v>95.572000000000003</v>
      </c>
      <c r="N154" t="s">
        <v>182</v>
      </c>
      <c r="O154" t="s">
        <v>129</v>
      </c>
      <c r="P154" s="2" t="str">
        <f>IF(BD_Receitas[[#This Row],[TIPO DE COBRANÇA]]="Operação Normal",
_xlfn.XLOOKUP(BD_Receitas[[#This Row],[ID]],TabCondicoesComerciais[ID],TabCondicoesComerciais[Volume mínimo 
(m3)],0),"")</f>
        <v/>
      </c>
      <c r="Q154" s="2">
        <f>_xlfn.XLOOKUP(BD_Receitas[[#This Row],[ID]],TabCondicoesComerciais[ID],TabCondicoesComerciais[Vol. 1ºGiro],0)</f>
        <v>1175</v>
      </c>
      <c r="R1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154" s="1">
        <f xml:space="preserve"> IF(BD_Receitas[[#This Row],[TIPO DE COBRANÇA]]="Operação Normal",
_xlfn.XLOOKUP(BD_Receitas[[#This Row],[ID]],TabCondicoesComerciais[ID],TabCondicoesComerciais[Tarifa 2º Giro],0),0)</f>
        <v>0</v>
      </c>
      <c r="T1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5" spans="1:24" hidden="1" x14ac:dyDescent="0.35">
      <c r="A155" s="3" t="s">
        <v>166</v>
      </c>
      <c r="B155" s="11">
        <v>45717</v>
      </c>
      <c r="C155" t="s">
        <v>31</v>
      </c>
      <c r="D155" t="s">
        <v>203</v>
      </c>
      <c r="E155" t="s">
        <v>32</v>
      </c>
      <c r="F155" s="10" t="s">
        <v>25</v>
      </c>
      <c r="G155" s="3" t="s">
        <v>12</v>
      </c>
      <c r="H155" s="3" t="s">
        <v>9</v>
      </c>
      <c r="I155" s="3" t="s">
        <v>7</v>
      </c>
      <c r="J155" s="1">
        <v>0</v>
      </c>
      <c r="K155" s="12">
        <v>0</v>
      </c>
      <c r="L155" s="1">
        <v>860.14800000000002</v>
      </c>
      <c r="M155" s="12">
        <v>95.572000000000003</v>
      </c>
      <c r="N155" t="s">
        <v>182</v>
      </c>
      <c r="O155" t="s">
        <v>129</v>
      </c>
      <c r="P155" s="2" t="str">
        <f>IF(BD_Receitas[[#This Row],[TIPO DE COBRANÇA]]="Operação Normal",
_xlfn.XLOOKUP(BD_Receitas[[#This Row],[ID]],TabCondicoesComerciais[ID],TabCondicoesComerciais[Volume mínimo 
(m3)],0),"")</f>
        <v/>
      </c>
      <c r="Q155" s="2">
        <f>_xlfn.XLOOKUP(BD_Receitas[[#This Row],[ID]],TabCondicoesComerciais[ID],TabCondicoesComerciais[Vol. 1ºGiro],0)</f>
        <v>1175</v>
      </c>
      <c r="R1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155" s="1">
        <f xml:space="preserve"> IF(BD_Receitas[[#This Row],[TIPO DE COBRANÇA]]="Operação Normal",
_xlfn.XLOOKUP(BD_Receitas[[#This Row],[ID]],TabCondicoesComerciais[ID],TabCondicoesComerciais[Tarifa 2º Giro],0),0)</f>
        <v>0</v>
      </c>
      <c r="T15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6" spans="1:24" hidden="1" x14ac:dyDescent="0.35">
      <c r="A156" s="3" t="s">
        <v>166</v>
      </c>
      <c r="B156" s="11">
        <v>45717</v>
      </c>
      <c r="C156" t="s">
        <v>31</v>
      </c>
      <c r="D156" t="s">
        <v>203</v>
      </c>
      <c r="E156" t="s">
        <v>32</v>
      </c>
      <c r="F156" s="10" t="s">
        <v>25</v>
      </c>
      <c r="G156" s="3" t="s">
        <v>12</v>
      </c>
      <c r="H156" s="3" t="s">
        <v>9</v>
      </c>
      <c r="I156" s="3" t="s">
        <v>8</v>
      </c>
      <c r="J156" s="1">
        <v>0</v>
      </c>
      <c r="K156" s="12">
        <v>0</v>
      </c>
      <c r="L156" s="1"/>
      <c r="M156" s="12"/>
      <c r="N156"/>
      <c r="O156"/>
      <c r="P156" s="2" t="str">
        <f>IF(BD_Receitas[[#This Row],[TIPO DE COBRANÇA]]="Operação Normal",
_xlfn.XLOOKUP(BD_Receitas[[#This Row],[ID]],TabCondicoesComerciais[ID],TabCondicoesComerciais[Volume mínimo 
(m3)],0),"")</f>
        <v/>
      </c>
      <c r="Q156" s="2">
        <f>_xlfn.XLOOKUP(BD_Receitas[[#This Row],[ID]],TabCondicoesComerciais[ID],TabCondicoesComerciais[Vol. 1ºGiro],0)</f>
        <v>1175</v>
      </c>
      <c r="R1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</v>
      </c>
      <c r="S156" s="1">
        <f xml:space="preserve"> IF(BD_Receitas[[#This Row],[TIPO DE COBRANÇA]]="Operação Normal",
_xlfn.XLOOKUP(BD_Receitas[[#This Row],[ID]],TabCondicoesComerciais[ID],TabCondicoesComerciais[Tarifa 2º Giro],0),0)</f>
        <v>0</v>
      </c>
      <c r="T1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57" spans="1:24" hidden="1" x14ac:dyDescent="0.35">
      <c r="A157" s="3" t="s">
        <v>166</v>
      </c>
      <c r="B157" s="11">
        <v>45717</v>
      </c>
      <c r="C157" t="s">
        <v>31</v>
      </c>
      <c r="D157" t="s">
        <v>203</v>
      </c>
      <c r="E157" t="s">
        <v>32</v>
      </c>
      <c r="F157" s="10" t="s">
        <v>25</v>
      </c>
      <c r="G157" s="3" t="s">
        <v>12</v>
      </c>
      <c r="H157" s="3" t="s">
        <v>9</v>
      </c>
      <c r="I157" s="3" t="s">
        <v>15</v>
      </c>
      <c r="J157" s="1">
        <v>164947.60920000001</v>
      </c>
      <c r="K157" s="12">
        <v>6100</v>
      </c>
      <c r="L157" s="1">
        <v>152744</v>
      </c>
      <c r="M157" s="12">
        <v>6100</v>
      </c>
      <c r="N157" t="s">
        <v>182</v>
      </c>
      <c r="O157" t="s">
        <v>155</v>
      </c>
      <c r="P157" s="2">
        <f>IF(BD_Receitas[[#This Row],[TIPO DE COBRANÇA]]="Operação Normal",
_xlfn.XLOOKUP(BD_Receitas[[#This Row],[ID]],TabCondicoesComerciais[ID],TabCondicoesComerciais[Volume mínimo 
(m3)],0),"")</f>
        <v>6100</v>
      </c>
      <c r="Q157" s="2">
        <f>_xlfn.XLOOKUP(BD_Receitas[[#This Row],[ID]],TabCondicoesComerciais[ID],TabCondicoesComerciais[Vol. 1ºGiro],0)</f>
        <v>1175</v>
      </c>
      <c r="R1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157" s="1">
        <f xml:space="preserve"> IF(BD_Receitas[[#This Row],[TIPO DE COBRANÇA]]="Operação Normal",
_xlfn.XLOOKUP(BD_Receitas[[#This Row],[ID]],TabCondicoesComerciais[ID],TabCondicoesComerciais[Tarifa 2º Giro],0),0)</f>
        <v>25.04</v>
      </c>
      <c r="T157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15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75.543023606557384</v>
      </c>
      <c r="V15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15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1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58" spans="1:24" hidden="1" x14ac:dyDescent="0.35">
      <c r="A158" s="3" t="s">
        <v>166</v>
      </c>
      <c r="B158" s="11">
        <v>45717</v>
      </c>
      <c r="C158" t="s">
        <v>31</v>
      </c>
      <c r="D158" t="s">
        <v>203</v>
      </c>
      <c r="E158" t="s">
        <v>32</v>
      </c>
      <c r="F158" s="10" t="s">
        <v>25</v>
      </c>
      <c r="G158" s="3" t="s">
        <v>12</v>
      </c>
      <c r="H158" s="3" t="s">
        <v>9</v>
      </c>
      <c r="I158" s="3" t="s">
        <v>15</v>
      </c>
      <c r="J158" s="1">
        <v>164947.60920000001</v>
      </c>
      <c r="K158" s="12">
        <v>6100</v>
      </c>
      <c r="L158" s="1">
        <v>152744</v>
      </c>
      <c r="M158" s="12">
        <v>6100</v>
      </c>
      <c r="N158" t="s">
        <v>182</v>
      </c>
      <c r="O158" t="s">
        <v>155</v>
      </c>
      <c r="P158" s="2">
        <f>IF(BD_Receitas[[#This Row],[TIPO DE COBRANÇA]]="Operação Normal",
_xlfn.XLOOKUP(BD_Receitas[[#This Row],[ID]],TabCondicoesComerciais[ID],TabCondicoesComerciais[Volume mínimo 
(m3)],0),"")</f>
        <v>6100</v>
      </c>
      <c r="Q158" s="2">
        <f>_xlfn.XLOOKUP(BD_Receitas[[#This Row],[ID]],TabCondicoesComerciais[ID],TabCondicoesComerciais[Vol. 1ºGiro],0)</f>
        <v>1175</v>
      </c>
      <c r="R1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158" s="1">
        <f xml:space="preserve"> IF(BD_Receitas[[#This Row],[TIPO DE COBRANÇA]]="Operação Normal",
_xlfn.XLOOKUP(BD_Receitas[[#This Row],[ID]],TabCondicoesComerciais[ID],TabCondicoesComerciais[Tarifa 2º Giro],0),0)</f>
        <v>25.04</v>
      </c>
      <c r="T158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15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75.543023606557384</v>
      </c>
      <c r="V15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15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1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59" spans="1:24" hidden="1" x14ac:dyDescent="0.35">
      <c r="A159" s="3" t="s">
        <v>166</v>
      </c>
      <c r="B159" s="11">
        <v>45717</v>
      </c>
      <c r="C159" t="s">
        <v>31</v>
      </c>
      <c r="D159" t="s">
        <v>203</v>
      </c>
      <c r="E159" t="s">
        <v>32</v>
      </c>
      <c r="F159" s="10" t="s">
        <v>25</v>
      </c>
      <c r="G159" s="3" t="s">
        <v>12</v>
      </c>
      <c r="H159" s="3" t="s">
        <v>9</v>
      </c>
      <c r="I159" s="3" t="s">
        <v>15</v>
      </c>
      <c r="J159" s="1">
        <v>164947.60920000001</v>
      </c>
      <c r="K159" s="12">
        <v>6100</v>
      </c>
      <c r="L159" s="1">
        <v>152744</v>
      </c>
      <c r="M159" s="12">
        <v>4268.2</v>
      </c>
      <c r="N159" t="s">
        <v>182</v>
      </c>
      <c r="O159" t="s">
        <v>155</v>
      </c>
      <c r="P159" s="2">
        <f>IF(BD_Receitas[[#This Row],[TIPO DE COBRANÇA]]="Operação Normal",
_xlfn.XLOOKUP(BD_Receitas[[#This Row],[ID]],TabCondicoesComerciais[ID],TabCondicoesComerciais[Volume mínimo 
(m3)],0),"")</f>
        <v>6100</v>
      </c>
      <c r="Q159" s="2">
        <f>_xlfn.XLOOKUP(BD_Receitas[[#This Row],[ID]],TabCondicoesComerciais[ID],TabCondicoesComerciais[Vol. 1ºGiro],0)</f>
        <v>1175</v>
      </c>
      <c r="R1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159" s="1">
        <f xml:space="preserve"> IF(BD_Receitas[[#This Row],[TIPO DE COBRANÇA]]="Operação Normal",
_xlfn.XLOOKUP(BD_Receitas[[#This Row],[ID]],TabCondicoesComerciais[ID],TabCondicoesComerciais[Tarifa 2º Giro],0),0)</f>
        <v>25.04</v>
      </c>
      <c r="T159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1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107.96411695796824</v>
      </c>
      <c r="V1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1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106875.72799999999</v>
      </c>
      <c r="X1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60" spans="1:24" hidden="1" x14ac:dyDescent="0.35">
      <c r="A160" s="3" t="s">
        <v>166</v>
      </c>
      <c r="B160" s="11">
        <v>45717</v>
      </c>
      <c r="C160" t="s">
        <v>31</v>
      </c>
      <c r="D160" t="s">
        <v>203</v>
      </c>
      <c r="E160" t="s">
        <v>32</v>
      </c>
      <c r="F160" s="10" t="s">
        <v>25</v>
      </c>
      <c r="G160" s="3" t="s">
        <v>12</v>
      </c>
      <c r="H160" s="3" t="s">
        <v>9</v>
      </c>
      <c r="I160" s="3" t="s">
        <v>65</v>
      </c>
      <c r="J160" s="1">
        <v>0</v>
      </c>
      <c r="K160" s="12">
        <v>0</v>
      </c>
      <c r="L160" s="1"/>
      <c r="M160" s="12"/>
      <c r="N160"/>
      <c r="O160"/>
      <c r="P160" s="2" t="str">
        <f>IF(BD_Receitas[[#This Row],[TIPO DE COBRANÇA]]="Operação Normal",
_xlfn.XLOOKUP(BD_Receitas[[#This Row],[ID]],TabCondicoesComerciais[ID],TabCondicoesComerciais[Volume mínimo 
(m3)],0),"")</f>
        <v/>
      </c>
      <c r="Q160" s="2">
        <f>_xlfn.XLOOKUP(BD_Receitas[[#This Row],[ID]],TabCondicoesComerciais[ID],TabCondicoesComerciais[Vol. 1ºGiro],0)</f>
        <v>1175</v>
      </c>
      <c r="R1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60" s="1">
        <f xml:space="preserve"> IF(BD_Receitas[[#This Row],[TIPO DE COBRANÇA]]="Operação Normal",
_xlfn.XLOOKUP(BD_Receitas[[#This Row],[ID]],TabCondicoesComerciais[ID],TabCondicoesComerciais[Tarifa 2º Giro],0),0)</f>
        <v>0</v>
      </c>
      <c r="T1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1" spans="1:24" hidden="1" x14ac:dyDescent="0.35">
      <c r="A161" s="3" t="s">
        <v>169</v>
      </c>
      <c r="B161" s="11">
        <v>45717</v>
      </c>
      <c r="C161" t="s">
        <v>31</v>
      </c>
      <c r="D161" t="s">
        <v>203</v>
      </c>
      <c r="E161" t="s">
        <v>32</v>
      </c>
      <c r="F161" s="10" t="s">
        <v>25</v>
      </c>
      <c r="G161" s="3" t="s">
        <v>12</v>
      </c>
      <c r="H161" s="3" t="s">
        <v>170</v>
      </c>
      <c r="I161" s="3" t="s">
        <v>7</v>
      </c>
      <c r="J161" s="1">
        <v>0</v>
      </c>
      <c r="K161" s="12">
        <v>0</v>
      </c>
      <c r="L161" s="1"/>
      <c r="M161" s="12"/>
      <c r="N161"/>
      <c r="O161"/>
      <c r="P161" s="2" t="str">
        <f>IF(BD_Receitas[[#This Row],[TIPO DE COBRANÇA]]="Operação Normal",
_xlfn.XLOOKUP(BD_Receitas[[#This Row],[ID]],TabCondicoesComerciais[ID],TabCondicoesComerciais[Volume mínimo 
(m3)],0),"")</f>
        <v/>
      </c>
      <c r="Q161" s="2">
        <f>_xlfn.XLOOKUP(BD_Receitas[[#This Row],[ID]],TabCondicoesComerciais[ID],TabCondicoesComerciais[Vol. 1ºGiro],0)</f>
        <v>1040</v>
      </c>
      <c r="R1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161" s="1">
        <f xml:space="preserve"> IF(BD_Receitas[[#This Row],[TIPO DE COBRANÇA]]="Operação Normal",
_xlfn.XLOOKUP(BD_Receitas[[#This Row],[ID]],TabCondicoesComerciais[ID],TabCondicoesComerciais[Tarifa 2º Giro],0),0)</f>
        <v>0</v>
      </c>
      <c r="T1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2" spans="1:24" hidden="1" x14ac:dyDescent="0.35">
      <c r="A162" s="3" t="s">
        <v>169</v>
      </c>
      <c r="B162" s="11">
        <v>45717</v>
      </c>
      <c r="C162" t="s">
        <v>31</v>
      </c>
      <c r="D162" t="s">
        <v>203</v>
      </c>
      <c r="E162" t="s">
        <v>32</v>
      </c>
      <c r="F162" s="10" t="s">
        <v>25</v>
      </c>
      <c r="G162" s="3" t="s">
        <v>12</v>
      </c>
      <c r="H162" s="3" t="s">
        <v>170</v>
      </c>
      <c r="I162" s="3" t="s">
        <v>8</v>
      </c>
      <c r="J162" s="1">
        <v>0</v>
      </c>
      <c r="K162" s="12">
        <v>0</v>
      </c>
      <c r="L162" s="1"/>
      <c r="M162" s="12"/>
      <c r="N162"/>
      <c r="O162"/>
      <c r="P162" s="2" t="str">
        <f>IF(BD_Receitas[[#This Row],[TIPO DE COBRANÇA]]="Operação Normal",
_xlfn.XLOOKUP(BD_Receitas[[#This Row],[ID]],TabCondicoesComerciais[ID],TabCondicoesComerciais[Volume mínimo 
(m3)],0),"")</f>
        <v/>
      </c>
      <c r="Q162" s="2">
        <f>_xlfn.XLOOKUP(BD_Receitas[[#This Row],[ID]],TabCondicoesComerciais[ID],TabCondicoesComerciais[Vol. 1ºGiro],0)</f>
        <v>1040</v>
      </c>
      <c r="R1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162" s="1">
        <f xml:space="preserve"> IF(BD_Receitas[[#This Row],[TIPO DE COBRANÇA]]="Operação Normal",
_xlfn.XLOOKUP(BD_Receitas[[#This Row],[ID]],TabCondicoesComerciais[ID],TabCondicoesComerciais[Tarifa 2º Giro],0),0)</f>
        <v>0</v>
      </c>
      <c r="T1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3" spans="1:24" hidden="1" x14ac:dyDescent="0.35">
      <c r="A163" s="3" t="s">
        <v>169</v>
      </c>
      <c r="B163" s="11">
        <v>45717</v>
      </c>
      <c r="C163" t="s">
        <v>31</v>
      </c>
      <c r="D163" t="s">
        <v>203</v>
      </c>
      <c r="E163" t="s">
        <v>32</v>
      </c>
      <c r="F163" s="10" t="s">
        <v>25</v>
      </c>
      <c r="G163" s="3" t="s">
        <v>12</v>
      </c>
      <c r="H163" s="3" t="s">
        <v>170</v>
      </c>
      <c r="I163" s="3" t="s">
        <v>15</v>
      </c>
      <c r="J163" s="1">
        <v>0</v>
      </c>
      <c r="K163" s="12">
        <v>0</v>
      </c>
      <c r="L163" s="1"/>
      <c r="M163" s="12"/>
      <c r="N163"/>
      <c r="O163"/>
      <c r="P163" s="2">
        <f>IF(BD_Receitas[[#This Row],[TIPO DE COBRANÇA]]="Operação Normal",
_xlfn.XLOOKUP(BD_Receitas[[#This Row],[ID]],TabCondicoesComerciais[ID],TabCondicoesComerciais[Volume mínimo 
(m3)],0),"")</f>
        <v>4160</v>
      </c>
      <c r="Q163" s="2">
        <f>_xlfn.XLOOKUP(BD_Receitas[[#This Row],[ID]],TabCondicoesComerciais[ID],TabCondicoesComerciais[Vol. 1ºGiro],0)</f>
        <v>1040</v>
      </c>
      <c r="R1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163" s="1">
        <f xml:space="preserve"> IF(BD_Receitas[[#This Row],[TIPO DE COBRANÇA]]="Operação Normal",
_xlfn.XLOOKUP(BD_Receitas[[#This Row],[ID]],TabCondicoesComerciais[ID],TabCondicoesComerciais[Tarifa 2º Giro],0),0)</f>
        <v>28.44</v>
      </c>
      <c r="T16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1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64" spans="1:24" hidden="1" x14ac:dyDescent="0.35">
      <c r="A164" s="3" t="s">
        <v>169</v>
      </c>
      <c r="B164" s="11">
        <v>45717</v>
      </c>
      <c r="C164" t="s">
        <v>31</v>
      </c>
      <c r="D164" t="s">
        <v>203</v>
      </c>
      <c r="E164" t="s">
        <v>32</v>
      </c>
      <c r="F164" s="10" t="s">
        <v>25</v>
      </c>
      <c r="G164" s="3" t="s">
        <v>12</v>
      </c>
      <c r="H164" s="3" t="s">
        <v>170</v>
      </c>
      <c r="I164" s="3" t="s">
        <v>65</v>
      </c>
      <c r="J164" s="1">
        <v>0</v>
      </c>
      <c r="K164" s="12">
        <v>0</v>
      </c>
      <c r="L164" s="1"/>
      <c r="M164" s="12"/>
      <c r="N164"/>
      <c r="O164"/>
      <c r="P164" s="2" t="str">
        <f>IF(BD_Receitas[[#This Row],[TIPO DE COBRANÇA]]="Operação Normal",
_xlfn.XLOOKUP(BD_Receitas[[#This Row],[ID]],TabCondicoesComerciais[ID],TabCondicoesComerciais[Volume mínimo 
(m3)],0),"")</f>
        <v/>
      </c>
      <c r="Q164" s="2">
        <f>_xlfn.XLOOKUP(BD_Receitas[[#This Row],[ID]],TabCondicoesComerciais[ID],TabCondicoesComerciais[Vol. 1ºGiro],0)</f>
        <v>1040</v>
      </c>
      <c r="R1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64" s="1">
        <f xml:space="preserve"> IF(BD_Receitas[[#This Row],[TIPO DE COBRANÇA]]="Operação Normal",
_xlfn.XLOOKUP(BD_Receitas[[#This Row],[ID]],TabCondicoesComerciais[ID],TabCondicoesComerciais[Tarifa 2º Giro],0),0)</f>
        <v>0</v>
      </c>
      <c r="T1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5" spans="1:24" hidden="1" x14ac:dyDescent="0.35">
      <c r="A165" s="3" t="s">
        <v>134</v>
      </c>
      <c r="B165" s="11">
        <v>45717</v>
      </c>
      <c r="C165" t="s">
        <v>31</v>
      </c>
      <c r="D165" t="s">
        <v>62</v>
      </c>
      <c r="E165" t="s">
        <v>37</v>
      </c>
      <c r="F165" s="10" t="s">
        <v>57</v>
      </c>
      <c r="G165" s="3" t="s">
        <v>58</v>
      </c>
      <c r="H165" s="3" t="s">
        <v>10</v>
      </c>
      <c r="I165" s="3" t="s">
        <v>7</v>
      </c>
      <c r="J165" s="1">
        <v>0</v>
      </c>
      <c r="K165" s="12">
        <v>0</v>
      </c>
      <c r="L165" s="1"/>
      <c r="M165" s="12"/>
      <c r="N165"/>
      <c r="O165"/>
      <c r="P165" s="2" t="str">
        <f>IF(BD_Receitas[[#This Row],[TIPO DE COBRANÇA]]="Operação Normal",
_xlfn.XLOOKUP(BD_Receitas[[#This Row],[ID]],TabCondicoesComerciais[ID],TabCondicoesComerciais[Volume mínimo 
(m3)],0),"")</f>
        <v/>
      </c>
      <c r="Q165" s="2">
        <f>_xlfn.XLOOKUP(BD_Receitas[[#This Row],[ID]],TabCondicoesComerciais[ID],TabCondicoesComerciais[Vol. 1ºGiro],0)</f>
        <v>310</v>
      </c>
      <c r="R1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65" s="1">
        <f xml:space="preserve"> IF(BD_Receitas[[#This Row],[TIPO DE COBRANÇA]]="Operação Normal",
_xlfn.XLOOKUP(BD_Receitas[[#This Row],[ID]],TabCondicoesComerciais[ID],TabCondicoesComerciais[Tarifa 2º Giro],0),0)</f>
        <v>0</v>
      </c>
      <c r="T1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6" spans="1:24" hidden="1" x14ac:dyDescent="0.35">
      <c r="A166" s="3" t="s">
        <v>134</v>
      </c>
      <c r="B166" s="11">
        <v>45717</v>
      </c>
      <c r="C166" t="s">
        <v>31</v>
      </c>
      <c r="D166" t="s">
        <v>62</v>
      </c>
      <c r="E166" t="s">
        <v>37</v>
      </c>
      <c r="F166" s="10" t="s">
        <v>57</v>
      </c>
      <c r="G166" s="3" t="s">
        <v>58</v>
      </c>
      <c r="H166" s="3" t="s">
        <v>10</v>
      </c>
      <c r="I166" s="3" t="s">
        <v>8</v>
      </c>
      <c r="J166" s="1">
        <v>0</v>
      </c>
      <c r="K166" s="12">
        <v>0</v>
      </c>
      <c r="L166" s="1"/>
      <c r="M166" s="12"/>
      <c r="N166"/>
      <c r="O166"/>
      <c r="P166" s="2" t="str">
        <f>IF(BD_Receitas[[#This Row],[TIPO DE COBRANÇA]]="Operação Normal",
_xlfn.XLOOKUP(BD_Receitas[[#This Row],[ID]],TabCondicoesComerciais[ID],TabCondicoesComerciais[Volume mínimo 
(m3)],0),"")</f>
        <v/>
      </c>
      <c r="Q166" s="2">
        <f>_xlfn.XLOOKUP(BD_Receitas[[#This Row],[ID]],TabCondicoesComerciais[ID],TabCondicoesComerciais[Vol. 1ºGiro],0)</f>
        <v>310</v>
      </c>
      <c r="R1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66" s="1">
        <f xml:space="preserve"> IF(BD_Receitas[[#This Row],[TIPO DE COBRANÇA]]="Operação Normal",
_xlfn.XLOOKUP(BD_Receitas[[#This Row],[ID]],TabCondicoesComerciais[ID],TabCondicoesComerciais[Tarifa 2º Giro],0),0)</f>
        <v>0</v>
      </c>
      <c r="T1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7" spans="1:24" hidden="1" x14ac:dyDescent="0.35">
      <c r="A167" s="3" t="s">
        <v>134</v>
      </c>
      <c r="B167" s="11">
        <v>45717</v>
      </c>
      <c r="C167" t="s">
        <v>31</v>
      </c>
      <c r="D167" t="s">
        <v>62</v>
      </c>
      <c r="E167" t="s">
        <v>37</v>
      </c>
      <c r="F167" s="10" t="s">
        <v>57</v>
      </c>
      <c r="G167" s="3" t="s">
        <v>58</v>
      </c>
      <c r="H167" s="3" t="s">
        <v>10</v>
      </c>
      <c r="I167" s="3" t="s">
        <v>15</v>
      </c>
      <c r="J167" s="1">
        <v>17311.068899999998</v>
      </c>
      <c r="K167" s="12">
        <v>550</v>
      </c>
      <c r="L167" s="1">
        <v>38055.17</v>
      </c>
      <c r="M167" s="12">
        <v>1195.354</v>
      </c>
      <c r="N167" t="s">
        <v>118</v>
      </c>
      <c r="O167"/>
      <c r="P167" s="2">
        <f>IF(BD_Receitas[[#This Row],[TIPO DE COBRANÇA]]="Operação Normal",
_xlfn.XLOOKUP(BD_Receitas[[#This Row],[ID]],TabCondicoesComerciais[ID],TabCondicoesComerciais[Volume mínimo 
(m3)],0),"")</f>
        <v>1100</v>
      </c>
      <c r="Q167" s="2">
        <f>_xlfn.XLOOKUP(BD_Receitas[[#This Row],[ID]],TabCondicoesComerciais[ID],TabCondicoesComerciais[Vol. 1ºGiro],0)</f>
        <v>310</v>
      </c>
      <c r="R1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67" s="1">
        <f xml:space="preserve"> IF(BD_Receitas[[#This Row],[TIPO DE COBRANÇA]]="Operação Normal",
_xlfn.XLOOKUP(BD_Receitas[[#This Row],[ID]],TabCondicoesComerciais[ID],TabCondicoesComerciais[Tarifa 2º Giro],0),0)</f>
        <v>31.04</v>
      </c>
      <c r="T167" s="5">
        <f>IFERROR(IF(BD_Receitas[[#This Row],[TIPO DE COBRANÇA]]&lt;&gt;"Operação Normal","",BD_Receitas[[#This Row],[Valor Total R$]]/ MAX(BD_Receitas[[#This Row],[Vol. Movimentado M³]],
BD_Receitas[[#This Row],[Volume Mínimo ]])
),0)</f>
        <v>31.835899658176572</v>
      </c>
      <c r="U1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33.15182782673584</v>
      </c>
      <c r="V1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37103.788160000004</v>
      </c>
      <c r="X1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68" spans="1:24" hidden="1" x14ac:dyDescent="0.35">
      <c r="A168" s="3" t="s">
        <v>134</v>
      </c>
      <c r="B168" s="11">
        <v>45717</v>
      </c>
      <c r="C168" t="s">
        <v>31</v>
      </c>
      <c r="D168" t="s">
        <v>62</v>
      </c>
      <c r="E168" t="s">
        <v>37</v>
      </c>
      <c r="F168" s="10" t="s">
        <v>57</v>
      </c>
      <c r="G168" s="3" t="s">
        <v>58</v>
      </c>
      <c r="H168" s="3" t="s">
        <v>10</v>
      </c>
      <c r="I168" s="3" t="s">
        <v>65</v>
      </c>
      <c r="J168" s="1">
        <v>0</v>
      </c>
      <c r="K168" s="12">
        <v>0</v>
      </c>
      <c r="L168" s="1">
        <v>1573</v>
      </c>
      <c r="M168" s="12">
        <v>0</v>
      </c>
      <c r="N168"/>
      <c r="O168"/>
      <c r="P168" s="2" t="str">
        <f>IF(BD_Receitas[[#This Row],[TIPO DE COBRANÇA]]="Operação Normal",
_xlfn.XLOOKUP(BD_Receitas[[#This Row],[ID]],TabCondicoesComerciais[ID],TabCondicoesComerciais[Volume mínimo 
(m3)],0),"")</f>
        <v/>
      </c>
      <c r="Q168" s="2">
        <f>_xlfn.XLOOKUP(BD_Receitas[[#This Row],[ID]],TabCondicoesComerciais[ID],TabCondicoesComerciais[Vol. 1ºGiro],0)</f>
        <v>310</v>
      </c>
      <c r="R1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68" s="1">
        <f xml:space="preserve"> IF(BD_Receitas[[#This Row],[TIPO DE COBRANÇA]]="Operação Normal",
_xlfn.XLOOKUP(BD_Receitas[[#This Row],[ID]],TabCondicoesComerciais[ID],TabCondicoesComerciais[Tarifa 2º Giro],0),0)</f>
        <v>0</v>
      </c>
      <c r="T1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69" spans="1:24" hidden="1" x14ac:dyDescent="0.35">
      <c r="A169" s="3" t="s">
        <v>173</v>
      </c>
      <c r="B169" s="11">
        <v>45717</v>
      </c>
      <c r="C169" t="s">
        <v>31</v>
      </c>
      <c r="D169" t="s">
        <v>62</v>
      </c>
      <c r="E169" t="s">
        <v>37</v>
      </c>
      <c r="F169" s="10" t="s">
        <v>57</v>
      </c>
      <c r="G169" s="3" t="s">
        <v>58</v>
      </c>
      <c r="H169" s="3" t="s">
        <v>6</v>
      </c>
      <c r="I169" s="3" t="s">
        <v>7</v>
      </c>
      <c r="J169" s="1">
        <v>0</v>
      </c>
      <c r="K169" s="12">
        <v>0</v>
      </c>
      <c r="L169" s="1"/>
      <c r="M169" s="12"/>
      <c r="N169"/>
      <c r="O169"/>
      <c r="P169" s="2" t="str">
        <f>IF(BD_Receitas[[#This Row],[TIPO DE COBRANÇA]]="Operação Normal",
_xlfn.XLOOKUP(BD_Receitas[[#This Row],[ID]],TabCondicoesComerciais[ID],TabCondicoesComerciais[Volume mínimo 
(m3)],0),"")</f>
        <v/>
      </c>
      <c r="Q169" s="2">
        <f>_xlfn.XLOOKUP(BD_Receitas[[#This Row],[ID]],TabCondicoesComerciais[ID],TabCondicoesComerciais[Vol. 1ºGiro],0)</f>
        <v>1070</v>
      </c>
      <c r="R1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69" s="1">
        <f xml:space="preserve"> IF(BD_Receitas[[#This Row],[TIPO DE COBRANÇA]]="Operação Normal",
_xlfn.XLOOKUP(BD_Receitas[[#This Row],[ID]],TabCondicoesComerciais[ID],TabCondicoesComerciais[Tarifa 2º Giro],0),0)</f>
        <v>0</v>
      </c>
      <c r="T1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0" spans="1:24" hidden="1" x14ac:dyDescent="0.35">
      <c r="A170" s="3" t="s">
        <v>173</v>
      </c>
      <c r="B170" s="11">
        <v>45717</v>
      </c>
      <c r="C170" t="s">
        <v>31</v>
      </c>
      <c r="D170" t="s">
        <v>62</v>
      </c>
      <c r="E170" t="s">
        <v>37</v>
      </c>
      <c r="F170" s="10" t="s">
        <v>57</v>
      </c>
      <c r="G170" s="3" t="s">
        <v>58</v>
      </c>
      <c r="H170" s="3" t="s">
        <v>6</v>
      </c>
      <c r="I170" s="3" t="s">
        <v>8</v>
      </c>
      <c r="J170" s="1">
        <v>0</v>
      </c>
      <c r="K170" s="12">
        <v>0</v>
      </c>
      <c r="L170" s="1"/>
      <c r="M170" s="12"/>
      <c r="N170"/>
      <c r="O170"/>
      <c r="P170" s="2" t="str">
        <f>IF(BD_Receitas[[#This Row],[TIPO DE COBRANÇA]]="Operação Normal",
_xlfn.XLOOKUP(BD_Receitas[[#This Row],[ID]],TabCondicoesComerciais[ID],TabCondicoesComerciais[Volume mínimo 
(m3)],0),"")</f>
        <v/>
      </c>
      <c r="Q170" s="2">
        <f>_xlfn.XLOOKUP(BD_Receitas[[#This Row],[ID]],TabCondicoesComerciais[ID],TabCondicoesComerciais[Vol. 1ºGiro],0)</f>
        <v>1070</v>
      </c>
      <c r="R1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70" s="1">
        <f xml:space="preserve"> IF(BD_Receitas[[#This Row],[TIPO DE COBRANÇA]]="Operação Normal",
_xlfn.XLOOKUP(BD_Receitas[[#This Row],[ID]],TabCondicoesComerciais[ID],TabCondicoesComerciais[Tarifa 2º Giro],0),0)</f>
        <v>0</v>
      </c>
      <c r="T1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1" spans="1:24" hidden="1" x14ac:dyDescent="0.35">
      <c r="A171" s="3" t="s">
        <v>173</v>
      </c>
      <c r="B171" s="11">
        <v>45717</v>
      </c>
      <c r="C171" t="s">
        <v>31</v>
      </c>
      <c r="D171" t="s">
        <v>62</v>
      </c>
      <c r="E171" t="s">
        <v>37</v>
      </c>
      <c r="F171" s="10" t="s">
        <v>57</v>
      </c>
      <c r="G171" s="3" t="s">
        <v>58</v>
      </c>
      <c r="H171" s="3" t="s">
        <v>6</v>
      </c>
      <c r="I171" s="3" t="s">
        <v>15</v>
      </c>
      <c r="J171" s="1">
        <v>0</v>
      </c>
      <c r="K171" s="12">
        <v>0</v>
      </c>
      <c r="L171" s="1">
        <v>85631.7</v>
      </c>
      <c r="M171" s="12">
        <v>3564.9409999999998</v>
      </c>
      <c r="N171" t="s">
        <v>54</v>
      </c>
      <c r="O171"/>
      <c r="P171" s="2">
        <f>IF(BD_Receitas[[#This Row],[TIPO DE COBRANÇA]]="Operação Normal",
_xlfn.XLOOKUP(BD_Receitas[[#This Row],[ID]],TabCondicoesComerciais[ID],TabCondicoesComerciais[Volume mínimo 
(m3)],0),"")</f>
        <v>3300</v>
      </c>
      <c r="Q171" s="2">
        <f>_xlfn.XLOOKUP(BD_Receitas[[#This Row],[ID]],TabCondicoesComerciais[ID],TabCondicoesComerciais[Vol. 1ºGiro],0)</f>
        <v>1070</v>
      </c>
      <c r="R1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71" s="1">
        <f xml:space="preserve"> IF(BD_Receitas[[#This Row],[TIPO DE COBRANÇA]]="Operação Normal",
_xlfn.XLOOKUP(BD_Receitas[[#This Row],[ID]],TabCondicoesComerciais[ID],TabCondicoesComerciais[Tarifa 2º Giro],0),0)</f>
        <v>23.42</v>
      </c>
      <c r="T171" s="5">
        <f>IFERROR(IF(BD_Receitas[[#This Row],[TIPO DE COBRANÇA]]&lt;&gt;"Operação Normal","",BD_Receitas[[#This Row],[Valor Total R$]]/ MAX(BD_Receitas[[#This Row],[Vol. Movimentado M³]],
BD_Receitas[[#This Row],[Volume Mínimo ]])
),0)</f>
        <v>24.02050973634627</v>
      </c>
      <c r="U1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24.890650364199576</v>
      </c>
      <c r="V1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83490.918219999992</v>
      </c>
      <c r="X1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72" spans="1:24" hidden="1" x14ac:dyDescent="0.35">
      <c r="A172" s="3" t="s">
        <v>173</v>
      </c>
      <c r="B172" s="11">
        <v>45717</v>
      </c>
      <c r="C172" t="s">
        <v>31</v>
      </c>
      <c r="D172" t="s">
        <v>62</v>
      </c>
      <c r="E172" t="s">
        <v>37</v>
      </c>
      <c r="F172" s="10" t="s">
        <v>57</v>
      </c>
      <c r="G172" s="3" t="s">
        <v>58</v>
      </c>
      <c r="H172" s="3" t="s">
        <v>6</v>
      </c>
      <c r="I172" s="3" t="s">
        <v>65</v>
      </c>
      <c r="J172" s="1">
        <v>0</v>
      </c>
      <c r="K172" s="12">
        <v>0</v>
      </c>
      <c r="L172" s="1">
        <v>3102</v>
      </c>
      <c r="M172" s="12">
        <v>0</v>
      </c>
      <c r="N172" t="s">
        <v>54</v>
      </c>
      <c r="O172" t="s">
        <v>183</v>
      </c>
      <c r="P172" s="2" t="str">
        <f>IF(BD_Receitas[[#This Row],[TIPO DE COBRANÇA]]="Operação Normal",
_xlfn.XLOOKUP(BD_Receitas[[#This Row],[ID]],TabCondicoesComerciais[ID],TabCondicoesComerciais[Volume mínimo 
(m3)],0),"")</f>
        <v/>
      </c>
      <c r="Q172" s="2">
        <f>_xlfn.XLOOKUP(BD_Receitas[[#This Row],[ID]],TabCondicoesComerciais[ID],TabCondicoesComerciais[Vol. 1ºGiro],0)</f>
        <v>1070</v>
      </c>
      <c r="R1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72" s="1">
        <f xml:space="preserve"> IF(BD_Receitas[[#This Row],[TIPO DE COBRANÇA]]="Operação Normal",
_xlfn.XLOOKUP(BD_Receitas[[#This Row],[ID]],TabCondicoesComerciais[ID],TabCondicoesComerciais[Tarifa 2º Giro],0),0)</f>
        <v>0</v>
      </c>
      <c r="T1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3" spans="1:24" hidden="1" x14ac:dyDescent="0.35">
      <c r="A173" s="3" t="s">
        <v>184</v>
      </c>
      <c r="B173" s="11">
        <v>45717</v>
      </c>
      <c r="C173" t="s">
        <v>31</v>
      </c>
      <c r="D173" t="s">
        <v>203</v>
      </c>
      <c r="E173" t="s">
        <v>34</v>
      </c>
      <c r="F173" s="10" t="s">
        <v>26</v>
      </c>
      <c r="G173" s="3" t="s">
        <v>19</v>
      </c>
      <c r="H173" s="3" t="s">
        <v>13</v>
      </c>
      <c r="I173" s="3" t="s">
        <v>7</v>
      </c>
      <c r="J173" s="1">
        <v>0</v>
      </c>
      <c r="K173" s="12">
        <v>0</v>
      </c>
      <c r="L173" s="1"/>
      <c r="M173" s="12"/>
      <c r="N173"/>
      <c r="O173"/>
      <c r="P173" s="2" t="str">
        <f>IF(BD_Receitas[[#This Row],[TIPO DE COBRANÇA]]="Operação Normal",
_xlfn.XLOOKUP(BD_Receitas[[#This Row],[ID]],TabCondicoesComerciais[ID],TabCondicoesComerciais[Volume mínimo 
(m3)],0),"")</f>
        <v/>
      </c>
      <c r="Q173" s="2">
        <f>_xlfn.XLOOKUP(BD_Receitas[[#This Row],[ID]],TabCondicoesComerciais[ID],TabCondicoesComerciais[Vol. 1ºGiro],0)</f>
        <v>340</v>
      </c>
      <c r="R1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73" s="1">
        <f xml:space="preserve"> IF(BD_Receitas[[#This Row],[TIPO DE COBRANÇA]]="Operação Normal",
_xlfn.XLOOKUP(BD_Receitas[[#This Row],[ID]],TabCondicoesComerciais[ID],TabCondicoesComerciais[Tarifa 2º Giro],0),0)</f>
        <v>0</v>
      </c>
      <c r="T1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4" spans="1:24" hidden="1" x14ac:dyDescent="0.35">
      <c r="A174" s="3" t="s">
        <v>184</v>
      </c>
      <c r="B174" s="11">
        <v>45717</v>
      </c>
      <c r="C174" t="s">
        <v>31</v>
      </c>
      <c r="D174" t="s">
        <v>203</v>
      </c>
      <c r="E174" t="s">
        <v>34</v>
      </c>
      <c r="F174" s="10" t="s">
        <v>26</v>
      </c>
      <c r="G174" s="3" t="s">
        <v>19</v>
      </c>
      <c r="H174" s="3" t="s">
        <v>13</v>
      </c>
      <c r="I174" s="3" t="s">
        <v>8</v>
      </c>
      <c r="J174" s="1">
        <v>0</v>
      </c>
      <c r="K174" s="12">
        <v>0</v>
      </c>
      <c r="L174" s="1"/>
      <c r="M174" s="12"/>
      <c r="N174"/>
      <c r="O174"/>
      <c r="P174" s="2" t="str">
        <f>IF(BD_Receitas[[#This Row],[TIPO DE COBRANÇA]]="Operação Normal",
_xlfn.XLOOKUP(BD_Receitas[[#This Row],[ID]],TabCondicoesComerciais[ID],TabCondicoesComerciais[Volume mínimo 
(m3)],0),"")</f>
        <v/>
      </c>
      <c r="Q174" s="2">
        <f>_xlfn.XLOOKUP(BD_Receitas[[#This Row],[ID]],TabCondicoesComerciais[ID],TabCondicoesComerciais[Vol. 1ºGiro],0)</f>
        <v>340</v>
      </c>
      <c r="R1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74" s="1">
        <f xml:space="preserve"> IF(BD_Receitas[[#This Row],[TIPO DE COBRANÇA]]="Operação Normal",
_xlfn.XLOOKUP(BD_Receitas[[#This Row],[ID]],TabCondicoesComerciais[ID],TabCondicoesComerciais[Tarifa 2º Giro],0),0)</f>
        <v>0</v>
      </c>
      <c r="T1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5" spans="1:24" hidden="1" x14ac:dyDescent="0.35">
      <c r="A175" s="3" t="s">
        <v>184</v>
      </c>
      <c r="B175" s="11">
        <v>45717</v>
      </c>
      <c r="C175" t="s">
        <v>31</v>
      </c>
      <c r="D175" t="s">
        <v>203</v>
      </c>
      <c r="E175" t="s">
        <v>34</v>
      </c>
      <c r="F175" s="10" t="s">
        <v>26</v>
      </c>
      <c r="G175" s="3" t="s">
        <v>19</v>
      </c>
      <c r="H175" s="3" t="s">
        <v>13</v>
      </c>
      <c r="I175" s="3" t="s">
        <v>15</v>
      </c>
      <c r="J175" s="1">
        <v>16933.880399999998</v>
      </c>
      <c r="K175" s="12">
        <v>545</v>
      </c>
      <c r="L175" s="1">
        <v>15260</v>
      </c>
      <c r="M175" s="12">
        <v>545.12300000000005</v>
      </c>
      <c r="N175" t="s">
        <v>178</v>
      </c>
      <c r="O175"/>
      <c r="P175" s="2">
        <f>IF(BD_Receitas[[#This Row],[TIPO DE COBRANÇA]]="Operação Normal",
_xlfn.XLOOKUP(BD_Receitas[[#This Row],[ID]],TabCondicoesComerciais[ID],TabCondicoesComerciais[Volume mínimo 
(m3)],0),"")</f>
        <v>1020</v>
      </c>
      <c r="Q175" s="2">
        <f>_xlfn.XLOOKUP(BD_Receitas[[#This Row],[ID]],TabCondicoesComerciais[ID],TabCondicoesComerciais[Vol. 1ºGiro],0)</f>
        <v>340</v>
      </c>
      <c r="R1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75" s="1">
        <f xml:space="preserve"> IF(BD_Receitas[[#This Row],[TIPO DE COBRANÇA]]="Operação Normal",
_xlfn.XLOOKUP(BD_Receitas[[#This Row],[ID]],TabCondicoesComerciais[ID],TabCondicoesComerciais[Tarifa 2º Giro],0),0)</f>
        <v>28</v>
      </c>
      <c r="T175" s="5">
        <f>IFERROR(IF(BD_Receitas[[#This Row],[TIPO DE COBRANÇA]]&lt;&gt;"Operação Normal","",BD_Receitas[[#This Row],[Valor Total R$]]/ MAX(BD_Receitas[[#This Row],[Vol. Movimentado M³]],
BD_Receitas[[#This Row],[Volume Mínimo ]])
),0)</f>
        <v>14.96078431372549</v>
      </c>
      <c r="U1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27.993682159806134</v>
      </c>
      <c r="V1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1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15263.444000000001</v>
      </c>
      <c r="X1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76" spans="1:24" hidden="1" x14ac:dyDescent="0.35">
      <c r="A176" s="3" t="s">
        <v>184</v>
      </c>
      <c r="B176" s="11">
        <v>45717</v>
      </c>
      <c r="C176" t="s">
        <v>31</v>
      </c>
      <c r="D176" t="s">
        <v>203</v>
      </c>
      <c r="E176" t="s">
        <v>34</v>
      </c>
      <c r="F176" s="10" t="s">
        <v>26</v>
      </c>
      <c r="G176" s="3" t="s">
        <v>19</v>
      </c>
      <c r="H176" s="3" t="s">
        <v>13</v>
      </c>
      <c r="I176" s="3" t="s">
        <v>65</v>
      </c>
      <c r="J176" s="1">
        <v>0</v>
      </c>
      <c r="K176" s="12">
        <v>0</v>
      </c>
      <c r="L176" s="1"/>
      <c r="M176" s="12"/>
      <c r="N176"/>
      <c r="O176"/>
      <c r="P176" s="2" t="str">
        <f>IF(BD_Receitas[[#This Row],[TIPO DE COBRANÇA]]="Operação Normal",
_xlfn.XLOOKUP(BD_Receitas[[#This Row],[ID]],TabCondicoesComerciais[ID],TabCondicoesComerciais[Volume mínimo 
(m3)],0),"")</f>
        <v/>
      </c>
      <c r="Q176" s="2">
        <f>_xlfn.XLOOKUP(BD_Receitas[[#This Row],[ID]],TabCondicoesComerciais[ID],TabCondicoesComerciais[Vol. 1ºGiro],0)</f>
        <v>340</v>
      </c>
      <c r="R1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76" s="1">
        <f xml:space="preserve"> IF(BD_Receitas[[#This Row],[TIPO DE COBRANÇA]]="Operação Normal",
_xlfn.XLOOKUP(BD_Receitas[[#This Row],[ID]],TabCondicoesComerciais[ID],TabCondicoesComerciais[Tarifa 2º Giro],0),0)</f>
        <v>0</v>
      </c>
      <c r="T1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7" spans="1:24" hidden="1" x14ac:dyDescent="0.35">
      <c r="A177" s="3" t="s">
        <v>142</v>
      </c>
      <c r="B177" s="11">
        <v>45748</v>
      </c>
      <c r="C177" t="s">
        <v>31</v>
      </c>
      <c r="D177" t="s">
        <v>202</v>
      </c>
      <c r="E177" t="s">
        <v>36</v>
      </c>
      <c r="F177" s="10" t="s">
        <v>48</v>
      </c>
      <c r="G177" s="3" t="s">
        <v>49</v>
      </c>
      <c r="H177" s="3" t="s">
        <v>52</v>
      </c>
      <c r="I177" s="3" t="s">
        <v>7</v>
      </c>
      <c r="J177" s="1">
        <v>0</v>
      </c>
      <c r="K177" s="12">
        <v>0</v>
      </c>
      <c r="L177" s="1"/>
      <c r="M177" s="12"/>
      <c r="N177"/>
      <c r="O177"/>
      <c r="P177" s="2" t="str">
        <f>IF(BD_Receitas[[#This Row],[TIPO DE COBRANÇA]]="Operação Normal",
_xlfn.XLOOKUP(BD_Receitas[[#This Row],[ID]],TabCondicoesComerciais[ID],TabCondicoesComerciais[Volume mínimo 
(m3)],0),"")</f>
        <v/>
      </c>
      <c r="Q177" s="2">
        <f>_xlfn.XLOOKUP(BD_Receitas[[#This Row],[ID]],TabCondicoesComerciais[ID],TabCondicoesComerciais[Vol. 1ºGiro],0)</f>
        <v>360</v>
      </c>
      <c r="R1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177" s="1">
        <f xml:space="preserve"> IF(BD_Receitas[[#This Row],[TIPO DE COBRANÇA]]="Operação Normal",
_xlfn.XLOOKUP(BD_Receitas[[#This Row],[ID]],TabCondicoesComerciais[ID],TabCondicoesComerciais[Tarifa 2º Giro],0),0)</f>
        <v>0</v>
      </c>
      <c r="T1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8" spans="1:24" hidden="1" x14ac:dyDescent="0.35">
      <c r="A178" s="3" t="s">
        <v>142</v>
      </c>
      <c r="B178" s="11">
        <v>45748</v>
      </c>
      <c r="C178" t="s">
        <v>31</v>
      </c>
      <c r="D178" t="s">
        <v>202</v>
      </c>
      <c r="E178" t="s">
        <v>36</v>
      </c>
      <c r="F178" s="10" t="s">
        <v>48</v>
      </c>
      <c r="G178" s="3" t="s">
        <v>49</v>
      </c>
      <c r="H178" s="3" t="s">
        <v>52</v>
      </c>
      <c r="I178" s="3" t="s">
        <v>8</v>
      </c>
      <c r="J178" s="1">
        <v>0</v>
      </c>
      <c r="K178" s="12">
        <v>0</v>
      </c>
      <c r="L178" s="1"/>
      <c r="M178" s="12"/>
      <c r="N178"/>
      <c r="O178"/>
      <c r="P178" s="2" t="str">
        <f>IF(BD_Receitas[[#This Row],[TIPO DE COBRANÇA]]="Operação Normal",
_xlfn.XLOOKUP(BD_Receitas[[#This Row],[ID]],TabCondicoesComerciais[ID],TabCondicoesComerciais[Volume mínimo 
(m3)],0),"")</f>
        <v/>
      </c>
      <c r="Q178" s="2">
        <f>_xlfn.XLOOKUP(BD_Receitas[[#This Row],[ID]],TabCondicoesComerciais[ID],TabCondicoesComerciais[Vol. 1ºGiro],0)</f>
        <v>360</v>
      </c>
      <c r="R1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178" s="1">
        <f xml:space="preserve"> IF(BD_Receitas[[#This Row],[TIPO DE COBRANÇA]]="Operação Normal",
_xlfn.XLOOKUP(BD_Receitas[[#This Row],[ID]],TabCondicoesComerciais[ID],TabCondicoesComerciais[Tarifa 2º Giro],0),0)</f>
        <v>0</v>
      </c>
      <c r="T1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79" spans="1:24" hidden="1" x14ac:dyDescent="0.35">
      <c r="A179" s="3" t="s">
        <v>142</v>
      </c>
      <c r="B179" s="11">
        <v>45748</v>
      </c>
      <c r="C179" t="s">
        <v>31</v>
      </c>
      <c r="D179" t="s">
        <v>202</v>
      </c>
      <c r="E179" t="s">
        <v>36</v>
      </c>
      <c r="F179" s="10" t="s">
        <v>48</v>
      </c>
      <c r="G179" s="3" t="s">
        <v>49</v>
      </c>
      <c r="H179" s="3" t="s">
        <v>52</v>
      </c>
      <c r="I179" s="3" t="s">
        <v>15</v>
      </c>
      <c r="J179" s="1">
        <v>89789.3701</v>
      </c>
      <c r="K179" s="12">
        <v>2040</v>
      </c>
      <c r="L179" s="1">
        <v>86985.600000000006</v>
      </c>
      <c r="M179" s="12">
        <v>870.048</v>
      </c>
      <c r="N179" t="s">
        <v>191</v>
      </c>
      <c r="O179"/>
      <c r="P179" s="2">
        <f>IF(BD_Receitas[[#This Row],[TIPO DE COBRANÇA]]="Operação Normal",
_xlfn.XLOOKUP(BD_Receitas[[#This Row],[ID]],TabCondicoesComerciais[ID],TabCondicoesComerciais[Volume mínimo 
(m3)],0),"")</f>
        <v>2040</v>
      </c>
      <c r="Q179" s="2">
        <f>_xlfn.XLOOKUP(BD_Receitas[[#This Row],[ID]],TabCondicoesComerciais[ID],TabCondicoesComerciais[Vol. 1ºGiro],0)</f>
        <v>360</v>
      </c>
      <c r="R1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179" s="1">
        <f xml:space="preserve"> IF(BD_Receitas[[#This Row],[TIPO DE COBRANÇA]]="Operação Normal",
_xlfn.XLOOKUP(BD_Receitas[[#This Row],[ID]],TabCondicoesComerciais[ID],TabCondicoesComerciais[Tarifa 2º Giro],0),0)</f>
        <v>42.64</v>
      </c>
      <c r="T179" s="5">
        <f>IFERROR(IF(BD_Receitas[[#This Row],[TIPO DE COBRANÇA]]&lt;&gt;"Operação Normal","",BD_Receitas[[#This Row],[Valor Total R$]]/ MAX(BD_Receitas[[#This Row],[Vol. Movimentado M³]],
BD_Receitas[[#This Row],[Volume Mínimo ]])
),0)</f>
        <v>42.64</v>
      </c>
      <c r="U1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99.977932252013687</v>
      </c>
      <c r="V1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1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37098.846720000001</v>
      </c>
      <c r="X1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80" spans="1:24" hidden="1" x14ac:dyDescent="0.35">
      <c r="A180" s="3" t="s">
        <v>142</v>
      </c>
      <c r="B180" s="11">
        <v>45748</v>
      </c>
      <c r="C180" t="s">
        <v>31</v>
      </c>
      <c r="D180" t="s">
        <v>202</v>
      </c>
      <c r="E180" t="s">
        <v>36</v>
      </c>
      <c r="F180" s="10" t="s">
        <v>48</v>
      </c>
      <c r="G180" s="3" t="s">
        <v>49</v>
      </c>
      <c r="H180" s="3" t="s">
        <v>52</v>
      </c>
      <c r="I180" s="3" t="s">
        <v>65</v>
      </c>
      <c r="J180" s="1">
        <v>0</v>
      </c>
      <c r="K180" s="12">
        <v>0</v>
      </c>
      <c r="L180" s="1"/>
      <c r="M180" s="12"/>
      <c r="N180"/>
      <c r="O180"/>
      <c r="P180" s="2" t="str">
        <f>IF(BD_Receitas[[#This Row],[TIPO DE COBRANÇA]]="Operação Normal",
_xlfn.XLOOKUP(BD_Receitas[[#This Row],[ID]],TabCondicoesComerciais[ID],TabCondicoesComerciais[Volume mínimo 
(m3)],0),"")</f>
        <v/>
      </c>
      <c r="Q180" s="2">
        <f>_xlfn.XLOOKUP(BD_Receitas[[#This Row],[ID]],TabCondicoesComerciais[ID],TabCondicoesComerciais[Vol. 1ºGiro],0)</f>
        <v>360</v>
      </c>
      <c r="R1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0" s="1">
        <f xml:space="preserve"> IF(BD_Receitas[[#This Row],[TIPO DE COBRANÇA]]="Operação Normal",
_xlfn.XLOOKUP(BD_Receitas[[#This Row],[ID]],TabCondicoesComerciais[ID],TabCondicoesComerciais[Tarifa 2º Giro],0),0)</f>
        <v>0</v>
      </c>
      <c r="T1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1" spans="1:24" hidden="1" x14ac:dyDescent="0.35">
      <c r="A181" s="3" t="s">
        <v>139</v>
      </c>
      <c r="B181" s="11">
        <v>45748</v>
      </c>
      <c r="C181" t="s">
        <v>31</v>
      </c>
      <c r="D181" t="s">
        <v>202</v>
      </c>
      <c r="E181" t="s">
        <v>36</v>
      </c>
      <c r="F181" s="10" t="s">
        <v>48</v>
      </c>
      <c r="G181" s="3" t="s">
        <v>49</v>
      </c>
      <c r="H181" s="3" t="s">
        <v>14</v>
      </c>
      <c r="I181" s="3" t="s">
        <v>7</v>
      </c>
      <c r="J181" s="1">
        <v>0</v>
      </c>
      <c r="K181" s="12">
        <v>0</v>
      </c>
      <c r="L181" s="1"/>
      <c r="M181" s="12"/>
      <c r="N181"/>
      <c r="O181"/>
      <c r="P181" s="2" t="str">
        <f>IF(BD_Receitas[[#This Row],[TIPO DE COBRANÇA]]="Operação Normal",
_xlfn.XLOOKUP(BD_Receitas[[#This Row],[ID]],TabCondicoesComerciais[ID],TabCondicoesComerciais[Volume mínimo 
(m3)],0),"")</f>
        <v/>
      </c>
      <c r="Q181" s="2">
        <f>_xlfn.XLOOKUP(BD_Receitas[[#This Row],[ID]],TabCondicoesComerciais[ID],TabCondicoesComerciais[Vol. 1ºGiro],0)</f>
        <v>365</v>
      </c>
      <c r="R1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1" s="1">
        <f xml:space="preserve"> IF(BD_Receitas[[#This Row],[TIPO DE COBRANÇA]]="Operação Normal",
_xlfn.XLOOKUP(BD_Receitas[[#This Row],[ID]],TabCondicoesComerciais[ID],TabCondicoesComerciais[Tarifa 2º Giro],0),0)</f>
        <v>0</v>
      </c>
      <c r="T1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2" spans="1:24" hidden="1" x14ac:dyDescent="0.35">
      <c r="A182" s="3" t="s">
        <v>139</v>
      </c>
      <c r="B182" s="11">
        <v>45748</v>
      </c>
      <c r="C182" t="s">
        <v>31</v>
      </c>
      <c r="D182" t="s">
        <v>202</v>
      </c>
      <c r="E182" t="s">
        <v>36</v>
      </c>
      <c r="F182" s="10" t="s">
        <v>48</v>
      </c>
      <c r="G182" s="3" t="s">
        <v>49</v>
      </c>
      <c r="H182" s="3" t="s">
        <v>14</v>
      </c>
      <c r="I182" s="3" t="s">
        <v>8</v>
      </c>
      <c r="J182" s="1">
        <v>0</v>
      </c>
      <c r="K182" s="12">
        <v>0</v>
      </c>
      <c r="L182" s="1"/>
      <c r="M182" s="12"/>
      <c r="N182"/>
      <c r="O182"/>
      <c r="P182" s="2" t="str">
        <f>IF(BD_Receitas[[#This Row],[TIPO DE COBRANÇA]]="Operação Normal",
_xlfn.XLOOKUP(BD_Receitas[[#This Row],[ID]],TabCondicoesComerciais[ID],TabCondicoesComerciais[Volume mínimo 
(m3)],0),"")</f>
        <v/>
      </c>
      <c r="Q182" s="2">
        <f>_xlfn.XLOOKUP(BD_Receitas[[#This Row],[ID]],TabCondicoesComerciais[ID],TabCondicoesComerciais[Vol. 1ºGiro],0)</f>
        <v>365</v>
      </c>
      <c r="R1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2" s="1">
        <f xml:space="preserve"> IF(BD_Receitas[[#This Row],[TIPO DE COBRANÇA]]="Operação Normal",
_xlfn.XLOOKUP(BD_Receitas[[#This Row],[ID]],TabCondicoesComerciais[ID],TabCondicoesComerciais[Tarifa 2º Giro],0),0)</f>
        <v>0</v>
      </c>
      <c r="T1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3" spans="1:24" hidden="1" x14ac:dyDescent="0.35">
      <c r="A183" s="3" t="s">
        <v>139</v>
      </c>
      <c r="B183" s="11">
        <v>45748</v>
      </c>
      <c r="C183" t="s">
        <v>31</v>
      </c>
      <c r="D183" t="s">
        <v>202</v>
      </c>
      <c r="E183" t="s">
        <v>36</v>
      </c>
      <c r="F183" s="10" t="s">
        <v>48</v>
      </c>
      <c r="G183" s="3" t="s">
        <v>49</v>
      </c>
      <c r="H183" s="3" t="s">
        <v>14</v>
      </c>
      <c r="I183" s="3" t="s">
        <v>15</v>
      </c>
      <c r="J183" s="1">
        <v>28839.059300000001</v>
      </c>
      <c r="K183" s="12">
        <v>1500</v>
      </c>
      <c r="L183" s="1">
        <v>16726.32</v>
      </c>
      <c r="M183" s="12">
        <v>483.82799999999997</v>
      </c>
      <c r="N183" t="s">
        <v>192</v>
      </c>
      <c r="O183"/>
      <c r="P183" s="2">
        <f>IF(BD_Receitas[[#This Row],[TIPO DE COBRANÇA]]="Operação Normal",
_xlfn.XLOOKUP(BD_Receitas[[#This Row],[ID]],TabCondicoesComerciais[ID],TabCondicoesComerciais[Volume mínimo 
(m3)],0),"")</f>
        <v>936</v>
      </c>
      <c r="Q183" s="2">
        <f>_xlfn.XLOOKUP(BD_Receitas[[#This Row],[ID]],TabCondicoesComerciais[ID],TabCondicoesComerciais[Vol. 1ºGiro],0)</f>
        <v>365</v>
      </c>
      <c r="R1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183" s="1">
        <f xml:space="preserve"> IF(BD_Receitas[[#This Row],[TIPO DE COBRANÇA]]="Operação Normal",
_xlfn.XLOOKUP(BD_Receitas[[#This Row],[ID]],TabCondicoesComerciais[ID],TabCondicoesComerciais[Tarifa 2º Giro],0),0)</f>
        <v>17.87</v>
      </c>
      <c r="T183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1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34.570797886852354</v>
      </c>
      <c r="V1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1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8646.0063599999994</v>
      </c>
      <c r="X1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84" spans="1:24" hidden="1" x14ac:dyDescent="0.35">
      <c r="A184" s="3" t="s">
        <v>139</v>
      </c>
      <c r="B184" s="11">
        <v>45748</v>
      </c>
      <c r="C184" t="s">
        <v>31</v>
      </c>
      <c r="D184" t="s">
        <v>202</v>
      </c>
      <c r="E184" t="s">
        <v>36</v>
      </c>
      <c r="F184" s="10" t="s">
        <v>48</v>
      </c>
      <c r="G184" s="3" t="s">
        <v>49</v>
      </c>
      <c r="H184" s="3" t="s">
        <v>14</v>
      </c>
      <c r="I184" s="3" t="s">
        <v>65</v>
      </c>
      <c r="J184" s="1">
        <v>0</v>
      </c>
      <c r="K184" s="12">
        <v>0</v>
      </c>
      <c r="L184" s="1"/>
      <c r="M184" s="12"/>
      <c r="N184"/>
      <c r="O184"/>
      <c r="P184" s="2" t="str">
        <f>IF(BD_Receitas[[#This Row],[TIPO DE COBRANÇA]]="Operação Normal",
_xlfn.XLOOKUP(BD_Receitas[[#This Row],[ID]],TabCondicoesComerciais[ID],TabCondicoesComerciais[Volume mínimo 
(m3)],0),"")</f>
        <v/>
      </c>
      <c r="Q184" s="2">
        <f>_xlfn.XLOOKUP(BD_Receitas[[#This Row],[ID]],TabCondicoesComerciais[ID],TabCondicoesComerciais[Vol. 1ºGiro],0)</f>
        <v>365</v>
      </c>
      <c r="R1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4" s="1">
        <f xml:space="preserve"> IF(BD_Receitas[[#This Row],[TIPO DE COBRANÇA]]="Operação Normal",
_xlfn.XLOOKUP(BD_Receitas[[#This Row],[ID]],TabCondicoesComerciais[ID],TabCondicoesComerciais[Tarifa 2º Giro],0),0)</f>
        <v>0</v>
      </c>
      <c r="T1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5" spans="1:24" hidden="1" x14ac:dyDescent="0.35">
      <c r="A185" s="3" t="s">
        <v>25</v>
      </c>
      <c r="B185" s="11">
        <v>45748</v>
      </c>
      <c r="C185" t="s">
        <v>31</v>
      </c>
      <c r="D185" t="s">
        <v>202</v>
      </c>
      <c r="E185" t="s">
        <v>36</v>
      </c>
      <c r="F185" s="10" t="s">
        <v>48</v>
      </c>
      <c r="G185" s="3" t="s">
        <v>49</v>
      </c>
      <c r="H185" s="3" t="s">
        <v>116</v>
      </c>
      <c r="I185" s="3" t="s">
        <v>7</v>
      </c>
      <c r="J185" s="1">
        <v>0</v>
      </c>
      <c r="K185" s="12">
        <v>0</v>
      </c>
      <c r="L185" s="1"/>
      <c r="M185" s="12"/>
      <c r="N185"/>
      <c r="O185"/>
      <c r="P185" s="2" t="str">
        <f>IF(BD_Receitas[[#This Row],[TIPO DE COBRANÇA]]="Operação Normal",
_xlfn.XLOOKUP(BD_Receitas[[#This Row],[ID]],TabCondicoesComerciais[ID],TabCondicoesComerciais[Volume mínimo 
(m3)],0),"")</f>
        <v/>
      </c>
      <c r="Q185" s="2">
        <f>_xlfn.XLOOKUP(BD_Receitas[[#This Row],[ID]],TabCondicoesComerciais[ID],TabCondicoesComerciais[Vol. 1ºGiro],0)</f>
        <v>100</v>
      </c>
      <c r="R1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5" s="1">
        <f xml:space="preserve"> IF(BD_Receitas[[#This Row],[TIPO DE COBRANÇA]]="Operação Normal",
_xlfn.XLOOKUP(BD_Receitas[[#This Row],[ID]],TabCondicoesComerciais[ID],TabCondicoesComerciais[Tarifa 2º Giro],0),0)</f>
        <v>0</v>
      </c>
      <c r="T1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6" spans="1:24" hidden="1" x14ac:dyDescent="0.35">
      <c r="A186" s="3" t="s">
        <v>25</v>
      </c>
      <c r="B186" s="11">
        <v>45748</v>
      </c>
      <c r="C186" t="s">
        <v>31</v>
      </c>
      <c r="D186" t="s">
        <v>202</v>
      </c>
      <c r="E186" t="s">
        <v>36</v>
      </c>
      <c r="F186" s="10" t="s">
        <v>48</v>
      </c>
      <c r="G186" s="3" t="s">
        <v>49</v>
      </c>
      <c r="H186" s="3" t="s">
        <v>116</v>
      </c>
      <c r="I186" s="3" t="s">
        <v>8</v>
      </c>
      <c r="J186" s="1">
        <v>0</v>
      </c>
      <c r="K186" s="12">
        <v>0</v>
      </c>
      <c r="L186" s="1"/>
      <c r="M186" s="12"/>
      <c r="N186"/>
      <c r="O186"/>
      <c r="P186" s="2" t="str">
        <f>IF(BD_Receitas[[#This Row],[TIPO DE COBRANÇA]]="Operação Normal",
_xlfn.XLOOKUP(BD_Receitas[[#This Row],[ID]],TabCondicoesComerciais[ID],TabCondicoesComerciais[Volume mínimo 
(m3)],0),"")</f>
        <v/>
      </c>
      <c r="Q186" s="2">
        <f>_xlfn.XLOOKUP(BD_Receitas[[#This Row],[ID]],TabCondicoesComerciais[ID],TabCondicoesComerciais[Vol. 1ºGiro],0)</f>
        <v>100</v>
      </c>
      <c r="R1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6" s="1">
        <f xml:space="preserve"> IF(BD_Receitas[[#This Row],[TIPO DE COBRANÇA]]="Operação Normal",
_xlfn.XLOOKUP(BD_Receitas[[#This Row],[ID]],TabCondicoesComerciais[ID],TabCondicoesComerciais[Tarifa 2º Giro],0),0)</f>
        <v>0</v>
      </c>
      <c r="T1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7" spans="1:24" hidden="1" x14ac:dyDescent="0.35">
      <c r="A187" s="3" t="s">
        <v>25</v>
      </c>
      <c r="B187" s="11">
        <v>45748</v>
      </c>
      <c r="C187" t="s">
        <v>31</v>
      </c>
      <c r="D187" t="s">
        <v>202</v>
      </c>
      <c r="E187" t="s">
        <v>36</v>
      </c>
      <c r="F187" s="10" t="s">
        <v>48</v>
      </c>
      <c r="G187" s="3" t="s">
        <v>49</v>
      </c>
      <c r="H187" s="3" t="s">
        <v>116</v>
      </c>
      <c r="I187" s="3" t="s">
        <v>15</v>
      </c>
      <c r="J187" s="1">
        <v>9729.7296999999999</v>
      </c>
      <c r="K187" s="12">
        <v>300</v>
      </c>
      <c r="L187" s="1"/>
      <c r="M187" s="12"/>
      <c r="N187"/>
      <c r="O187"/>
      <c r="P187" s="2">
        <f>IF(BD_Receitas[[#This Row],[TIPO DE COBRANÇA]]="Operação Normal",
_xlfn.XLOOKUP(BD_Receitas[[#This Row],[ID]],TabCondicoesComerciais[ID],TabCondicoesComerciais[Volume mínimo 
(m3)],0),"")</f>
        <v>300</v>
      </c>
      <c r="Q187" s="2">
        <f>_xlfn.XLOOKUP(BD_Receitas[[#This Row],[ID]],TabCondicoesComerciais[ID],TabCondicoesComerciais[Vol. 1ºGiro],0)</f>
        <v>100</v>
      </c>
      <c r="R1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87" s="1">
        <f xml:space="preserve"> IF(BD_Receitas[[#This Row],[TIPO DE COBRANÇA]]="Operação Normal",
_xlfn.XLOOKUP(BD_Receitas[[#This Row],[ID]],TabCondicoesComerciais[ID],TabCondicoesComerciais[Tarifa 2º Giro],0),0)</f>
        <v>30</v>
      </c>
      <c r="T18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1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88" spans="1:24" hidden="1" x14ac:dyDescent="0.35">
      <c r="A188" s="3" t="s">
        <v>25</v>
      </c>
      <c r="B188" s="11">
        <v>45748</v>
      </c>
      <c r="C188" t="s">
        <v>31</v>
      </c>
      <c r="D188" t="s">
        <v>202</v>
      </c>
      <c r="E188" t="s">
        <v>36</v>
      </c>
      <c r="F188" s="10" t="s">
        <v>48</v>
      </c>
      <c r="G188" s="3" t="s">
        <v>49</v>
      </c>
      <c r="H188" s="3" t="s">
        <v>116</v>
      </c>
      <c r="I188" s="3" t="s">
        <v>65</v>
      </c>
      <c r="J188" s="1">
        <v>0</v>
      </c>
      <c r="K188" s="12">
        <v>0</v>
      </c>
      <c r="L188" s="1"/>
      <c r="M188" s="12"/>
      <c r="N188"/>
      <c r="O188"/>
      <c r="P188" s="2" t="str">
        <f>IF(BD_Receitas[[#This Row],[TIPO DE COBRANÇA]]="Operação Normal",
_xlfn.XLOOKUP(BD_Receitas[[#This Row],[ID]],TabCondicoesComerciais[ID],TabCondicoesComerciais[Volume mínimo 
(m3)],0),"")</f>
        <v/>
      </c>
      <c r="Q188" s="2">
        <f>_xlfn.XLOOKUP(BD_Receitas[[#This Row],[ID]],TabCondicoesComerciais[ID],TabCondicoesComerciais[Vol. 1ºGiro],0)</f>
        <v>100</v>
      </c>
      <c r="R1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88" s="1">
        <f xml:space="preserve"> IF(BD_Receitas[[#This Row],[TIPO DE COBRANÇA]]="Operação Normal",
_xlfn.XLOOKUP(BD_Receitas[[#This Row],[ID]],TabCondicoesComerciais[ID],TabCondicoesComerciais[Tarifa 2º Giro],0),0)</f>
        <v>0</v>
      </c>
      <c r="T1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89" spans="1:24" hidden="1" x14ac:dyDescent="0.35">
      <c r="A189" s="3" t="s">
        <v>102</v>
      </c>
      <c r="B189" s="11">
        <v>45748</v>
      </c>
      <c r="C189" t="s">
        <v>31</v>
      </c>
      <c r="D189" t="s">
        <v>202</v>
      </c>
      <c r="E189" t="s">
        <v>36</v>
      </c>
      <c r="F189" s="10" t="s">
        <v>48</v>
      </c>
      <c r="G189" s="3" t="s">
        <v>49</v>
      </c>
      <c r="H189" s="3" t="s">
        <v>51</v>
      </c>
      <c r="I189" s="3" t="s">
        <v>7</v>
      </c>
      <c r="J189" s="1">
        <v>0</v>
      </c>
      <c r="K189" s="12">
        <v>0</v>
      </c>
      <c r="L189" s="1"/>
      <c r="M189" s="12"/>
      <c r="N189"/>
      <c r="O189"/>
      <c r="P189" s="2" t="str">
        <f>IF(BD_Receitas[[#This Row],[TIPO DE COBRANÇA]]="Operação Normal",
_xlfn.XLOOKUP(BD_Receitas[[#This Row],[ID]],TabCondicoesComerciais[ID],TabCondicoesComerciais[Volume mínimo 
(m3)],0),"")</f>
        <v/>
      </c>
      <c r="Q189" s="2">
        <f>_xlfn.XLOOKUP(BD_Receitas[[#This Row],[ID]],TabCondicoesComerciais[ID],TabCondicoesComerciais[Vol. 1ºGiro],0)</f>
        <v>750</v>
      </c>
      <c r="R1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89" s="1">
        <f xml:space="preserve"> IF(BD_Receitas[[#This Row],[TIPO DE COBRANÇA]]="Operação Normal",
_xlfn.XLOOKUP(BD_Receitas[[#This Row],[ID]],TabCondicoesComerciais[ID],TabCondicoesComerciais[Tarifa 2º Giro],0),0)</f>
        <v>0</v>
      </c>
      <c r="T1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0" spans="1:24" hidden="1" x14ac:dyDescent="0.35">
      <c r="A190" s="3" t="s">
        <v>102</v>
      </c>
      <c r="B190" s="11">
        <v>45748</v>
      </c>
      <c r="C190" t="s">
        <v>31</v>
      </c>
      <c r="D190" t="s">
        <v>202</v>
      </c>
      <c r="E190" t="s">
        <v>36</v>
      </c>
      <c r="F190" s="10" t="s">
        <v>48</v>
      </c>
      <c r="G190" s="3" t="s">
        <v>49</v>
      </c>
      <c r="H190" s="3" t="s">
        <v>51</v>
      </c>
      <c r="I190" s="3" t="s">
        <v>8</v>
      </c>
      <c r="J190" s="1">
        <v>0</v>
      </c>
      <c r="K190" s="12">
        <v>0</v>
      </c>
      <c r="L190" s="1"/>
      <c r="M190" s="12"/>
      <c r="N190"/>
      <c r="O190"/>
      <c r="P190" s="2" t="str">
        <f>IF(BD_Receitas[[#This Row],[TIPO DE COBRANÇA]]="Operação Normal",
_xlfn.XLOOKUP(BD_Receitas[[#This Row],[ID]],TabCondicoesComerciais[ID],TabCondicoesComerciais[Volume mínimo 
(m3)],0),"")</f>
        <v/>
      </c>
      <c r="Q190" s="2">
        <f>_xlfn.XLOOKUP(BD_Receitas[[#This Row],[ID]],TabCondicoesComerciais[ID],TabCondicoesComerciais[Vol. 1ºGiro],0)</f>
        <v>750</v>
      </c>
      <c r="R1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190" s="1">
        <f xml:space="preserve"> IF(BD_Receitas[[#This Row],[TIPO DE COBRANÇA]]="Operação Normal",
_xlfn.XLOOKUP(BD_Receitas[[#This Row],[ID]],TabCondicoesComerciais[ID],TabCondicoesComerciais[Tarifa 2º Giro],0),0)</f>
        <v>0</v>
      </c>
      <c r="T1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1" spans="1:24" hidden="1" x14ac:dyDescent="0.35">
      <c r="A191" s="3" t="s">
        <v>102</v>
      </c>
      <c r="B191" s="11">
        <v>45748</v>
      </c>
      <c r="C191" t="s">
        <v>31</v>
      </c>
      <c r="D191" t="s">
        <v>202</v>
      </c>
      <c r="E191" t="s">
        <v>36</v>
      </c>
      <c r="F191" s="10" t="s">
        <v>48</v>
      </c>
      <c r="G191" s="3" t="s">
        <v>49</v>
      </c>
      <c r="H191" s="3" t="s">
        <v>51</v>
      </c>
      <c r="I191" s="3" t="s">
        <v>15</v>
      </c>
      <c r="J191" s="1">
        <v>226720.94589999999</v>
      </c>
      <c r="K191" s="12">
        <v>6500</v>
      </c>
      <c r="L191" s="1">
        <v>210730</v>
      </c>
      <c r="M191" s="12">
        <v>3102.288</v>
      </c>
      <c r="N191" t="s">
        <v>193</v>
      </c>
      <c r="O191"/>
      <c r="P191" s="2">
        <f>IF(BD_Receitas[[#This Row],[TIPO DE COBRANÇA]]="Operação Normal",
_xlfn.XLOOKUP(BD_Receitas[[#This Row],[ID]],TabCondicoesComerciais[ID],TabCondicoesComerciais[Volume mínimo 
(m3)],0),"")</f>
        <v>6500</v>
      </c>
      <c r="Q191" s="2">
        <f>_xlfn.XLOOKUP(BD_Receitas[[#This Row],[ID]],TabCondicoesComerciais[ID],TabCondicoesComerciais[Vol. 1ºGiro],0)</f>
        <v>750</v>
      </c>
      <c r="R1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191" s="1">
        <f xml:space="preserve"> IF(BD_Receitas[[#This Row],[TIPO DE COBRANÇA]]="Operação Normal",
_xlfn.XLOOKUP(BD_Receitas[[#This Row],[ID]],TabCondicoesComerciais[ID],TabCondicoesComerciais[Tarifa 2º Giro],0),0)</f>
        <v>32.42</v>
      </c>
      <c r="T191" s="5">
        <f>IFERROR(IF(BD_Receitas[[#This Row],[TIPO DE COBRANÇA]]&lt;&gt;"Operação Normal","",BD_Receitas[[#This Row],[Valor Total R$]]/ MAX(BD_Receitas[[#This Row],[Vol. Movimentado M³]],
BD_Receitas[[#This Row],[Volume Mínimo ]])
),0)</f>
        <v>32.42</v>
      </c>
      <c r="U1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67.92728463637161</v>
      </c>
      <c r="V1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1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100576.17696000001</v>
      </c>
      <c r="X1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92" spans="1:24" hidden="1" x14ac:dyDescent="0.35">
      <c r="A192" s="3" t="s">
        <v>102</v>
      </c>
      <c r="B192" s="11">
        <v>45748</v>
      </c>
      <c r="C192" t="s">
        <v>31</v>
      </c>
      <c r="D192" t="s">
        <v>202</v>
      </c>
      <c r="E192" t="s">
        <v>36</v>
      </c>
      <c r="F192" s="10" t="s">
        <v>48</v>
      </c>
      <c r="G192" s="3" t="s">
        <v>49</v>
      </c>
      <c r="H192" s="3" t="s">
        <v>51</v>
      </c>
      <c r="I192" s="3" t="s">
        <v>65</v>
      </c>
      <c r="J192" s="1">
        <v>0</v>
      </c>
      <c r="K192" s="12">
        <v>0</v>
      </c>
      <c r="L192" s="1"/>
      <c r="M192" s="12"/>
      <c r="N192"/>
      <c r="O192"/>
      <c r="P192" s="2" t="str">
        <f>IF(BD_Receitas[[#This Row],[TIPO DE COBRANÇA]]="Operação Normal",
_xlfn.XLOOKUP(BD_Receitas[[#This Row],[ID]],TabCondicoesComerciais[ID],TabCondicoesComerciais[Volume mínimo 
(m3)],0),"")</f>
        <v/>
      </c>
      <c r="Q192" s="2">
        <f>_xlfn.XLOOKUP(BD_Receitas[[#This Row],[ID]],TabCondicoesComerciais[ID],TabCondicoesComerciais[Vol. 1ºGiro],0)</f>
        <v>750</v>
      </c>
      <c r="R1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92" s="1">
        <f xml:space="preserve"> IF(BD_Receitas[[#This Row],[TIPO DE COBRANÇA]]="Operação Normal",
_xlfn.XLOOKUP(BD_Receitas[[#This Row],[ID]],TabCondicoesComerciais[ID],TabCondicoesComerciais[Tarifa 2º Giro],0),0)</f>
        <v>0</v>
      </c>
      <c r="T1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3" spans="1:24" hidden="1" x14ac:dyDescent="0.35">
      <c r="A193" s="3" t="s">
        <v>190</v>
      </c>
      <c r="B193" s="11">
        <v>45748</v>
      </c>
      <c r="C193" t="s">
        <v>31</v>
      </c>
      <c r="D193" t="s">
        <v>202</v>
      </c>
      <c r="E193" t="s">
        <v>35</v>
      </c>
      <c r="F193" s="10" t="s">
        <v>22</v>
      </c>
      <c r="G193" s="3" t="s">
        <v>11</v>
      </c>
      <c r="H193" s="3" t="s">
        <v>116</v>
      </c>
      <c r="I193" s="3" t="s">
        <v>7</v>
      </c>
      <c r="J193" s="1">
        <v>0</v>
      </c>
      <c r="K193" s="12">
        <v>0</v>
      </c>
      <c r="L193" s="1"/>
      <c r="M193" s="12"/>
      <c r="N193"/>
      <c r="O193"/>
      <c r="P193" s="2" t="str">
        <f>IF(BD_Receitas[[#This Row],[TIPO DE COBRANÇA]]="Operação Normal",
_xlfn.XLOOKUP(BD_Receitas[[#This Row],[ID]],TabCondicoesComerciais[ID],TabCondicoesComerciais[Volume mínimo 
(m3)],0),"")</f>
        <v/>
      </c>
      <c r="Q193" s="2">
        <f>_xlfn.XLOOKUP(BD_Receitas[[#This Row],[ID]],TabCondicoesComerciais[ID],TabCondicoesComerciais[Vol. 1ºGiro],0)</f>
        <v>580</v>
      </c>
      <c r="R1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93" s="1">
        <f xml:space="preserve"> IF(BD_Receitas[[#This Row],[TIPO DE COBRANÇA]]="Operação Normal",
_xlfn.XLOOKUP(BD_Receitas[[#This Row],[ID]],TabCondicoesComerciais[ID],TabCondicoesComerciais[Tarifa 2º Giro],0),0)</f>
        <v>0</v>
      </c>
      <c r="T1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4" spans="1:24" hidden="1" x14ac:dyDescent="0.35">
      <c r="A194" s="3" t="s">
        <v>190</v>
      </c>
      <c r="B194" s="11">
        <v>45748</v>
      </c>
      <c r="C194" t="s">
        <v>31</v>
      </c>
      <c r="D194" t="s">
        <v>202</v>
      </c>
      <c r="E194" t="s">
        <v>35</v>
      </c>
      <c r="F194" s="10" t="s">
        <v>22</v>
      </c>
      <c r="G194" s="3" t="s">
        <v>11</v>
      </c>
      <c r="H194" s="3" t="s">
        <v>116</v>
      </c>
      <c r="I194" s="3" t="s">
        <v>8</v>
      </c>
      <c r="J194" s="1">
        <v>0</v>
      </c>
      <c r="K194" s="12">
        <v>0</v>
      </c>
      <c r="L194" s="1"/>
      <c r="M194" s="12"/>
      <c r="N194"/>
      <c r="O194"/>
      <c r="P194" s="2" t="str">
        <f>IF(BD_Receitas[[#This Row],[TIPO DE COBRANÇA]]="Operação Normal",
_xlfn.XLOOKUP(BD_Receitas[[#This Row],[ID]],TabCondicoesComerciais[ID],TabCondicoesComerciais[Volume mínimo 
(m3)],0),"")</f>
        <v/>
      </c>
      <c r="Q194" s="2">
        <f>_xlfn.XLOOKUP(BD_Receitas[[#This Row],[ID]],TabCondicoesComerciais[ID],TabCondicoesComerciais[Vol. 1ºGiro],0)</f>
        <v>580</v>
      </c>
      <c r="R1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94" s="1">
        <f xml:space="preserve"> IF(BD_Receitas[[#This Row],[TIPO DE COBRANÇA]]="Operação Normal",
_xlfn.XLOOKUP(BD_Receitas[[#This Row],[ID]],TabCondicoesComerciais[ID],TabCondicoesComerciais[Tarifa 2º Giro],0),0)</f>
        <v>0</v>
      </c>
      <c r="T1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5" spans="1:24" hidden="1" x14ac:dyDescent="0.35">
      <c r="A195" s="3" t="s">
        <v>190</v>
      </c>
      <c r="B195" s="11">
        <v>45748</v>
      </c>
      <c r="C195" t="s">
        <v>31</v>
      </c>
      <c r="D195" t="s">
        <v>202</v>
      </c>
      <c r="E195" t="s">
        <v>35</v>
      </c>
      <c r="F195" s="10" t="s">
        <v>22</v>
      </c>
      <c r="G195" s="3" t="s">
        <v>11</v>
      </c>
      <c r="H195" s="3" t="s">
        <v>116</v>
      </c>
      <c r="I195" s="3" t="s">
        <v>15</v>
      </c>
      <c r="J195" s="1">
        <v>59115.789499999999</v>
      </c>
      <c r="K195" s="12">
        <v>2000</v>
      </c>
      <c r="L195" s="1"/>
      <c r="M195" s="12"/>
      <c r="N195"/>
      <c r="O195"/>
      <c r="P195" s="2">
        <f>IF(BD_Receitas[[#This Row],[TIPO DE COBRANÇA]]="Operação Normal",
_xlfn.XLOOKUP(BD_Receitas[[#This Row],[ID]],TabCondicoesComerciais[ID],TabCondicoesComerciais[Volume mínimo 
(m3)],0),"")</f>
        <v>2000</v>
      </c>
      <c r="Q195" s="2">
        <f>_xlfn.XLOOKUP(BD_Receitas[[#This Row],[ID]],TabCondicoesComerciais[ID],TabCondicoesComerciais[Vol. 1ºGiro],0)</f>
        <v>580</v>
      </c>
      <c r="R1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95" s="1">
        <f xml:space="preserve"> IF(BD_Receitas[[#This Row],[TIPO DE COBRANÇA]]="Operação Normal",
_xlfn.XLOOKUP(BD_Receitas[[#This Row],[ID]],TabCondicoesComerciais[ID],TabCondicoesComerciais[Tarifa 2º Giro],0),0)</f>
        <v>27</v>
      </c>
      <c r="T19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96" spans="1:24" hidden="1" x14ac:dyDescent="0.35">
      <c r="A196" s="3" t="s">
        <v>190</v>
      </c>
      <c r="B196" s="11">
        <v>45748</v>
      </c>
      <c r="C196" t="s">
        <v>31</v>
      </c>
      <c r="D196" t="s">
        <v>202</v>
      </c>
      <c r="E196" t="s">
        <v>35</v>
      </c>
      <c r="F196" s="10" t="s">
        <v>22</v>
      </c>
      <c r="G196" s="3" t="s">
        <v>11</v>
      </c>
      <c r="H196" s="3" t="s">
        <v>116</v>
      </c>
      <c r="I196" s="3" t="s">
        <v>65</v>
      </c>
      <c r="J196" s="1">
        <v>0</v>
      </c>
      <c r="K196" s="12">
        <v>0</v>
      </c>
      <c r="L196" s="1"/>
      <c r="M196" s="12"/>
      <c r="N196"/>
      <c r="O196"/>
      <c r="P196" s="2" t="str">
        <f>IF(BD_Receitas[[#This Row],[TIPO DE COBRANÇA]]="Operação Normal",
_xlfn.XLOOKUP(BD_Receitas[[#This Row],[ID]],TabCondicoesComerciais[ID],TabCondicoesComerciais[Volume mínimo 
(m3)],0),"")</f>
        <v/>
      </c>
      <c r="Q196" s="2">
        <f>_xlfn.XLOOKUP(BD_Receitas[[#This Row],[ID]],TabCondicoesComerciais[ID],TabCondicoesComerciais[Vol. 1ºGiro],0)</f>
        <v>580</v>
      </c>
      <c r="R1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96" s="1">
        <f xml:space="preserve"> IF(BD_Receitas[[#This Row],[TIPO DE COBRANÇA]]="Operação Normal",
_xlfn.XLOOKUP(BD_Receitas[[#This Row],[ID]],TabCondicoesComerciais[ID],TabCondicoesComerciais[Tarifa 2º Giro],0),0)</f>
        <v>0</v>
      </c>
      <c r="T1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7" spans="1:24" hidden="1" x14ac:dyDescent="0.35">
      <c r="A197" s="3" t="s">
        <v>172</v>
      </c>
      <c r="B197" s="11">
        <v>45748</v>
      </c>
      <c r="C197" t="s">
        <v>31</v>
      </c>
      <c r="D197" t="s">
        <v>202</v>
      </c>
      <c r="E197" t="s">
        <v>35</v>
      </c>
      <c r="F197" s="10" t="s">
        <v>22</v>
      </c>
      <c r="G197" s="3" t="s">
        <v>11</v>
      </c>
      <c r="H197" s="3" t="s">
        <v>13</v>
      </c>
      <c r="I197" s="3" t="s">
        <v>7</v>
      </c>
      <c r="J197" s="1">
        <v>0</v>
      </c>
      <c r="K197" s="12">
        <v>0</v>
      </c>
      <c r="L197" s="1"/>
      <c r="M197" s="12"/>
      <c r="N197"/>
      <c r="O197"/>
      <c r="P197" s="2" t="str">
        <f>IF(BD_Receitas[[#This Row],[TIPO DE COBRANÇA]]="Operação Normal",
_xlfn.XLOOKUP(BD_Receitas[[#This Row],[ID]],TabCondicoesComerciais[ID],TabCondicoesComerciais[Volume mínimo 
(m3)],0),"")</f>
        <v/>
      </c>
      <c r="Q197" s="2">
        <f>_xlfn.XLOOKUP(BD_Receitas[[#This Row],[ID]],TabCondicoesComerciais[ID],TabCondicoesComerciais[Vol. 1ºGiro],0)</f>
        <v>750</v>
      </c>
      <c r="R1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97" s="1">
        <f xml:space="preserve"> IF(BD_Receitas[[#This Row],[TIPO DE COBRANÇA]]="Operação Normal",
_xlfn.XLOOKUP(BD_Receitas[[#This Row],[ID]],TabCondicoesComerciais[ID],TabCondicoesComerciais[Tarifa 2º Giro],0),0)</f>
        <v>0</v>
      </c>
      <c r="T1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8" spans="1:24" hidden="1" x14ac:dyDescent="0.35">
      <c r="A198" s="3" t="s">
        <v>172</v>
      </c>
      <c r="B198" s="11">
        <v>45748</v>
      </c>
      <c r="C198" t="s">
        <v>31</v>
      </c>
      <c r="D198" t="s">
        <v>202</v>
      </c>
      <c r="E198" t="s">
        <v>35</v>
      </c>
      <c r="F198" s="10" t="s">
        <v>22</v>
      </c>
      <c r="G198" s="3" t="s">
        <v>11</v>
      </c>
      <c r="H198" s="3" t="s">
        <v>13</v>
      </c>
      <c r="I198" s="3" t="s">
        <v>8</v>
      </c>
      <c r="J198" s="1">
        <v>0</v>
      </c>
      <c r="K198" s="12">
        <v>0</v>
      </c>
      <c r="L198" s="1"/>
      <c r="M198" s="12"/>
      <c r="N198"/>
      <c r="O198"/>
      <c r="P198" s="2" t="str">
        <f>IF(BD_Receitas[[#This Row],[TIPO DE COBRANÇA]]="Operação Normal",
_xlfn.XLOOKUP(BD_Receitas[[#This Row],[ID]],TabCondicoesComerciais[ID],TabCondicoesComerciais[Volume mínimo 
(m3)],0),"")</f>
        <v/>
      </c>
      <c r="Q198" s="2">
        <f>_xlfn.XLOOKUP(BD_Receitas[[#This Row],[ID]],TabCondicoesComerciais[ID],TabCondicoesComerciais[Vol. 1ºGiro],0)</f>
        <v>750</v>
      </c>
      <c r="R1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98" s="1">
        <f xml:space="preserve"> IF(BD_Receitas[[#This Row],[TIPO DE COBRANÇA]]="Operação Normal",
_xlfn.XLOOKUP(BD_Receitas[[#This Row],[ID]],TabCondicoesComerciais[ID],TabCondicoesComerciais[Tarifa 2º Giro],0),0)</f>
        <v>0</v>
      </c>
      <c r="T1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99" spans="1:24" hidden="1" x14ac:dyDescent="0.35">
      <c r="A199" s="3" t="s">
        <v>172</v>
      </c>
      <c r="B199" s="11">
        <v>45748</v>
      </c>
      <c r="C199" t="s">
        <v>31</v>
      </c>
      <c r="D199" t="s">
        <v>202</v>
      </c>
      <c r="E199" t="s">
        <v>35</v>
      </c>
      <c r="F199" s="10" t="s">
        <v>22</v>
      </c>
      <c r="G199" s="3" t="s">
        <v>11</v>
      </c>
      <c r="H199" s="3" t="s">
        <v>13</v>
      </c>
      <c r="I199" s="3" t="s">
        <v>15</v>
      </c>
      <c r="J199" s="1">
        <v>0</v>
      </c>
      <c r="K199" s="12">
        <v>0</v>
      </c>
      <c r="L199" s="1"/>
      <c r="M199" s="12"/>
      <c r="N199"/>
      <c r="O199"/>
      <c r="P199" s="2">
        <f>IF(BD_Receitas[[#This Row],[TIPO DE COBRANÇA]]="Operação Normal",
_xlfn.XLOOKUP(BD_Receitas[[#This Row],[ID]],TabCondicoesComerciais[ID],TabCondicoesComerciais[Volume mínimo 
(m3)],0),"")</f>
        <v>0</v>
      </c>
      <c r="Q199" s="2">
        <f>_xlfn.XLOOKUP(BD_Receitas[[#This Row],[ID]],TabCondicoesComerciais[ID],TabCondicoesComerciais[Vol. 1ºGiro],0)</f>
        <v>750</v>
      </c>
      <c r="R1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99" s="1">
        <f xml:space="preserve"> IF(BD_Receitas[[#This Row],[TIPO DE COBRANÇA]]="Operação Normal",
_xlfn.XLOOKUP(BD_Receitas[[#This Row],[ID]],TabCondicoesComerciais[ID],TabCondicoesComerciais[Tarifa 2º Giro],0),0)</f>
        <v>22.2</v>
      </c>
      <c r="T19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200" spans="1:24" hidden="1" x14ac:dyDescent="0.35">
      <c r="A200" s="3" t="s">
        <v>172</v>
      </c>
      <c r="B200" s="11">
        <v>45748</v>
      </c>
      <c r="C200" t="s">
        <v>31</v>
      </c>
      <c r="D200" t="s">
        <v>202</v>
      </c>
      <c r="E200" t="s">
        <v>35</v>
      </c>
      <c r="F200" s="10" t="s">
        <v>22</v>
      </c>
      <c r="G200" s="3" t="s">
        <v>11</v>
      </c>
      <c r="H200" s="3" t="s">
        <v>13</v>
      </c>
      <c r="I200" s="3" t="s">
        <v>65</v>
      </c>
      <c r="J200" s="1">
        <v>0</v>
      </c>
      <c r="K200" s="12">
        <v>0</v>
      </c>
      <c r="L200" s="1"/>
      <c r="M200" s="12"/>
      <c r="N200"/>
      <c r="O200"/>
      <c r="P200" s="2" t="str">
        <f>IF(BD_Receitas[[#This Row],[TIPO DE COBRANÇA]]="Operação Normal",
_xlfn.XLOOKUP(BD_Receitas[[#This Row],[ID]],TabCondicoesComerciais[ID],TabCondicoesComerciais[Volume mínimo 
(m3)],0),"")</f>
        <v/>
      </c>
      <c r="Q200" s="2">
        <f>_xlfn.XLOOKUP(BD_Receitas[[#This Row],[ID]],TabCondicoesComerciais[ID],TabCondicoesComerciais[Vol. 1ºGiro],0)</f>
        <v>750</v>
      </c>
      <c r="R2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00" s="1">
        <f xml:space="preserve"> IF(BD_Receitas[[#This Row],[TIPO DE COBRANÇA]]="Operação Normal",
_xlfn.XLOOKUP(BD_Receitas[[#This Row],[ID]],TabCondicoesComerciais[ID],TabCondicoesComerciais[Tarifa 2º Giro],0),0)</f>
        <v>0</v>
      </c>
      <c r="T2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1" spans="1:24" hidden="1" x14ac:dyDescent="0.35">
      <c r="A201" s="3" t="s">
        <v>149</v>
      </c>
      <c r="B201" s="11">
        <v>45748</v>
      </c>
      <c r="C201" t="s">
        <v>31</v>
      </c>
      <c r="D201" t="s">
        <v>110</v>
      </c>
      <c r="E201" t="s">
        <v>117</v>
      </c>
      <c r="F201" s="10" t="s">
        <v>23</v>
      </c>
      <c r="G201" s="3" t="s">
        <v>112</v>
      </c>
      <c r="H201" s="3" t="s">
        <v>113</v>
      </c>
      <c r="I201" s="3" t="s">
        <v>7</v>
      </c>
      <c r="J201" s="1">
        <v>0</v>
      </c>
      <c r="K201" s="12">
        <v>0</v>
      </c>
      <c r="L201" s="1"/>
      <c r="M201" s="12"/>
      <c r="N201"/>
      <c r="O201"/>
      <c r="P201" s="2" t="str">
        <f>IF(BD_Receitas[[#This Row],[TIPO DE COBRANÇA]]="Operação Normal",
_xlfn.XLOOKUP(BD_Receitas[[#This Row],[ID]],TabCondicoesComerciais[ID],TabCondicoesComerciais[Volume mínimo 
(m3)],0),"")</f>
        <v/>
      </c>
      <c r="Q201" s="2">
        <f>_xlfn.XLOOKUP(BD_Receitas[[#This Row],[ID]],TabCondicoesComerciais[ID],TabCondicoesComerciais[Vol. 1ºGiro],0)</f>
        <v>750</v>
      </c>
      <c r="R2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01" s="1">
        <f xml:space="preserve"> IF(BD_Receitas[[#This Row],[TIPO DE COBRANÇA]]="Operação Normal",
_xlfn.XLOOKUP(BD_Receitas[[#This Row],[ID]],TabCondicoesComerciais[ID],TabCondicoesComerciais[Tarifa 2º Giro],0),0)</f>
        <v>0</v>
      </c>
      <c r="T2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2" spans="1:24" hidden="1" x14ac:dyDescent="0.35">
      <c r="A202" s="3" t="s">
        <v>149</v>
      </c>
      <c r="B202" s="11">
        <v>45748</v>
      </c>
      <c r="C202" t="s">
        <v>31</v>
      </c>
      <c r="D202" t="s">
        <v>110</v>
      </c>
      <c r="E202" t="s">
        <v>117</v>
      </c>
      <c r="F202" s="10" t="s">
        <v>23</v>
      </c>
      <c r="G202" s="3" t="s">
        <v>112</v>
      </c>
      <c r="H202" s="3" t="s">
        <v>113</v>
      </c>
      <c r="I202" s="3" t="s">
        <v>8</v>
      </c>
      <c r="J202" s="1">
        <v>0</v>
      </c>
      <c r="K202" s="12">
        <v>0</v>
      </c>
      <c r="L202" s="1"/>
      <c r="M202" s="12"/>
      <c r="N202"/>
      <c r="O202"/>
      <c r="P202" s="2" t="str">
        <f>IF(BD_Receitas[[#This Row],[TIPO DE COBRANÇA]]="Operação Normal",
_xlfn.XLOOKUP(BD_Receitas[[#This Row],[ID]],TabCondicoesComerciais[ID],TabCondicoesComerciais[Volume mínimo 
(m3)],0),"")</f>
        <v/>
      </c>
      <c r="Q202" s="2">
        <f>_xlfn.XLOOKUP(BD_Receitas[[#This Row],[ID]],TabCondicoesComerciais[ID],TabCondicoesComerciais[Vol. 1ºGiro],0)</f>
        <v>750</v>
      </c>
      <c r="R2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02" s="1">
        <f xml:space="preserve"> IF(BD_Receitas[[#This Row],[TIPO DE COBRANÇA]]="Operação Normal",
_xlfn.XLOOKUP(BD_Receitas[[#This Row],[ID]],TabCondicoesComerciais[ID],TabCondicoesComerciais[Tarifa 2º Giro],0),0)</f>
        <v>0</v>
      </c>
      <c r="T2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3" spans="1:24" hidden="1" x14ac:dyDescent="0.35">
      <c r="A203" s="3" t="s">
        <v>149</v>
      </c>
      <c r="B203" s="11">
        <v>45748</v>
      </c>
      <c r="C203" t="s">
        <v>31</v>
      </c>
      <c r="D203" t="s">
        <v>110</v>
      </c>
      <c r="E203" t="s">
        <v>117</v>
      </c>
      <c r="F203" s="10" t="s">
        <v>23</v>
      </c>
      <c r="G203" s="3" t="s">
        <v>112</v>
      </c>
      <c r="H203" s="3" t="s">
        <v>113</v>
      </c>
      <c r="I203" s="3" t="s">
        <v>15</v>
      </c>
      <c r="J203" s="1">
        <v>89658.947400000005</v>
      </c>
      <c r="K203" s="12">
        <v>4200</v>
      </c>
      <c r="L203" s="1"/>
      <c r="M203" s="12"/>
      <c r="N203"/>
      <c r="O203"/>
      <c r="P203" s="2">
        <f>IF(BD_Receitas[[#This Row],[TIPO DE COBRANÇA]]="Operação Normal",
_xlfn.XLOOKUP(BD_Receitas[[#This Row],[ID]],TabCondicoesComerciais[ID],TabCondicoesComerciais[Volume mínimo 
(m3)],0),"")</f>
        <v>3000</v>
      </c>
      <c r="Q203" s="2">
        <f>_xlfn.XLOOKUP(BD_Receitas[[#This Row],[ID]],TabCondicoesComerciais[ID],TabCondicoesComerciais[Vol. 1ºGiro],0)</f>
        <v>750</v>
      </c>
      <c r="R2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203" s="1">
        <f xml:space="preserve"> IF(BD_Receitas[[#This Row],[TIPO DE COBRANÇA]]="Operação Normal",
_xlfn.XLOOKUP(BD_Receitas[[#This Row],[ID]],TabCondicoesComerciais[ID],TabCondicoesComerciais[Tarifa 2º Giro],0),0)</f>
        <v>19.5</v>
      </c>
      <c r="T20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2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04" spans="1:24" hidden="1" x14ac:dyDescent="0.35">
      <c r="A204" s="3" t="s">
        <v>149</v>
      </c>
      <c r="B204" s="11">
        <v>45748</v>
      </c>
      <c r="C204" t="s">
        <v>31</v>
      </c>
      <c r="D204" t="s">
        <v>110</v>
      </c>
      <c r="E204" t="s">
        <v>117</v>
      </c>
      <c r="F204" s="10" t="s">
        <v>23</v>
      </c>
      <c r="G204" s="3" t="s">
        <v>112</v>
      </c>
      <c r="H204" s="3" t="s">
        <v>113</v>
      </c>
      <c r="I204" s="3" t="s">
        <v>65</v>
      </c>
      <c r="J204" s="1">
        <v>0</v>
      </c>
      <c r="K204" s="12">
        <v>0</v>
      </c>
      <c r="L204" s="1"/>
      <c r="M204" s="12"/>
      <c r="N204"/>
      <c r="O204"/>
      <c r="P204" s="2" t="str">
        <f>IF(BD_Receitas[[#This Row],[TIPO DE COBRANÇA]]="Operação Normal",
_xlfn.XLOOKUP(BD_Receitas[[#This Row],[ID]],TabCondicoesComerciais[ID],TabCondicoesComerciais[Volume mínimo 
(m3)],0),"")</f>
        <v/>
      </c>
      <c r="Q204" s="2">
        <f>_xlfn.XLOOKUP(BD_Receitas[[#This Row],[ID]],TabCondicoesComerciais[ID],TabCondicoesComerciais[Vol. 1ºGiro],0)</f>
        <v>750</v>
      </c>
      <c r="R2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04" s="1">
        <f xml:space="preserve"> IF(BD_Receitas[[#This Row],[TIPO DE COBRANÇA]]="Operação Normal",
_xlfn.XLOOKUP(BD_Receitas[[#This Row],[ID]],TabCondicoesComerciais[ID],TabCondicoesComerciais[Tarifa 2º Giro],0),0)</f>
        <v>0</v>
      </c>
      <c r="T2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5" spans="1:24" hidden="1" x14ac:dyDescent="0.35">
      <c r="A205" s="3" t="s">
        <v>177</v>
      </c>
      <c r="B205" s="11">
        <v>45748</v>
      </c>
      <c r="C205" t="s">
        <v>31</v>
      </c>
      <c r="D205" t="s">
        <v>62</v>
      </c>
      <c r="E205" t="s">
        <v>33</v>
      </c>
      <c r="F205" s="10" t="s">
        <v>46</v>
      </c>
      <c r="G205" s="3" t="s">
        <v>87</v>
      </c>
      <c r="H205" s="3" t="s">
        <v>9</v>
      </c>
      <c r="I205" s="3" t="s">
        <v>7</v>
      </c>
      <c r="J205" s="1">
        <v>0</v>
      </c>
      <c r="K205" s="12">
        <v>0</v>
      </c>
      <c r="L205" s="1">
        <v>119.11799999999999</v>
      </c>
      <c r="M205" s="12">
        <v>16.544</v>
      </c>
      <c r="N205" t="s">
        <v>179</v>
      </c>
      <c r="O205"/>
      <c r="P205" s="2" t="str">
        <f>IF(BD_Receitas[[#This Row],[TIPO DE COBRANÇA]]="Operação Normal",
_xlfn.XLOOKUP(BD_Receitas[[#This Row],[ID]],TabCondicoesComerciais[ID],TabCondicoesComerciais[Volume mínimo 
(m3)],0),"")</f>
        <v/>
      </c>
      <c r="Q205" s="2">
        <f>_xlfn.XLOOKUP(BD_Receitas[[#This Row],[ID]],TabCondicoesComerciais[ID],TabCondicoesComerciais[Vol. 1ºGiro],0)</f>
        <v>1070</v>
      </c>
      <c r="R2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205" s="1">
        <f xml:space="preserve"> IF(BD_Receitas[[#This Row],[TIPO DE COBRANÇA]]="Operação Normal",
_xlfn.XLOOKUP(BD_Receitas[[#This Row],[ID]],TabCondicoesComerciais[ID],TabCondicoesComerciais[Tarifa 2º Giro],0),0)</f>
        <v>0</v>
      </c>
      <c r="T2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6" spans="1:24" hidden="1" x14ac:dyDescent="0.35">
      <c r="A206" s="3" t="s">
        <v>177</v>
      </c>
      <c r="B206" s="11">
        <v>45748</v>
      </c>
      <c r="C206" t="s">
        <v>31</v>
      </c>
      <c r="D206" t="s">
        <v>62</v>
      </c>
      <c r="E206" t="s">
        <v>33</v>
      </c>
      <c r="F206" s="10" t="s">
        <v>46</v>
      </c>
      <c r="G206" s="3" t="s">
        <v>87</v>
      </c>
      <c r="H206" s="3" t="s">
        <v>9</v>
      </c>
      <c r="I206" s="3" t="s">
        <v>8</v>
      </c>
      <c r="J206" s="1">
        <v>0</v>
      </c>
      <c r="K206" s="12">
        <v>0</v>
      </c>
      <c r="L206" s="1">
        <v>775.86599999999999</v>
      </c>
      <c r="M206" s="12">
        <v>107.759</v>
      </c>
      <c r="N206" t="s">
        <v>179</v>
      </c>
      <c r="O206"/>
      <c r="P206" s="2" t="str">
        <f>IF(BD_Receitas[[#This Row],[TIPO DE COBRANÇA]]="Operação Normal",
_xlfn.XLOOKUP(BD_Receitas[[#This Row],[ID]],TabCondicoesComerciais[ID],TabCondicoesComerciais[Volume mínimo 
(m3)],0),"")</f>
        <v/>
      </c>
      <c r="Q206" s="2">
        <f>_xlfn.XLOOKUP(BD_Receitas[[#This Row],[ID]],TabCondicoesComerciais[ID],TabCondicoesComerciais[Vol. 1ºGiro],0)</f>
        <v>1070</v>
      </c>
      <c r="R2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206" s="1">
        <f xml:space="preserve"> IF(BD_Receitas[[#This Row],[TIPO DE COBRANÇA]]="Operação Normal",
_xlfn.XLOOKUP(BD_Receitas[[#This Row],[ID]],TabCondicoesComerciais[ID],TabCondicoesComerciais[Tarifa 2º Giro],0),0)</f>
        <v>0</v>
      </c>
      <c r="T2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7" spans="1:24" hidden="1" x14ac:dyDescent="0.35">
      <c r="A207" s="3" t="s">
        <v>177</v>
      </c>
      <c r="B207" s="11">
        <v>45748</v>
      </c>
      <c r="C207" t="s">
        <v>31</v>
      </c>
      <c r="D207" t="s">
        <v>62</v>
      </c>
      <c r="E207" t="s">
        <v>33</v>
      </c>
      <c r="F207" s="10" t="s">
        <v>46</v>
      </c>
      <c r="G207" s="3" t="s">
        <v>87</v>
      </c>
      <c r="H207" s="3" t="s">
        <v>9</v>
      </c>
      <c r="I207" s="3" t="s">
        <v>15</v>
      </c>
      <c r="J207" s="1">
        <v>137499.15789999999</v>
      </c>
      <c r="K207" s="12">
        <v>4200</v>
      </c>
      <c r="L207" s="1">
        <v>57780</v>
      </c>
      <c r="M207" s="12">
        <v>1255.19</v>
      </c>
      <c r="N207" t="s">
        <v>179</v>
      </c>
      <c r="O207"/>
      <c r="P207" s="2">
        <f>IF(BD_Receitas[[#This Row],[TIPO DE COBRANÇA]]="Operação Normal",
_xlfn.XLOOKUP(BD_Receitas[[#This Row],[ID]],TabCondicoesComerciais[ID],TabCondicoesComerciais[Volume mínimo 
(m3)],0),"")</f>
        <v>3210</v>
      </c>
      <c r="Q207" s="2">
        <f>_xlfn.XLOOKUP(BD_Receitas[[#This Row],[ID]],TabCondicoesComerciais[ID],TabCondicoesComerciais[Vol. 1ºGiro],0)</f>
        <v>1070</v>
      </c>
      <c r="R2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207" s="1">
        <f xml:space="preserve"> IF(BD_Receitas[[#This Row],[TIPO DE COBRANÇA]]="Operação Normal",
_xlfn.XLOOKUP(BD_Receitas[[#This Row],[ID]],TabCondicoesComerciais[ID],TabCondicoesComerciais[Tarifa 2º Giro],0),0)</f>
        <v>32.64</v>
      </c>
      <c r="T207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2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50.5939212390156</v>
      </c>
      <c r="V2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2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40969.401600000005</v>
      </c>
      <c r="X2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08" spans="1:24" hidden="1" x14ac:dyDescent="0.35">
      <c r="A208" s="3" t="s">
        <v>177</v>
      </c>
      <c r="B208" s="11">
        <v>45748</v>
      </c>
      <c r="C208" t="s">
        <v>31</v>
      </c>
      <c r="D208" t="s">
        <v>62</v>
      </c>
      <c r="E208" t="s">
        <v>33</v>
      </c>
      <c r="F208" s="10" t="s">
        <v>46</v>
      </c>
      <c r="G208" s="3" t="s">
        <v>87</v>
      </c>
      <c r="H208" s="3" t="s">
        <v>9</v>
      </c>
      <c r="I208" s="3" t="s">
        <v>65</v>
      </c>
      <c r="J208" s="1">
        <v>0</v>
      </c>
      <c r="K208" s="12">
        <v>0</v>
      </c>
      <c r="L208" s="1">
        <v>4830</v>
      </c>
      <c r="M208" s="12">
        <v>0</v>
      </c>
      <c r="N208" t="s">
        <v>179</v>
      </c>
      <c r="O208" t="s">
        <v>189</v>
      </c>
      <c r="P208" s="2" t="str">
        <f>IF(BD_Receitas[[#This Row],[TIPO DE COBRANÇA]]="Operação Normal",
_xlfn.XLOOKUP(BD_Receitas[[#This Row],[ID]],TabCondicoesComerciais[ID],TabCondicoesComerciais[Volume mínimo 
(m3)],0),"")</f>
        <v/>
      </c>
      <c r="Q208" s="2">
        <f>_xlfn.XLOOKUP(BD_Receitas[[#This Row],[ID]],TabCondicoesComerciais[ID],TabCondicoesComerciais[Vol. 1ºGiro],0)</f>
        <v>1070</v>
      </c>
      <c r="R2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08" s="1">
        <f xml:space="preserve"> IF(BD_Receitas[[#This Row],[TIPO DE COBRANÇA]]="Operação Normal",
_xlfn.XLOOKUP(BD_Receitas[[#This Row],[ID]],TabCondicoesComerciais[ID],TabCondicoesComerciais[Tarifa 2º Giro],0),0)</f>
        <v>0</v>
      </c>
      <c r="T2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09" spans="1:24" hidden="1" x14ac:dyDescent="0.35">
      <c r="A209" s="3" t="s">
        <v>200</v>
      </c>
      <c r="B209" s="11">
        <v>45748</v>
      </c>
      <c r="C209" t="s">
        <v>31</v>
      </c>
      <c r="D209" t="s">
        <v>203</v>
      </c>
      <c r="E209" t="s">
        <v>32</v>
      </c>
      <c r="F209" s="10" t="s">
        <v>25</v>
      </c>
      <c r="G209" s="3" t="s">
        <v>12</v>
      </c>
      <c r="H209" s="3" t="s">
        <v>10</v>
      </c>
      <c r="I209" s="3" t="s">
        <v>7</v>
      </c>
      <c r="J209" s="1">
        <v>0</v>
      </c>
      <c r="K209" s="12">
        <v>0</v>
      </c>
      <c r="L209" s="1"/>
      <c r="M209" s="12"/>
      <c r="N209"/>
      <c r="O209"/>
      <c r="P209" s="2" t="str">
        <f>IF(BD_Receitas[[#This Row],[TIPO DE COBRANÇA]]="Operação Normal",
_xlfn.XLOOKUP(BD_Receitas[[#This Row],[ID]],TabCondicoesComerciais[ID],TabCondicoesComerciais[Volume mínimo 
(m3)],0),"")</f>
        <v/>
      </c>
      <c r="Q209" s="2">
        <f>_xlfn.XLOOKUP(BD_Receitas[[#This Row],[ID]],TabCondicoesComerciais[ID],TabCondicoesComerciais[Vol. 1ºGiro],0)</f>
        <v>2000</v>
      </c>
      <c r="R2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209" s="1">
        <f xml:space="preserve"> IF(BD_Receitas[[#This Row],[TIPO DE COBRANÇA]]="Operação Normal",
_xlfn.XLOOKUP(BD_Receitas[[#This Row],[ID]],TabCondicoesComerciais[ID],TabCondicoesComerciais[Tarifa 2º Giro],0),0)</f>
        <v>0</v>
      </c>
      <c r="T2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0" spans="1:24" hidden="1" x14ac:dyDescent="0.35">
      <c r="A210" s="3" t="s">
        <v>200</v>
      </c>
      <c r="B210" s="11">
        <v>45748</v>
      </c>
      <c r="C210" t="s">
        <v>31</v>
      </c>
      <c r="D210" t="s">
        <v>203</v>
      </c>
      <c r="E210" t="s">
        <v>32</v>
      </c>
      <c r="F210" s="10" t="s">
        <v>25</v>
      </c>
      <c r="G210" s="3" t="s">
        <v>12</v>
      </c>
      <c r="H210" s="3" t="s">
        <v>10</v>
      </c>
      <c r="I210" s="3" t="s">
        <v>8</v>
      </c>
      <c r="J210" s="1">
        <v>0</v>
      </c>
      <c r="K210" s="12">
        <v>0</v>
      </c>
      <c r="L210" s="1"/>
      <c r="M210" s="12"/>
      <c r="N210"/>
      <c r="O210"/>
      <c r="P210" s="2" t="str">
        <f>IF(BD_Receitas[[#This Row],[TIPO DE COBRANÇA]]="Operação Normal",
_xlfn.XLOOKUP(BD_Receitas[[#This Row],[ID]],TabCondicoesComerciais[ID],TabCondicoesComerciais[Volume mínimo 
(m3)],0),"")</f>
        <v/>
      </c>
      <c r="Q210" s="2">
        <f>_xlfn.XLOOKUP(BD_Receitas[[#This Row],[ID]],TabCondicoesComerciais[ID],TabCondicoesComerciais[Vol. 1ºGiro],0)</f>
        <v>2000</v>
      </c>
      <c r="R2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210" s="1">
        <f xml:space="preserve"> IF(BD_Receitas[[#This Row],[TIPO DE COBRANÇA]]="Operação Normal",
_xlfn.XLOOKUP(BD_Receitas[[#This Row],[ID]],TabCondicoesComerciais[ID],TabCondicoesComerciais[Tarifa 2º Giro],0),0)</f>
        <v>0</v>
      </c>
      <c r="T2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1" spans="1:24" hidden="1" x14ac:dyDescent="0.35">
      <c r="A211" s="3" t="s">
        <v>200</v>
      </c>
      <c r="B211" s="11">
        <v>45748</v>
      </c>
      <c r="C211" t="s">
        <v>31</v>
      </c>
      <c r="D211" t="s">
        <v>203</v>
      </c>
      <c r="E211" t="s">
        <v>32</v>
      </c>
      <c r="F211" s="10" t="s">
        <v>25</v>
      </c>
      <c r="G211" s="3" t="s">
        <v>12</v>
      </c>
      <c r="H211" s="3" t="s">
        <v>10</v>
      </c>
      <c r="I211" s="3" t="s">
        <v>15</v>
      </c>
      <c r="J211" s="1">
        <v>0</v>
      </c>
      <c r="K211" s="12">
        <v>0</v>
      </c>
      <c r="L211" s="1"/>
      <c r="M211" s="12"/>
      <c r="N211"/>
      <c r="O211"/>
      <c r="P211" s="2">
        <f>IF(BD_Receitas[[#This Row],[TIPO DE COBRANÇA]]="Operação Normal",
_xlfn.XLOOKUP(BD_Receitas[[#This Row],[ID]],TabCondicoesComerciais[ID],TabCondicoesComerciais[Volume mínimo 
(m3)],0),"")</f>
        <v>8000</v>
      </c>
      <c r="Q211" s="2">
        <f>_xlfn.XLOOKUP(BD_Receitas[[#This Row],[ID]],TabCondicoesComerciais[ID],TabCondicoesComerciais[Vol. 1ºGiro],0)</f>
        <v>2000</v>
      </c>
      <c r="R2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211" s="1">
        <f xml:space="preserve"> IF(BD_Receitas[[#This Row],[TIPO DE COBRANÇA]]="Operação Normal",
_xlfn.XLOOKUP(BD_Receitas[[#This Row],[ID]],TabCondicoesComerciais[ID],TabCondicoesComerciais[Tarifa 2º Giro],0),0)</f>
        <v>20</v>
      </c>
      <c r="T21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2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12" spans="1:24" hidden="1" x14ac:dyDescent="0.35">
      <c r="A212" s="3" t="s">
        <v>200</v>
      </c>
      <c r="B212" s="11">
        <v>45748</v>
      </c>
      <c r="C212" t="s">
        <v>31</v>
      </c>
      <c r="D212" t="s">
        <v>203</v>
      </c>
      <c r="E212" t="s">
        <v>32</v>
      </c>
      <c r="F212" s="10" t="s">
        <v>25</v>
      </c>
      <c r="G212" s="3" t="s">
        <v>12</v>
      </c>
      <c r="H212" s="3" t="s">
        <v>10</v>
      </c>
      <c r="I212" s="3" t="s">
        <v>65</v>
      </c>
      <c r="J212" s="1">
        <v>0</v>
      </c>
      <c r="K212" s="12">
        <v>0</v>
      </c>
      <c r="L212" s="1"/>
      <c r="M212" s="12"/>
      <c r="N212"/>
      <c r="O212"/>
      <c r="P212" s="2" t="str">
        <f>IF(BD_Receitas[[#This Row],[TIPO DE COBRANÇA]]="Operação Normal",
_xlfn.XLOOKUP(BD_Receitas[[#This Row],[ID]],TabCondicoesComerciais[ID],TabCondicoesComerciais[Volume mínimo 
(m3)],0),"")</f>
        <v/>
      </c>
      <c r="Q212" s="2">
        <f>_xlfn.XLOOKUP(BD_Receitas[[#This Row],[ID]],TabCondicoesComerciais[ID],TabCondicoesComerciais[Vol. 1ºGiro],0)</f>
        <v>2000</v>
      </c>
      <c r="R2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12" s="1">
        <f xml:space="preserve"> IF(BD_Receitas[[#This Row],[TIPO DE COBRANÇA]]="Operação Normal",
_xlfn.XLOOKUP(BD_Receitas[[#This Row],[ID]],TabCondicoesComerciais[ID],TabCondicoesComerciais[Tarifa 2º Giro],0),0)</f>
        <v>0</v>
      </c>
      <c r="T2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3" spans="1:24" hidden="1" x14ac:dyDescent="0.35">
      <c r="A213" s="3" t="s">
        <v>166</v>
      </c>
      <c r="B213" s="11">
        <v>45748</v>
      </c>
      <c r="C213" t="s">
        <v>31</v>
      </c>
      <c r="D213" t="s">
        <v>203</v>
      </c>
      <c r="E213" t="s">
        <v>32</v>
      </c>
      <c r="F213" s="10" t="s">
        <v>25</v>
      </c>
      <c r="G213" s="3" t="s">
        <v>12</v>
      </c>
      <c r="H213" s="3" t="s">
        <v>9</v>
      </c>
      <c r="I213" s="3" t="s">
        <v>7</v>
      </c>
      <c r="J213" s="1">
        <v>0</v>
      </c>
      <c r="K213" s="12">
        <v>0</v>
      </c>
      <c r="L213" s="1">
        <v>2331.63</v>
      </c>
      <c r="M213" s="12">
        <v>259.07</v>
      </c>
      <c r="N213" t="s">
        <v>123</v>
      </c>
      <c r="O213" t="s">
        <v>129</v>
      </c>
      <c r="P213" s="2" t="str">
        <f>IF(BD_Receitas[[#This Row],[TIPO DE COBRANÇA]]="Operação Normal",
_xlfn.XLOOKUP(BD_Receitas[[#This Row],[ID]],TabCondicoesComerciais[ID],TabCondicoesComerciais[Volume mínimo 
(m3)],0),"")</f>
        <v/>
      </c>
      <c r="Q213" s="2">
        <f>_xlfn.XLOOKUP(BD_Receitas[[#This Row],[ID]],TabCondicoesComerciais[ID],TabCondicoesComerciais[Vol. 1ºGiro],0)</f>
        <v>1175</v>
      </c>
      <c r="R2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213" s="1">
        <f xml:space="preserve"> IF(BD_Receitas[[#This Row],[TIPO DE COBRANÇA]]="Operação Normal",
_xlfn.XLOOKUP(BD_Receitas[[#This Row],[ID]],TabCondicoesComerciais[ID],TabCondicoesComerciais[Tarifa 2º Giro],0),0)</f>
        <v>0</v>
      </c>
      <c r="T2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4" spans="1:24" hidden="1" x14ac:dyDescent="0.35">
      <c r="A214" s="3" t="s">
        <v>166</v>
      </c>
      <c r="B214" s="11">
        <v>45748</v>
      </c>
      <c r="C214" t="s">
        <v>31</v>
      </c>
      <c r="D214" t="s">
        <v>203</v>
      </c>
      <c r="E214" t="s">
        <v>32</v>
      </c>
      <c r="F214" s="10" t="s">
        <v>25</v>
      </c>
      <c r="G214" s="3" t="s">
        <v>12</v>
      </c>
      <c r="H214" s="3" t="s">
        <v>9</v>
      </c>
      <c r="I214" s="3" t="s">
        <v>7</v>
      </c>
      <c r="J214" s="1">
        <v>0</v>
      </c>
      <c r="K214" s="12">
        <v>0</v>
      </c>
      <c r="L214" s="1">
        <v>2331.63</v>
      </c>
      <c r="M214" s="12">
        <v>259.07</v>
      </c>
      <c r="N214" t="s">
        <v>123</v>
      </c>
      <c r="O214" t="s">
        <v>129</v>
      </c>
      <c r="P214" s="2" t="str">
        <f>IF(BD_Receitas[[#This Row],[TIPO DE COBRANÇA]]="Operação Normal",
_xlfn.XLOOKUP(BD_Receitas[[#This Row],[ID]],TabCondicoesComerciais[ID],TabCondicoesComerciais[Volume mínimo 
(m3)],0),"")</f>
        <v/>
      </c>
      <c r="Q214" s="2">
        <f>_xlfn.XLOOKUP(BD_Receitas[[#This Row],[ID]],TabCondicoesComerciais[ID],TabCondicoesComerciais[Vol. 1ºGiro],0)</f>
        <v>1175</v>
      </c>
      <c r="R2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214" s="1">
        <f xml:space="preserve"> IF(BD_Receitas[[#This Row],[TIPO DE COBRANÇA]]="Operação Normal",
_xlfn.XLOOKUP(BD_Receitas[[#This Row],[ID]],TabCondicoesComerciais[ID],TabCondicoesComerciais[Tarifa 2º Giro],0),0)</f>
        <v>0</v>
      </c>
      <c r="T2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5" spans="1:24" hidden="1" x14ac:dyDescent="0.35">
      <c r="A215" s="3" t="s">
        <v>166</v>
      </c>
      <c r="B215" s="11">
        <v>45748</v>
      </c>
      <c r="C215" t="s">
        <v>31</v>
      </c>
      <c r="D215" t="s">
        <v>203</v>
      </c>
      <c r="E215" t="s">
        <v>32</v>
      </c>
      <c r="F215" s="10" t="s">
        <v>25</v>
      </c>
      <c r="G215" s="3" t="s">
        <v>12</v>
      </c>
      <c r="H215" s="3" t="s">
        <v>9</v>
      </c>
      <c r="I215" s="3" t="s">
        <v>7</v>
      </c>
      <c r="J215" s="1">
        <v>0</v>
      </c>
      <c r="K215" s="12">
        <v>0</v>
      </c>
      <c r="L215" s="1">
        <v>2331.63</v>
      </c>
      <c r="M215" s="12">
        <v>259.07</v>
      </c>
      <c r="N215" t="s">
        <v>123</v>
      </c>
      <c r="O215" t="s">
        <v>129</v>
      </c>
      <c r="P215" s="2" t="str">
        <f>IF(BD_Receitas[[#This Row],[TIPO DE COBRANÇA]]="Operação Normal",
_xlfn.XLOOKUP(BD_Receitas[[#This Row],[ID]],TabCondicoesComerciais[ID],TabCondicoesComerciais[Volume mínimo 
(m3)],0),"")</f>
        <v/>
      </c>
      <c r="Q215" s="2">
        <f>_xlfn.XLOOKUP(BD_Receitas[[#This Row],[ID]],TabCondicoesComerciais[ID],TabCondicoesComerciais[Vol. 1ºGiro],0)</f>
        <v>1175</v>
      </c>
      <c r="R2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9.9480000000000004</v>
      </c>
      <c r="S215" s="1">
        <f xml:space="preserve"> IF(BD_Receitas[[#This Row],[TIPO DE COBRANÇA]]="Operação Normal",
_xlfn.XLOOKUP(BD_Receitas[[#This Row],[ID]],TabCondicoesComerciais[ID],TabCondicoesComerciais[Tarifa 2º Giro],0),0)</f>
        <v>0</v>
      </c>
      <c r="T2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6" spans="1:24" hidden="1" x14ac:dyDescent="0.35">
      <c r="A216" s="3" t="s">
        <v>166</v>
      </c>
      <c r="B216" s="11">
        <v>45748</v>
      </c>
      <c r="C216" t="s">
        <v>31</v>
      </c>
      <c r="D216" t="s">
        <v>203</v>
      </c>
      <c r="E216" t="s">
        <v>32</v>
      </c>
      <c r="F216" s="10" t="s">
        <v>25</v>
      </c>
      <c r="G216" s="3" t="s">
        <v>12</v>
      </c>
      <c r="H216" s="3" t="s">
        <v>9</v>
      </c>
      <c r="I216" s="3" t="s">
        <v>8</v>
      </c>
      <c r="J216" s="1">
        <v>0</v>
      </c>
      <c r="K216" s="12">
        <v>0</v>
      </c>
      <c r="L216" s="1"/>
      <c r="M216" s="12"/>
      <c r="N216"/>
      <c r="O216"/>
      <c r="P216" s="2" t="str">
        <f>IF(BD_Receitas[[#This Row],[TIPO DE COBRANÇA]]="Operação Normal",
_xlfn.XLOOKUP(BD_Receitas[[#This Row],[ID]],TabCondicoesComerciais[ID],TabCondicoesComerciais[Volume mínimo 
(m3)],0),"")</f>
        <v/>
      </c>
      <c r="Q216" s="2">
        <f>_xlfn.XLOOKUP(BD_Receitas[[#This Row],[ID]],TabCondicoesComerciais[ID],TabCondicoesComerciais[Vol. 1ºGiro],0)</f>
        <v>1175</v>
      </c>
      <c r="R2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</v>
      </c>
      <c r="S216" s="1">
        <f xml:space="preserve"> IF(BD_Receitas[[#This Row],[TIPO DE COBRANÇA]]="Operação Normal",
_xlfn.XLOOKUP(BD_Receitas[[#This Row],[ID]],TabCondicoesComerciais[ID],TabCondicoesComerciais[Tarifa 2º Giro],0),0)</f>
        <v>0</v>
      </c>
      <c r="T2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17" spans="1:24" hidden="1" x14ac:dyDescent="0.35">
      <c r="A217" s="3" t="s">
        <v>166</v>
      </c>
      <c r="B217" s="11">
        <v>45748</v>
      </c>
      <c r="C217" t="s">
        <v>31</v>
      </c>
      <c r="D217" t="s">
        <v>203</v>
      </c>
      <c r="E217" t="s">
        <v>32</v>
      </c>
      <c r="F217" s="10" t="s">
        <v>25</v>
      </c>
      <c r="G217" s="3" t="s">
        <v>12</v>
      </c>
      <c r="H217" s="3" t="s">
        <v>9</v>
      </c>
      <c r="I217" s="3" t="s">
        <v>15</v>
      </c>
      <c r="J217" s="1">
        <v>164947.60920000001</v>
      </c>
      <c r="K217" s="12">
        <v>6100</v>
      </c>
      <c r="L217" s="1">
        <v>152744</v>
      </c>
      <c r="M217" s="12">
        <v>6100</v>
      </c>
      <c r="N217" t="s">
        <v>123</v>
      </c>
      <c r="O217" t="s">
        <v>155</v>
      </c>
      <c r="P217" s="2">
        <f>IF(BD_Receitas[[#This Row],[TIPO DE COBRANÇA]]="Operação Normal",
_xlfn.XLOOKUP(BD_Receitas[[#This Row],[ID]],TabCondicoesComerciais[ID],TabCondicoesComerciais[Volume mínimo 
(m3)],0),"")</f>
        <v>6100</v>
      </c>
      <c r="Q217" s="2">
        <f>_xlfn.XLOOKUP(BD_Receitas[[#This Row],[ID]],TabCondicoesComerciais[ID],TabCondicoesComerciais[Vol. 1ºGiro],0)</f>
        <v>1175</v>
      </c>
      <c r="R2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217" s="1">
        <f xml:space="preserve"> IF(BD_Receitas[[#This Row],[TIPO DE COBRANÇA]]="Operação Normal",
_xlfn.XLOOKUP(BD_Receitas[[#This Row],[ID]],TabCondicoesComerciais[ID],TabCondicoesComerciais[Tarifa 2º Giro],0),0)</f>
        <v>25.04</v>
      </c>
      <c r="T217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2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76.266703278688524</v>
      </c>
      <c r="V2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2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2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218" spans="1:24" hidden="1" x14ac:dyDescent="0.35">
      <c r="A218" s="3" t="s">
        <v>166</v>
      </c>
      <c r="B218" s="11">
        <v>45748</v>
      </c>
      <c r="C218" t="s">
        <v>31</v>
      </c>
      <c r="D218" t="s">
        <v>203</v>
      </c>
      <c r="E218" t="s">
        <v>32</v>
      </c>
      <c r="F218" s="10" t="s">
        <v>25</v>
      </c>
      <c r="G218" s="3" t="s">
        <v>12</v>
      </c>
      <c r="H218" s="3" t="s">
        <v>9</v>
      </c>
      <c r="I218" s="3" t="s">
        <v>15</v>
      </c>
      <c r="J218" s="1">
        <v>164947.60920000001</v>
      </c>
      <c r="K218" s="12">
        <v>6100</v>
      </c>
      <c r="L218" s="1">
        <v>152744</v>
      </c>
      <c r="M218" s="12">
        <v>6100</v>
      </c>
      <c r="N218" t="s">
        <v>123</v>
      </c>
      <c r="O218" t="s">
        <v>155</v>
      </c>
      <c r="P218" s="2">
        <f>IF(BD_Receitas[[#This Row],[TIPO DE COBRANÇA]]="Operação Normal",
_xlfn.XLOOKUP(BD_Receitas[[#This Row],[ID]],TabCondicoesComerciais[ID],TabCondicoesComerciais[Volume mínimo 
(m3)],0),"")</f>
        <v>6100</v>
      </c>
      <c r="Q218" s="2">
        <f>_xlfn.XLOOKUP(BD_Receitas[[#This Row],[ID]],TabCondicoesComerciais[ID],TabCondicoesComerciais[Vol. 1ºGiro],0)</f>
        <v>1175</v>
      </c>
      <c r="R2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218" s="1">
        <f xml:space="preserve"> IF(BD_Receitas[[#This Row],[TIPO DE COBRANÇA]]="Operação Normal",
_xlfn.XLOOKUP(BD_Receitas[[#This Row],[ID]],TabCondicoesComerciais[ID],TabCondicoesComerciais[Tarifa 2º Giro],0),0)</f>
        <v>25.04</v>
      </c>
      <c r="T218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21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76.266703278688524</v>
      </c>
      <c r="V21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21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152744</v>
      </c>
      <c r="X2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219" spans="1:24" hidden="1" x14ac:dyDescent="0.35">
      <c r="A219" s="3" t="s">
        <v>166</v>
      </c>
      <c r="B219" s="11">
        <v>45748</v>
      </c>
      <c r="C219" t="s">
        <v>31</v>
      </c>
      <c r="D219" t="s">
        <v>203</v>
      </c>
      <c r="E219" t="s">
        <v>32</v>
      </c>
      <c r="F219" s="10" t="s">
        <v>25</v>
      </c>
      <c r="G219" s="3" t="s">
        <v>12</v>
      </c>
      <c r="H219" s="3" t="s">
        <v>9</v>
      </c>
      <c r="I219" s="3" t="s">
        <v>15</v>
      </c>
      <c r="J219" s="1">
        <v>164947.60920000001</v>
      </c>
      <c r="K219" s="12">
        <v>6100</v>
      </c>
      <c r="L219" s="1">
        <v>152744</v>
      </c>
      <c r="M219" s="12">
        <v>3418.9340000000002</v>
      </c>
      <c r="N219" t="s">
        <v>123</v>
      </c>
      <c r="O219" t="s">
        <v>155</v>
      </c>
      <c r="P219" s="2">
        <f>IF(BD_Receitas[[#This Row],[TIPO DE COBRANÇA]]="Operação Normal",
_xlfn.XLOOKUP(BD_Receitas[[#This Row],[ID]],TabCondicoesComerciais[ID],TabCondicoesComerciais[Volume mínimo 
(m3)],0),"")</f>
        <v>6100</v>
      </c>
      <c r="Q219" s="2">
        <f>_xlfn.XLOOKUP(BD_Receitas[[#This Row],[ID]],TabCondicoesComerciais[ID],TabCondicoesComerciais[Vol. 1ºGiro],0)</f>
        <v>1175</v>
      </c>
      <c r="R2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25.04</v>
      </c>
      <c r="S219" s="1">
        <f xml:space="preserve"> IF(BD_Receitas[[#This Row],[TIPO DE COBRANÇA]]="Operação Normal",
_xlfn.XLOOKUP(BD_Receitas[[#This Row],[ID]],TabCondicoesComerciais[ID],TabCondicoesComerciais[Tarifa 2º Giro],0),0)</f>
        <v>25.04</v>
      </c>
      <c r="T219" s="5">
        <f>IFERROR(IF(BD_Receitas[[#This Row],[TIPO DE COBRANÇA]]&lt;&gt;"Operação Normal","",BD_Receitas[[#This Row],[Valor Total R$]]/ MAX(BD_Receitas[[#This Row],[Vol. Movimentado M³]],
BD_Receitas[[#This Row],[Volume Mínimo ]])
),0)</f>
        <v>25.04</v>
      </c>
      <c r="U2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136.07366799125106</v>
      </c>
      <c r="V2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152744</v>
      </c>
      <c r="W2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85610.107359999995</v>
      </c>
      <c r="X2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220" spans="1:24" hidden="1" x14ac:dyDescent="0.35">
      <c r="A220" s="3" t="s">
        <v>166</v>
      </c>
      <c r="B220" s="11">
        <v>45748</v>
      </c>
      <c r="C220" t="s">
        <v>31</v>
      </c>
      <c r="D220" t="s">
        <v>203</v>
      </c>
      <c r="E220" t="s">
        <v>32</v>
      </c>
      <c r="F220" s="10" t="s">
        <v>25</v>
      </c>
      <c r="G220" s="3" t="s">
        <v>12</v>
      </c>
      <c r="H220" s="3" t="s">
        <v>9</v>
      </c>
      <c r="I220" s="3" t="s">
        <v>65</v>
      </c>
      <c r="J220" s="1">
        <v>0</v>
      </c>
      <c r="K220" s="12">
        <v>0</v>
      </c>
      <c r="L220" s="1"/>
      <c r="M220" s="12"/>
      <c r="N220"/>
      <c r="O220"/>
      <c r="P220" s="2" t="str">
        <f>IF(BD_Receitas[[#This Row],[TIPO DE COBRANÇA]]="Operação Normal",
_xlfn.XLOOKUP(BD_Receitas[[#This Row],[ID]],TabCondicoesComerciais[ID],TabCondicoesComerciais[Volume mínimo 
(m3)],0),"")</f>
        <v/>
      </c>
      <c r="Q220" s="2">
        <f>_xlfn.XLOOKUP(BD_Receitas[[#This Row],[ID]],TabCondicoesComerciais[ID],TabCondicoesComerciais[Vol. 1ºGiro],0)</f>
        <v>1175</v>
      </c>
      <c r="R2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20" s="1">
        <f xml:space="preserve"> IF(BD_Receitas[[#This Row],[TIPO DE COBRANÇA]]="Operação Normal",
_xlfn.XLOOKUP(BD_Receitas[[#This Row],[ID]],TabCondicoesComerciais[ID],TabCondicoesComerciais[Tarifa 2º Giro],0),0)</f>
        <v>0</v>
      </c>
      <c r="T2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1" spans="1:24" hidden="1" x14ac:dyDescent="0.35">
      <c r="A221" s="3" t="s">
        <v>169</v>
      </c>
      <c r="B221" s="11">
        <v>45748</v>
      </c>
      <c r="C221" t="s">
        <v>31</v>
      </c>
      <c r="D221" t="s">
        <v>203</v>
      </c>
      <c r="E221" t="s">
        <v>32</v>
      </c>
      <c r="F221" s="10" t="s">
        <v>25</v>
      </c>
      <c r="G221" s="3" t="s">
        <v>12</v>
      </c>
      <c r="H221" s="3" t="s">
        <v>170</v>
      </c>
      <c r="I221" s="3" t="s">
        <v>7</v>
      </c>
      <c r="J221" s="1">
        <v>0</v>
      </c>
      <c r="K221" s="12">
        <v>0</v>
      </c>
      <c r="L221" s="1"/>
      <c r="M221" s="12"/>
      <c r="N221"/>
      <c r="O221"/>
      <c r="P221" s="2" t="str">
        <f>IF(BD_Receitas[[#This Row],[TIPO DE COBRANÇA]]="Operação Normal",
_xlfn.XLOOKUP(BD_Receitas[[#This Row],[ID]],TabCondicoesComerciais[ID],TabCondicoesComerciais[Volume mínimo 
(m3)],0),"")</f>
        <v/>
      </c>
      <c r="Q221" s="2">
        <f>_xlfn.XLOOKUP(BD_Receitas[[#This Row],[ID]],TabCondicoesComerciais[ID],TabCondicoesComerciais[Vol. 1ºGiro],0)</f>
        <v>1040</v>
      </c>
      <c r="R2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221" s="1">
        <f xml:space="preserve"> IF(BD_Receitas[[#This Row],[TIPO DE COBRANÇA]]="Operação Normal",
_xlfn.XLOOKUP(BD_Receitas[[#This Row],[ID]],TabCondicoesComerciais[ID],TabCondicoesComerciais[Tarifa 2º Giro],0),0)</f>
        <v>0</v>
      </c>
      <c r="T2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2" spans="1:24" hidden="1" x14ac:dyDescent="0.35">
      <c r="A222" s="3" t="s">
        <v>169</v>
      </c>
      <c r="B222" s="11">
        <v>45748</v>
      </c>
      <c r="C222" t="s">
        <v>31</v>
      </c>
      <c r="D222" t="s">
        <v>203</v>
      </c>
      <c r="E222" t="s">
        <v>32</v>
      </c>
      <c r="F222" s="10" t="s">
        <v>25</v>
      </c>
      <c r="G222" s="3" t="s">
        <v>12</v>
      </c>
      <c r="H222" s="3" t="s">
        <v>170</v>
      </c>
      <c r="I222" s="3" t="s">
        <v>8</v>
      </c>
      <c r="J222" s="1">
        <v>0</v>
      </c>
      <c r="K222" s="12">
        <v>0</v>
      </c>
      <c r="L222" s="1"/>
      <c r="M222" s="12"/>
      <c r="N222"/>
      <c r="O222"/>
      <c r="P222" s="2" t="str">
        <f>IF(BD_Receitas[[#This Row],[TIPO DE COBRANÇA]]="Operação Normal",
_xlfn.XLOOKUP(BD_Receitas[[#This Row],[ID]],TabCondicoesComerciais[ID],TabCondicoesComerciais[Volume mínimo 
(m3)],0),"")</f>
        <v/>
      </c>
      <c r="Q222" s="2">
        <f>_xlfn.XLOOKUP(BD_Receitas[[#This Row],[ID]],TabCondicoesComerciais[ID],TabCondicoesComerciais[Vol. 1ºGiro],0)</f>
        <v>1040</v>
      </c>
      <c r="R2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222" s="1">
        <f xml:space="preserve"> IF(BD_Receitas[[#This Row],[TIPO DE COBRANÇA]]="Operação Normal",
_xlfn.XLOOKUP(BD_Receitas[[#This Row],[ID]],TabCondicoesComerciais[ID],TabCondicoesComerciais[Tarifa 2º Giro],0),0)</f>
        <v>0</v>
      </c>
      <c r="T2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3" spans="1:24" hidden="1" x14ac:dyDescent="0.35">
      <c r="A223" s="3" t="s">
        <v>169</v>
      </c>
      <c r="B223" s="11">
        <v>45748</v>
      </c>
      <c r="C223" t="s">
        <v>31</v>
      </c>
      <c r="D223" t="s">
        <v>203</v>
      </c>
      <c r="E223" t="s">
        <v>32</v>
      </c>
      <c r="F223" s="10" t="s">
        <v>25</v>
      </c>
      <c r="G223" s="3" t="s">
        <v>12</v>
      </c>
      <c r="H223" s="3" t="s">
        <v>170</v>
      </c>
      <c r="I223" s="3" t="s">
        <v>15</v>
      </c>
      <c r="J223" s="1">
        <v>0</v>
      </c>
      <c r="K223" s="12">
        <v>0</v>
      </c>
      <c r="L223" s="1">
        <v>4974.92</v>
      </c>
      <c r="M223" s="12">
        <v>174.92699999999999</v>
      </c>
      <c r="N223" t="s">
        <v>130</v>
      </c>
      <c r="O223"/>
      <c r="P223" s="2">
        <f>IF(BD_Receitas[[#This Row],[TIPO DE COBRANÇA]]="Operação Normal",
_xlfn.XLOOKUP(BD_Receitas[[#This Row],[ID]],TabCondicoesComerciais[ID],TabCondicoesComerciais[Volume mínimo 
(m3)],0),"")</f>
        <v>4160</v>
      </c>
      <c r="Q223" s="2">
        <f>_xlfn.XLOOKUP(BD_Receitas[[#This Row],[ID]],TabCondicoesComerciais[ID],TabCondicoesComerciais[Vol. 1ºGiro],0)</f>
        <v>1040</v>
      </c>
      <c r="R2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223" s="1">
        <f xml:space="preserve"> IF(BD_Receitas[[#This Row],[TIPO DE COBRANÇA]]="Operação Normal",
_xlfn.XLOOKUP(BD_Receitas[[#This Row],[ID]],TabCondicoesComerciais[ID],TabCondicoesComerciais[Tarifa 2º Giro],0),0)</f>
        <v>28.44</v>
      </c>
      <c r="T223" s="5">
        <f>IFERROR(IF(BD_Receitas[[#This Row],[TIPO DE COBRANÇA]]&lt;&gt;"Operação Normal","",BD_Receitas[[#This Row],[Valor Total R$]]/ MAX(BD_Receitas[[#This Row],[Vol. Movimentado M³]],
BD_Receitas[[#This Row],[Volume Mínimo ]])
),0)</f>
        <v>1.1958942307692308</v>
      </c>
      <c r="U2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28.439977819318919</v>
      </c>
      <c r="V2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2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4974.9238800000003</v>
      </c>
      <c r="X2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24" spans="1:24" hidden="1" x14ac:dyDescent="0.35">
      <c r="A224" s="3" t="s">
        <v>169</v>
      </c>
      <c r="B224" s="11">
        <v>45748</v>
      </c>
      <c r="C224" t="s">
        <v>31</v>
      </c>
      <c r="D224" t="s">
        <v>203</v>
      </c>
      <c r="E224" t="s">
        <v>32</v>
      </c>
      <c r="F224" s="10" t="s">
        <v>25</v>
      </c>
      <c r="G224" s="3" t="s">
        <v>12</v>
      </c>
      <c r="H224" s="3" t="s">
        <v>170</v>
      </c>
      <c r="I224" s="3" t="s">
        <v>65</v>
      </c>
      <c r="J224" s="1">
        <v>0</v>
      </c>
      <c r="K224" s="12">
        <v>0</v>
      </c>
      <c r="L224" s="1"/>
      <c r="M224" s="12"/>
      <c r="N224"/>
      <c r="O224"/>
      <c r="P224" s="2" t="str">
        <f>IF(BD_Receitas[[#This Row],[TIPO DE COBRANÇA]]="Operação Normal",
_xlfn.XLOOKUP(BD_Receitas[[#This Row],[ID]],TabCondicoesComerciais[ID],TabCondicoesComerciais[Volume mínimo 
(m3)],0),"")</f>
        <v/>
      </c>
      <c r="Q224" s="2">
        <f>_xlfn.XLOOKUP(BD_Receitas[[#This Row],[ID]],TabCondicoesComerciais[ID],TabCondicoesComerciais[Vol. 1ºGiro],0)</f>
        <v>1040</v>
      </c>
      <c r="R2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24" s="1">
        <f xml:space="preserve"> IF(BD_Receitas[[#This Row],[TIPO DE COBRANÇA]]="Operação Normal",
_xlfn.XLOOKUP(BD_Receitas[[#This Row],[ID]],TabCondicoesComerciais[ID],TabCondicoesComerciais[Tarifa 2º Giro],0),0)</f>
        <v>0</v>
      </c>
      <c r="T2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5" spans="1:24" hidden="1" x14ac:dyDescent="0.35">
      <c r="A225" s="3" t="s">
        <v>134</v>
      </c>
      <c r="B225" s="11">
        <v>45748</v>
      </c>
      <c r="C225" t="s">
        <v>31</v>
      </c>
      <c r="D225" t="s">
        <v>62</v>
      </c>
      <c r="E225" t="s">
        <v>37</v>
      </c>
      <c r="F225" s="10" t="s">
        <v>57</v>
      </c>
      <c r="G225" s="3" t="s">
        <v>58</v>
      </c>
      <c r="H225" s="3" t="s">
        <v>10</v>
      </c>
      <c r="I225" s="3" t="s">
        <v>7</v>
      </c>
      <c r="J225" s="1">
        <v>0</v>
      </c>
      <c r="K225" s="12">
        <v>0</v>
      </c>
      <c r="L225" s="1"/>
      <c r="M225" s="12"/>
      <c r="N225"/>
      <c r="O225"/>
      <c r="P225" s="2" t="str">
        <f>IF(BD_Receitas[[#This Row],[TIPO DE COBRANÇA]]="Operação Normal",
_xlfn.XLOOKUP(BD_Receitas[[#This Row],[ID]],TabCondicoesComerciais[ID],TabCondicoesComerciais[Volume mínimo 
(m3)],0),"")</f>
        <v/>
      </c>
      <c r="Q225" s="2">
        <f>_xlfn.XLOOKUP(BD_Receitas[[#This Row],[ID]],TabCondicoesComerciais[ID],TabCondicoesComerciais[Vol. 1ºGiro],0)</f>
        <v>310</v>
      </c>
      <c r="R2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25" s="1">
        <f xml:space="preserve"> IF(BD_Receitas[[#This Row],[TIPO DE COBRANÇA]]="Operação Normal",
_xlfn.XLOOKUP(BD_Receitas[[#This Row],[ID]],TabCondicoesComerciais[ID],TabCondicoesComerciais[Tarifa 2º Giro],0),0)</f>
        <v>0</v>
      </c>
      <c r="T2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6" spans="1:24" hidden="1" x14ac:dyDescent="0.35">
      <c r="A226" s="3" t="s">
        <v>134</v>
      </c>
      <c r="B226" s="11">
        <v>45748</v>
      </c>
      <c r="C226" t="s">
        <v>31</v>
      </c>
      <c r="D226" t="s">
        <v>62</v>
      </c>
      <c r="E226" t="s">
        <v>37</v>
      </c>
      <c r="F226" s="10" t="s">
        <v>57</v>
      </c>
      <c r="G226" s="3" t="s">
        <v>58</v>
      </c>
      <c r="H226" s="3" t="s">
        <v>10</v>
      </c>
      <c r="I226" s="3" t="s">
        <v>8</v>
      </c>
      <c r="J226" s="1">
        <v>0</v>
      </c>
      <c r="K226" s="12">
        <v>0</v>
      </c>
      <c r="L226" s="1"/>
      <c r="M226" s="12"/>
      <c r="N226"/>
      <c r="O226"/>
      <c r="P226" s="2" t="str">
        <f>IF(BD_Receitas[[#This Row],[TIPO DE COBRANÇA]]="Operação Normal",
_xlfn.XLOOKUP(BD_Receitas[[#This Row],[ID]],TabCondicoesComerciais[ID],TabCondicoesComerciais[Volume mínimo 
(m3)],0),"")</f>
        <v/>
      </c>
      <c r="Q226" s="2">
        <f>_xlfn.XLOOKUP(BD_Receitas[[#This Row],[ID]],TabCondicoesComerciais[ID],TabCondicoesComerciais[Vol. 1ºGiro],0)</f>
        <v>310</v>
      </c>
      <c r="R2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226" s="1">
        <f xml:space="preserve"> IF(BD_Receitas[[#This Row],[TIPO DE COBRANÇA]]="Operação Normal",
_xlfn.XLOOKUP(BD_Receitas[[#This Row],[ID]],TabCondicoesComerciais[ID],TabCondicoesComerciais[Tarifa 2º Giro],0),0)</f>
        <v>0</v>
      </c>
      <c r="T2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7" spans="1:24" hidden="1" x14ac:dyDescent="0.35">
      <c r="A227" s="3" t="s">
        <v>134</v>
      </c>
      <c r="B227" s="11">
        <v>45748</v>
      </c>
      <c r="C227" t="s">
        <v>31</v>
      </c>
      <c r="D227" t="s">
        <v>62</v>
      </c>
      <c r="E227" t="s">
        <v>37</v>
      </c>
      <c r="F227" s="10" t="s">
        <v>57</v>
      </c>
      <c r="G227" s="3" t="s">
        <v>58</v>
      </c>
      <c r="H227" s="3" t="s">
        <v>10</v>
      </c>
      <c r="I227" s="3" t="s">
        <v>15</v>
      </c>
      <c r="J227" s="1">
        <v>17311.068899999998</v>
      </c>
      <c r="K227" s="12">
        <v>550</v>
      </c>
      <c r="L227" s="1">
        <v>43115.22</v>
      </c>
      <c r="M227" s="12">
        <v>1354</v>
      </c>
      <c r="N227" t="s">
        <v>190</v>
      </c>
      <c r="O227"/>
      <c r="P227" s="2">
        <f>IF(BD_Receitas[[#This Row],[TIPO DE COBRANÇA]]="Operação Normal",
_xlfn.XLOOKUP(BD_Receitas[[#This Row],[ID]],TabCondicoesComerciais[ID],TabCondicoesComerciais[Volume mínimo 
(m3)],0),"")</f>
        <v>1100</v>
      </c>
      <c r="Q227" s="2">
        <f>_xlfn.XLOOKUP(BD_Receitas[[#This Row],[ID]],TabCondicoesComerciais[ID],TabCondicoesComerciais[Vol. 1ºGiro],0)</f>
        <v>310</v>
      </c>
      <c r="R2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227" s="1">
        <f xml:space="preserve"> IF(BD_Receitas[[#This Row],[TIPO DE COBRANÇA]]="Operação Normal",
_xlfn.XLOOKUP(BD_Receitas[[#This Row],[ID]],TabCondicoesComerciais[ID],TabCondicoesComerciais[Tarifa 2º Giro],0),0)</f>
        <v>31.04</v>
      </c>
      <c r="T227" s="5">
        <f>IFERROR(IF(BD_Receitas[[#This Row],[TIPO DE COBRANÇA]]&lt;&gt;"Operação Normal","",BD_Receitas[[#This Row],[Valor Total R$]]/ MAX(BD_Receitas[[#This Row],[Vol. Movimentado M³]],
BD_Receitas[[#This Row],[Volume Mínimo ]])
),0)</f>
        <v>31.842850812407683</v>
      </c>
      <c r="U2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31.842850812407683</v>
      </c>
      <c r="V2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2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42028.159999999996</v>
      </c>
      <c r="X2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28" spans="1:24" hidden="1" x14ac:dyDescent="0.35">
      <c r="A228" s="3" t="s">
        <v>134</v>
      </c>
      <c r="B228" s="11">
        <v>45748</v>
      </c>
      <c r="C228" t="s">
        <v>31</v>
      </c>
      <c r="D228" t="s">
        <v>62</v>
      </c>
      <c r="E228" t="s">
        <v>37</v>
      </c>
      <c r="F228" s="10" t="s">
        <v>57</v>
      </c>
      <c r="G228" s="3" t="s">
        <v>58</v>
      </c>
      <c r="H228" s="3" t="s">
        <v>10</v>
      </c>
      <c r="I228" s="3" t="s">
        <v>65</v>
      </c>
      <c r="J228" s="1">
        <v>0</v>
      </c>
      <c r="K228" s="12">
        <v>0</v>
      </c>
      <c r="L228" s="1"/>
      <c r="M228" s="12"/>
      <c r="N228"/>
      <c r="O228"/>
      <c r="P228" s="2" t="str">
        <f>IF(BD_Receitas[[#This Row],[TIPO DE COBRANÇA]]="Operação Normal",
_xlfn.XLOOKUP(BD_Receitas[[#This Row],[ID]],TabCondicoesComerciais[ID],TabCondicoesComerciais[Volume mínimo 
(m3)],0),"")</f>
        <v/>
      </c>
      <c r="Q228" s="2">
        <f>_xlfn.XLOOKUP(BD_Receitas[[#This Row],[ID]],TabCondicoesComerciais[ID],TabCondicoesComerciais[Vol. 1ºGiro],0)</f>
        <v>310</v>
      </c>
      <c r="R2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28" s="1">
        <f xml:space="preserve"> IF(BD_Receitas[[#This Row],[TIPO DE COBRANÇA]]="Operação Normal",
_xlfn.XLOOKUP(BD_Receitas[[#This Row],[ID]],TabCondicoesComerciais[ID],TabCondicoesComerciais[Tarifa 2º Giro],0),0)</f>
        <v>0</v>
      </c>
      <c r="T2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29" spans="1:24" hidden="1" x14ac:dyDescent="0.35">
      <c r="A229" s="3" t="s">
        <v>173</v>
      </c>
      <c r="B229" s="11">
        <v>45748</v>
      </c>
      <c r="C229" t="s">
        <v>31</v>
      </c>
      <c r="D229" t="s">
        <v>62</v>
      </c>
      <c r="E229" t="s">
        <v>37</v>
      </c>
      <c r="F229" s="10" t="s">
        <v>57</v>
      </c>
      <c r="G229" s="3" t="s">
        <v>58</v>
      </c>
      <c r="H229" s="3" t="s">
        <v>6</v>
      </c>
      <c r="I229" s="3" t="s">
        <v>7</v>
      </c>
      <c r="J229" s="1">
        <v>0</v>
      </c>
      <c r="K229" s="12">
        <v>0</v>
      </c>
      <c r="L229" s="1"/>
      <c r="M229" s="12"/>
      <c r="N229"/>
      <c r="O229"/>
      <c r="P229" s="2" t="str">
        <f>IF(BD_Receitas[[#This Row],[TIPO DE COBRANÇA]]="Operação Normal",
_xlfn.XLOOKUP(BD_Receitas[[#This Row],[ID]],TabCondicoesComerciais[ID],TabCondicoesComerciais[Volume mínimo 
(m3)],0),"")</f>
        <v/>
      </c>
      <c r="Q229" s="2">
        <f>_xlfn.XLOOKUP(BD_Receitas[[#This Row],[ID]],TabCondicoesComerciais[ID],TabCondicoesComerciais[Vol. 1ºGiro],0)</f>
        <v>1070</v>
      </c>
      <c r="R2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29" s="1">
        <f xml:space="preserve"> IF(BD_Receitas[[#This Row],[TIPO DE COBRANÇA]]="Operação Normal",
_xlfn.XLOOKUP(BD_Receitas[[#This Row],[ID]],TabCondicoesComerciais[ID],TabCondicoesComerciais[Tarifa 2º Giro],0),0)</f>
        <v>0</v>
      </c>
      <c r="T2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0" spans="1:24" hidden="1" x14ac:dyDescent="0.35">
      <c r="A230" s="3" t="s">
        <v>173</v>
      </c>
      <c r="B230" s="11">
        <v>45748</v>
      </c>
      <c r="C230" t="s">
        <v>31</v>
      </c>
      <c r="D230" t="s">
        <v>62</v>
      </c>
      <c r="E230" t="s">
        <v>37</v>
      </c>
      <c r="F230" s="10" t="s">
        <v>57</v>
      </c>
      <c r="G230" s="3" t="s">
        <v>58</v>
      </c>
      <c r="H230" s="3" t="s">
        <v>6</v>
      </c>
      <c r="I230" s="3" t="s">
        <v>8</v>
      </c>
      <c r="J230" s="1">
        <v>0</v>
      </c>
      <c r="K230" s="12">
        <v>0</v>
      </c>
      <c r="L230" s="1"/>
      <c r="M230" s="12"/>
      <c r="N230"/>
      <c r="O230"/>
      <c r="P230" s="2" t="str">
        <f>IF(BD_Receitas[[#This Row],[TIPO DE COBRANÇA]]="Operação Normal",
_xlfn.XLOOKUP(BD_Receitas[[#This Row],[ID]],TabCondicoesComerciais[ID],TabCondicoesComerciais[Volume mínimo 
(m3)],0),"")</f>
        <v/>
      </c>
      <c r="Q230" s="2">
        <f>_xlfn.XLOOKUP(BD_Receitas[[#This Row],[ID]],TabCondicoesComerciais[ID],TabCondicoesComerciais[Vol. 1ºGiro],0)</f>
        <v>1070</v>
      </c>
      <c r="R2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30" s="1">
        <f xml:space="preserve"> IF(BD_Receitas[[#This Row],[TIPO DE COBRANÇA]]="Operação Normal",
_xlfn.XLOOKUP(BD_Receitas[[#This Row],[ID]],TabCondicoesComerciais[ID],TabCondicoesComerciais[Tarifa 2º Giro],0),0)</f>
        <v>0</v>
      </c>
      <c r="T2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1" spans="1:24" hidden="1" x14ac:dyDescent="0.35">
      <c r="A231" s="3" t="s">
        <v>173</v>
      </c>
      <c r="B231" s="11">
        <v>45748</v>
      </c>
      <c r="C231" t="s">
        <v>31</v>
      </c>
      <c r="D231" t="s">
        <v>62</v>
      </c>
      <c r="E231" t="s">
        <v>37</v>
      </c>
      <c r="F231" s="10" t="s">
        <v>57</v>
      </c>
      <c r="G231" s="3" t="s">
        <v>58</v>
      </c>
      <c r="H231" s="3" t="s">
        <v>6</v>
      </c>
      <c r="I231" s="3" t="s">
        <v>15</v>
      </c>
      <c r="J231" s="1">
        <v>0</v>
      </c>
      <c r="K231" s="12">
        <v>0</v>
      </c>
      <c r="L231" s="1">
        <v>193241.3</v>
      </c>
      <c r="M231" s="12">
        <v>8045</v>
      </c>
      <c r="N231" t="s">
        <v>186</v>
      </c>
      <c r="O231"/>
      <c r="P231" s="2">
        <f>IF(BD_Receitas[[#This Row],[TIPO DE COBRANÇA]]="Operação Normal",
_xlfn.XLOOKUP(BD_Receitas[[#This Row],[ID]],TabCondicoesComerciais[ID],TabCondicoesComerciais[Volume mínimo 
(m3)],0),"")</f>
        <v>3300</v>
      </c>
      <c r="Q231" s="2">
        <f>_xlfn.XLOOKUP(BD_Receitas[[#This Row],[ID]],TabCondicoesComerciais[ID],TabCondicoesComerciais[Vol. 1ºGiro],0)</f>
        <v>1070</v>
      </c>
      <c r="R2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231" s="1">
        <f xml:space="preserve"> IF(BD_Receitas[[#This Row],[TIPO DE COBRANÇA]]="Operação Normal",
_xlfn.XLOOKUP(BD_Receitas[[#This Row],[ID]],TabCondicoesComerciais[ID],TabCondicoesComerciais[Tarifa 2º Giro],0),0)</f>
        <v>23.42</v>
      </c>
      <c r="T231" s="5">
        <f>IFERROR(IF(BD_Receitas[[#This Row],[TIPO DE COBRANÇA]]&lt;&gt;"Operação Normal","",BD_Receitas[[#This Row],[Valor Total R$]]/ MAX(BD_Receitas[[#This Row],[Vol. Movimentado M³]],
BD_Receitas[[#This Row],[Volume Mínimo ]])
),0)</f>
        <v>24.020049720323179</v>
      </c>
      <c r="U2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24.020049720323179</v>
      </c>
      <c r="V2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2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188413.9</v>
      </c>
      <c r="X2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32" spans="1:24" hidden="1" x14ac:dyDescent="0.35">
      <c r="A232" s="3" t="s">
        <v>173</v>
      </c>
      <c r="B232" s="11">
        <v>45748</v>
      </c>
      <c r="C232" t="s">
        <v>31</v>
      </c>
      <c r="D232" t="s">
        <v>62</v>
      </c>
      <c r="E232" t="s">
        <v>37</v>
      </c>
      <c r="F232" s="10" t="s">
        <v>57</v>
      </c>
      <c r="G232" s="3" t="s">
        <v>58</v>
      </c>
      <c r="H232" s="3" t="s">
        <v>6</v>
      </c>
      <c r="I232" s="3" t="s">
        <v>65</v>
      </c>
      <c r="J232" s="1">
        <v>0</v>
      </c>
      <c r="K232" s="12">
        <v>0</v>
      </c>
      <c r="L232" s="1"/>
      <c r="M232" s="12"/>
      <c r="N232"/>
      <c r="O232"/>
      <c r="P232" s="2" t="str">
        <f>IF(BD_Receitas[[#This Row],[TIPO DE COBRANÇA]]="Operação Normal",
_xlfn.XLOOKUP(BD_Receitas[[#This Row],[ID]],TabCondicoesComerciais[ID],TabCondicoesComerciais[Volume mínimo 
(m3)],0),"")</f>
        <v/>
      </c>
      <c r="Q232" s="2">
        <f>_xlfn.XLOOKUP(BD_Receitas[[#This Row],[ID]],TabCondicoesComerciais[ID],TabCondicoesComerciais[Vol. 1ºGiro],0)</f>
        <v>1070</v>
      </c>
      <c r="R2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32" s="1">
        <f xml:space="preserve"> IF(BD_Receitas[[#This Row],[TIPO DE COBRANÇA]]="Operação Normal",
_xlfn.XLOOKUP(BD_Receitas[[#This Row],[ID]],TabCondicoesComerciais[ID],TabCondicoesComerciais[Tarifa 2º Giro],0),0)</f>
        <v>0</v>
      </c>
      <c r="T2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3" spans="1:24" hidden="1" x14ac:dyDescent="0.35">
      <c r="A233" s="3" t="s">
        <v>184</v>
      </c>
      <c r="B233" s="11">
        <v>45748</v>
      </c>
      <c r="C233" t="s">
        <v>31</v>
      </c>
      <c r="D233" t="s">
        <v>203</v>
      </c>
      <c r="E233" t="s">
        <v>34</v>
      </c>
      <c r="F233" s="10" t="s">
        <v>26</v>
      </c>
      <c r="G233" s="3" t="s">
        <v>19</v>
      </c>
      <c r="H233" s="3" t="s">
        <v>13</v>
      </c>
      <c r="I233" s="3" t="s">
        <v>7</v>
      </c>
      <c r="J233" s="1">
        <v>0</v>
      </c>
      <c r="K233" s="12">
        <v>0</v>
      </c>
      <c r="L233" s="1"/>
      <c r="M233" s="12"/>
      <c r="N233"/>
      <c r="O233"/>
      <c r="P233" s="2" t="str">
        <f>IF(BD_Receitas[[#This Row],[TIPO DE COBRANÇA]]="Operação Normal",
_xlfn.XLOOKUP(BD_Receitas[[#This Row],[ID]],TabCondicoesComerciais[ID],TabCondicoesComerciais[Volume mínimo 
(m3)],0),"")</f>
        <v/>
      </c>
      <c r="Q233" s="2">
        <f>_xlfn.XLOOKUP(BD_Receitas[[#This Row],[ID]],TabCondicoesComerciais[ID],TabCondicoesComerciais[Vol. 1ºGiro],0)</f>
        <v>340</v>
      </c>
      <c r="R2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33" s="1">
        <f xml:space="preserve"> IF(BD_Receitas[[#This Row],[TIPO DE COBRANÇA]]="Operação Normal",
_xlfn.XLOOKUP(BD_Receitas[[#This Row],[ID]],TabCondicoesComerciais[ID],TabCondicoesComerciais[Tarifa 2º Giro],0),0)</f>
        <v>0</v>
      </c>
      <c r="T2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4" spans="1:24" hidden="1" x14ac:dyDescent="0.35">
      <c r="A234" s="3" t="s">
        <v>184</v>
      </c>
      <c r="B234" s="11">
        <v>45748</v>
      </c>
      <c r="C234" t="s">
        <v>31</v>
      </c>
      <c r="D234" t="s">
        <v>203</v>
      </c>
      <c r="E234" t="s">
        <v>34</v>
      </c>
      <c r="F234" s="10" t="s">
        <v>26</v>
      </c>
      <c r="G234" s="3" t="s">
        <v>19</v>
      </c>
      <c r="H234" s="3" t="s">
        <v>13</v>
      </c>
      <c r="I234" s="3" t="s">
        <v>8</v>
      </c>
      <c r="J234" s="1">
        <v>0</v>
      </c>
      <c r="K234" s="12">
        <v>0</v>
      </c>
      <c r="L234" s="1"/>
      <c r="M234" s="12"/>
      <c r="N234"/>
      <c r="O234"/>
      <c r="P234" s="2" t="str">
        <f>IF(BD_Receitas[[#This Row],[TIPO DE COBRANÇA]]="Operação Normal",
_xlfn.XLOOKUP(BD_Receitas[[#This Row],[ID]],TabCondicoesComerciais[ID],TabCondicoesComerciais[Volume mínimo 
(m3)],0),"")</f>
        <v/>
      </c>
      <c r="Q234" s="2">
        <f>_xlfn.XLOOKUP(BD_Receitas[[#This Row],[ID]],TabCondicoesComerciais[ID],TabCondicoesComerciais[Vol. 1ºGiro],0)</f>
        <v>340</v>
      </c>
      <c r="R2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234" s="1">
        <f xml:space="preserve"> IF(BD_Receitas[[#This Row],[TIPO DE COBRANÇA]]="Operação Normal",
_xlfn.XLOOKUP(BD_Receitas[[#This Row],[ID]],TabCondicoesComerciais[ID],TabCondicoesComerciais[Tarifa 2º Giro],0),0)</f>
        <v>0</v>
      </c>
      <c r="T2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5" spans="1:24" hidden="1" x14ac:dyDescent="0.35">
      <c r="A235" s="3" t="s">
        <v>184</v>
      </c>
      <c r="B235" s="11">
        <v>45748</v>
      </c>
      <c r="C235" t="s">
        <v>31</v>
      </c>
      <c r="D235" t="s">
        <v>203</v>
      </c>
      <c r="E235" t="s">
        <v>34</v>
      </c>
      <c r="F235" s="10" t="s">
        <v>26</v>
      </c>
      <c r="G235" s="3" t="s">
        <v>19</v>
      </c>
      <c r="H235" s="3" t="s">
        <v>13</v>
      </c>
      <c r="I235" s="3" t="s">
        <v>15</v>
      </c>
      <c r="J235" s="1">
        <v>16933.880399999998</v>
      </c>
      <c r="K235" s="12">
        <v>545</v>
      </c>
      <c r="L235" s="1">
        <v>15260</v>
      </c>
      <c r="M235" s="12">
        <v>751.63099999999997</v>
      </c>
      <c r="N235" t="s">
        <v>187</v>
      </c>
      <c r="O235" t="s">
        <v>188</v>
      </c>
      <c r="P235" s="2">
        <f>IF(BD_Receitas[[#This Row],[TIPO DE COBRANÇA]]="Operação Normal",
_xlfn.XLOOKUP(BD_Receitas[[#This Row],[ID]],TabCondicoesComerciais[ID],TabCondicoesComerciais[Volume mínimo 
(m3)],0),"")</f>
        <v>1020</v>
      </c>
      <c r="Q235" s="2">
        <f>_xlfn.XLOOKUP(BD_Receitas[[#This Row],[ID]],TabCondicoesComerciais[ID],TabCondicoesComerciais[Vol. 1ºGiro],0)</f>
        <v>340</v>
      </c>
      <c r="R2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235" s="1">
        <f xml:space="preserve"> IF(BD_Receitas[[#This Row],[TIPO DE COBRANÇA]]="Operação Normal",
_xlfn.XLOOKUP(BD_Receitas[[#This Row],[ID]],TabCondicoesComerciais[ID],TabCondicoesComerciais[Tarifa 2º Giro],0),0)</f>
        <v>28</v>
      </c>
      <c r="T235" s="5">
        <f>IFERROR(IF(BD_Receitas[[#This Row],[TIPO DE COBRANÇA]]&lt;&gt;"Operação Normal","",BD_Receitas[[#This Row],[Valor Total R$]]/ MAX(BD_Receitas[[#This Row],[Vol. Movimentado M³]],
BD_Receitas[[#This Row],[Volume Mínimo ]])
),0)</f>
        <v>14.96078431372549</v>
      </c>
      <c r="U2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20.302515463039711</v>
      </c>
      <c r="V2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2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21045.667999999998</v>
      </c>
      <c r="X2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36" spans="1:24" hidden="1" x14ac:dyDescent="0.35">
      <c r="A236" s="3" t="s">
        <v>184</v>
      </c>
      <c r="B236" s="11">
        <v>45748</v>
      </c>
      <c r="C236" t="s">
        <v>31</v>
      </c>
      <c r="D236" t="s">
        <v>203</v>
      </c>
      <c r="E236" t="s">
        <v>34</v>
      </c>
      <c r="F236" s="10" t="s">
        <v>26</v>
      </c>
      <c r="G236" s="3" t="s">
        <v>19</v>
      </c>
      <c r="H236" s="3" t="s">
        <v>13</v>
      </c>
      <c r="I236" s="3" t="s">
        <v>65</v>
      </c>
      <c r="J236" s="1">
        <v>0</v>
      </c>
      <c r="K236" s="12">
        <v>0</v>
      </c>
      <c r="L236" s="1"/>
      <c r="M236" s="12"/>
      <c r="N236"/>
      <c r="O236"/>
      <c r="P236" s="2" t="str">
        <f>IF(BD_Receitas[[#This Row],[TIPO DE COBRANÇA]]="Operação Normal",
_xlfn.XLOOKUP(BD_Receitas[[#This Row],[ID]],TabCondicoesComerciais[ID],TabCondicoesComerciais[Volume mínimo 
(m3)],0),"")</f>
        <v/>
      </c>
      <c r="Q236" s="2">
        <f>_xlfn.XLOOKUP(BD_Receitas[[#This Row],[ID]],TabCondicoesComerciais[ID],TabCondicoesComerciais[Vol. 1ºGiro],0)</f>
        <v>340</v>
      </c>
      <c r="R2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36" s="1">
        <f xml:space="preserve"> IF(BD_Receitas[[#This Row],[TIPO DE COBRANÇA]]="Operação Normal",
_xlfn.XLOOKUP(BD_Receitas[[#This Row],[ID]],TabCondicoesComerciais[ID],TabCondicoesComerciais[Tarifa 2º Giro],0),0)</f>
        <v>0</v>
      </c>
      <c r="T2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7" spans="1:24" hidden="1" x14ac:dyDescent="0.35">
      <c r="A237" s="3" t="s">
        <v>142</v>
      </c>
      <c r="B237" s="11">
        <v>45778</v>
      </c>
      <c r="C237" t="s">
        <v>31</v>
      </c>
      <c r="D237" t="s">
        <v>202</v>
      </c>
      <c r="E237" t="s">
        <v>36</v>
      </c>
      <c r="F237" s="10" t="s">
        <v>48</v>
      </c>
      <c r="G237" s="3" t="s">
        <v>49</v>
      </c>
      <c r="H237" s="3" t="s">
        <v>52</v>
      </c>
      <c r="I237" s="3" t="s">
        <v>7</v>
      </c>
      <c r="J237" s="1">
        <v>0</v>
      </c>
      <c r="K237" s="12">
        <v>0</v>
      </c>
      <c r="L237" s="1"/>
      <c r="M237" s="12"/>
      <c r="N237"/>
      <c r="O237"/>
      <c r="P237" s="2" t="str">
        <f>IF(BD_Receitas[[#This Row],[TIPO DE COBRANÇA]]="Operação Normal",
_xlfn.XLOOKUP(BD_Receitas[[#This Row],[ID]],TabCondicoesComerciais[ID],TabCondicoesComerciais[Volume mínimo 
(m3)],0),"")</f>
        <v/>
      </c>
      <c r="Q237" s="2">
        <f>_xlfn.XLOOKUP(BD_Receitas[[#This Row],[ID]],TabCondicoesComerciais[ID],TabCondicoesComerciais[Vol. 1ºGiro],0)</f>
        <v>360</v>
      </c>
      <c r="R2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237" s="1">
        <f xml:space="preserve"> IF(BD_Receitas[[#This Row],[TIPO DE COBRANÇA]]="Operação Normal",
_xlfn.XLOOKUP(BD_Receitas[[#This Row],[ID]],TabCondicoesComerciais[ID],TabCondicoesComerciais[Tarifa 2º Giro],0),0)</f>
        <v>0</v>
      </c>
      <c r="T2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8" spans="1:24" hidden="1" x14ac:dyDescent="0.35">
      <c r="A238" s="3" t="s">
        <v>142</v>
      </c>
      <c r="B238" s="11">
        <v>45778</v>
      </c>
      <c r="C238" t="s">
        <v>31</v>
      </c>
      <c r="D238" t="s">
        <v>202</v>
      </c>
      <c r="E238" t="s">
        <v>36</v>
      </c>
      <c r="F238" s="10" t="s">
        <v>48</v>
      </c>
      <c r="G238" s="3" t="s">
        <v>49</v>
      </c>
      <c r="H238" s="3" t="s">
        <v>52</v>
      </c>
      <c r="I238" s="3" t="s">
        <v>8</v>
      </c>
      <c r="J238" s="1">
        <v>0</v>
      </c>
      <c r="K238" s="12">
        <v>0</v>
      </c>
      <c r="L238" s="1"/>
      <c r="M238" s="12"/>
      <c r="N238"/>
      <c r="O238"/>
      <c r="P238" s="2" t="str">
        <f>IF(BD_Receitas[[#This Row],[TIPO DE COBRANÇA]]="Operação Normal",
_xlfn.XLOOKUP(BD_Receitas[[#This Row],[ID]],TabCondicoesComerciais[ID],TabCondicoesComerciais[Volume mínimo 
(m3)],0),"")</f>
        <v/>
      </c>
      <c r="Q238" s="2">
        <f>_xlfn.XLOOKUP(BD_Receitas[[#This Row],[ID]],TabCondicoesComerciais[ID],TabCondicoesComerciais[Vol. 1ºGiro],0)</f>
        <v>360</v>
      </c>
      <c r="R2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238" s="1">
        <f xml:space="preserve"> IF(BD_Receitas[[#This Row],[TIPO DE COBRANÇA]]="Operação Normal",
_xlfn.XLOOKUP(BD_Receitas[[#This Row],[ID]],TabCondicoesComerciais[ID],TabCondicoesComerciais[Tarifa 2º Giro],0),0)</f>
        <v>0</v>
      </c>
      <c r="T2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39" spans="1:24" hidden="1" x14ac:dyDescent="0.35">
      <c r="A239" s="3" t="s">
        <v>142</v>
      </c>
      <c r="B239" s="11">
        <v>45778</v>
      </c>
      <c r="C239" t="s">
        <v>31</v>
      </c>
      <c r="D239" t="s">
        <v>202</v>
      </c>
      <c r="E239" t="s">
        <v>36</v>
      </c>
      <c r="F239" s="10" t="s">
        <v>48</v>
      </c>
      <c r="G239" s="3" t="s">
        <v>49</v>
      </c>
      <c r="H239" s="3" t="s">
        <v>52</v>
      </c>
      <c r="I239" s="3" t="s">
        <v>15</v>
      </c>
      <c r="J239" s="1">
        <v>89789.3701</v>
      </c>
      <c r="K239" s="12">
        <v>2040</v>
      </c>
      <c r="L239" s="1">
        <v>90421.62</v>
      </c>
      <c r="M239" s="12">
        <v>745.25199999999995</v>
      </c>
      <c r="N239"/>
      <c r="O239" t="s">
        <v>204</v>
      </c>
      <c r="P239" s="2">
        <f>IF(BD_Receitas[[#This Row],[TIPO DE COBRANÇA]]="Operação Normal",
_xlfn.XLOOKUP(BD_Receitas[[#This Row],[ID]],TabCondicoesComerciais[ID],TabCondicoesComerciais[Volume mínimo 
(m3)],0),"")</f>
        <v>2040</v>
      </c>
      <c r="Q239" s="2">
        <f>_xlfn.XLOOKUP(BD_Receitas[[#This Row],[ID]],TabCondicoesComerciais[ID],TabCondicoesComerciais[Vol. 1ºGiro],0)</f>
        <v>360</v>
      </c>
      <c r="R2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239" s="1">
        <f xml:space="preserve"> IF(BD_Receitas[[#This Row],[TIPO DE COBRANÇA]]="Operação Normal",
_xlfn.XLOOKUP(BD_Receitas[[#This Row],[ID]],TabCondicoesComerciais[ID],TabCondicoesComerciais[Tarifa 2º Giro],0),0)</f>
        <v>42.64</v>
      </c>
      <c r="T239" s="5">
        <f>IFERROR(IF(BD_Receitas[[#This Row],[TIPO DE COBRANÇA]]&lt;&gt;"Operação Normal","",BD_Receitas[[#This Row],[Valor Total R$]]/ MAX(BD_Receitas[[#This Row],[Vol. Movimentado M³]],
BD_Receitas[[#This Row],[Volume Mínimo ]])
),0)</f>
        <v>44.324323529411764</v>
      </c>
      <c r="U2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121.33026144176735</v>
      </c>
      <c r="V2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2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31777.545279999998</v>
      </c>
      <c r="X2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40" spans="1:24" hidden="1" x14ac:dyDescent="0.35">
      <c r="A240" s="3" t="s">
        <v>142</v>
      </c>
      <c r="B240" s="11">
        <v>45778</v>
      </c>
      <c r="C240" t="s">
        <v>31</v>
      </c>
      <c r="D240" t="s">
        <v>202</v>
      </c>
      <c r="E240" t="s">
        <v>36</v>
      </c>
      <c r="F240" s="10" t="s">
        <v>48</v>
      </c>
      <c r="G240" s="3" t="s">
        <v>49</v>
      </c>
      <c r="H240" s="3" t="s">
        <v>52</v>
      </c>
      <c r="I240" s="3" t="s">
        <v>65</v>
      </c>
      <c r="J240" s="1">
        <v>0</v>
      </c>
      <c r="K240" s="12">
        <v>0</v>
      </c>
      <c r="L240" s="1"/>
      <c r="M240" s="12"/>
      <c r="N240"/>
      <c r="O240"/>
      <c r="P240" s="2" t="str">
        <f>IF(BD_Receitas[[#This Row],[TIPO DE COBRANÇA]]="Operação Normal",
_xlfn.XLOOKUP(BD_Receitas[[#This Row],[ID]],TabCondicoesComerciais[ID],TabCondicoesComerciais[Volume mínimo 
(m3)],0),"")</f>
        <v/>
      </c>
      <c r="Q240" s="2">
        <f>_xlfn.XLOOKUP(BD_Receitas[[#This Row],[ID]],TabCondicoesComerciais[ID],TabCondicoesComerciais[Vol. 1ºGiro],0)</f>
        <v>360</v>
      </c>
      <c r="R2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0" s="1">
        <f xml:space="preserve"> IF(BD_Receitas[[#This Row],[TIPO DE COBRANÇA]]="Operação Normal",
_xlfn.XLOOKUP(BD_Receitas[[#This Row],[ID]],TabCondicoesComerciais[ID],TabCondicoesComerciais[Tarifa 2º Giro],0),0)</f>
        <v>0</v>
      </c>
      <c r="T2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1" spans="1:24" hidden="1" x14ac:dyDescent="0.35">
      <c r="A241" s="3" t="s">
        <v>139</v>
      </c>
      <c r="B241" s="11">
        <v>45778</v>
      </c>
      <c r="C241" t="s">
        <v>31</v>
      </c>
      <c r="D241" t="s">
        <v>202</v>
      </c>
      <c r="E241" t="s">
        <v>36</v>
      </c>
      <c r="F241" s="10" t="s">
        <v>48</v>
      </c>
      <c r="G241" s="3" t="s">
        <v>49</v>
      </c>
      <c r="H241" s="3" t="s">
        <v>14</v>
      </c>
      <c r="I241" s="3" t="s">
        <v>7</v>
      </c>
      <c r="J241" s="1">
        <v>0</v>
      </c>
      <c r="K241" s="12">
        <v>0</v>
      </c>
      <c r="L241" s="1"/>
      <c r="M241" s="12"/>
      <c r="N241"/>
      <c r="O241"/>
      <c r="P241" s="2" t="str">
        <f>IF(BD_Receitas[[#This Row],[TIPO DE COBRANÇA]]="Operação Normal",
_xlfn.XLOOKUP(BD_Receitas[[#This Row],[ID]],TabCondicoesComerciais[ID],TabCondicoesComerciais[Volume mínimo 
(m3)],0),"")</f>
        <v/>
      </c>
      <c r="Q241" s="2">
        <f>_xlfn.XLOOKUP(BD_Receitas[[#This Row],[ID]],TabCondicoesComerciais[ID],TabCondicoesComerciais[Vol. 1ºGiro],0)</f>
        <v>365</v>
      </c>
      <c r="R2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1" s="1">
        <f xml:space="preserve"> IF(BD_Receitas[[#This Row],[TIPO DE COBRANÇA]]="Operação Normal",
_xlfn.XLOOKUP(BD_Receitas[[#This Row],[ID]],TabCondicoesComerciais[ID],TabCondicoesComerciais[Tarifa 2º Giro],0),0)</f>
        <v>0</v>
      </c>
      <c r="T2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2" spans="1:24" hidden="1" x14ac:dyDescent="0.35">
      <c r="A242" s="3" t="s">
        <v>139</v>
      </c>
      <c r="B242" s="11">
        <v>45778</v>
      </c>
      <c r="C242" t="s">
        <v>31</v>
      </c>
      <c r="D242" t="s">
        <v>202</v>
      </c>
      <c r="E242" t="s">
        <v>36</v>
      </c>
      <c r="F242" s="10" t="s">
        <v>48</v>
      </c>
      <c r="G242" s="3" t="s">
        <v>49</v>
      </c>
      <c r="H242" s="3" t="s">
        <v>14</v>
      </c>
      <c r="I242" s="3" t="s">
        <v>8</v>
      </c>
      <c r="J242" s="1">
        <v>0</v>
      </c>
      <c r="K242" s="12">
        <v>0</v>
      </c>
      <c r="L242" s="1"/>
      <c r="M242" s="12"/>
      <c r="N242"/>
      <c r="O242"/>
      <c r="P242" s="2" t="str">
        <f>IF(BD_Receitas[[#This Row],[TIPO DE COBRANÇA]]="Operação Normal",
_xlfn.XLOOKUP(BD_Receitas[[#This Row],[ID]],TabCondicoesComerciais[ID],TabCondicoesComerciais[Volume mínimo 
(m3)],0),"")</f>
        <v/>
      </c>
      <c r="Q242" s="2">
        <f>_xlfn.XLOOKUP(BD_Receitas[[#This Row],[ID]],TabCondicoesComerciais[ID],TabCondicoesComerciais[Vol. 1ºGiro],0)</f>
        <v>365</v>
      </c>
      <c r="R2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2" s="1">
        <f xml:space="preserve"> IF(BD_Receitas[[#This Row],[TIPO DE COBRANÇA]]="Operação Normal",
_xlfn.XLOOKUP(BD_Receitas[[#This Row],[ID]],TabCondicoesComerciais[ID],TabCondicoesComerciais[Tarifa 2º Giro],0),0)</f>
        <v>0</v>
      </c>
      <c r="T2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3" spans="1:24" hidden="1" x14ac:dyDescent="0.35">
      <c r="A243" s="3" t="s">
        <v>139</v>
      </c>
      <c r="B243" s="11">
        <v>45778</v>
      </c>
      <c r="C243" t="s">
        <v>31</v>
      </c>
      <c r="D243" t="s">
        <v>202</v>
      </c>
      <c r="E243" t="s">
        <v>36</v>
      </c>
      <c r="F243" s="10" t="s">
        <v>48</v>
      </c>
      <c r="G243" s="3" t="s">
        <v>49</v>
      </c>
      <c r="H243" s="3" t="s">
        <v>14</v>
      </c>
      <c r="I243" s="3" t="s">
        <v>15</v>
      </c>
      <c r="J243" s="1">
        <v>17995.57</v>
      </c>
      <c r="K243" s="12">
        <v>936</v>
      </c>
      <c r="L243" s="1">
        <v>17387.03</v>
      </c>
      <c r="M243" s="12">
        <v>542.27499999999998</v>
      </c>
      <c r="N243"/>
      <c r="O243" t="s">
        <v>204</v>
      </c>
      <c r="P243" s="2">
        <f>IF(BD_Receitas[[#This Row],[TIPO DE COBRANÇA]]="Operação Normal",
_xlfn.XLOOKUP(BD_Receitas[[#This Row],[ID]],TabCondicoesComerciais[ID],TabCondicoesComerciais[Volume mínimo 
(m3)],0),"")</f>
        <v>936</v>
      </c>
      <c r="Q243" s="2">
        <f>_xlfn.XLOOKUP(BD_Receitas[[#This Row],[ID]],TabCondicoesComerciais[ID],TabCondicoesComerciais[Vol. 1ºGiro],0)</f>
        <v>365</v>
      </c>
      <c r="R2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243" s="1">
        <f xml:space="preserve"> IF(BD_Receitas[[#This Row],[TIPO DE COBRANÇA]]="Operação Normal",
_xlfn.XLOOKUP(BD_Receitas[[#This Row],[ID]],TabCondicoesComerciais[ID],TabCondicoesComerciais[Tarifa 2º Giro],0),0)</f>
        <v>17.87</v>
      </c>
      <c r="T243" s="5">
        <f>IFERROR(IF(BD_Receitas[[#This Row],[TIPO DE COBRANÇA]]&lt;&gt;"Operação Normal","",BD_Receitas[[#This Row],[Valor Total R$]]/ MAX(BD_Receitas[[#This Row],[Vol. Movimentado M³]],
BD_Receitas[[#This Row],[Volume Mínimo ]])
),0)</f>
        <v>18.57588675213675</v>
      </c>
      <c r="U2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32.063122954220646</v>
      </c>
      <c r="V2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2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9690.4542499999989</v>
      </c>
      <c r="X2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44" spans="1:24" hidden="1" x14ac:dyDescent="0.35">
      <c r="A244" s="3" t="s">
        <v>139</v>
      </c>
      <c r="B244" s="11">
        <v>45778</v>
      </c>
      <c r="C244" t="s">
        <v>31</v>
      </c>
      <c r="D244" t="s">
        <v>202</v>
      </c>
      <c r="E244" t="s">
        <v>36</v>
      </c>
      <c r="F244" s="10" t="s">
        <v>48</v>
      </c>
      <c r="G244" s="3" t="s">
        <v>49</v>
      </c>
      <c r="H244" s="3" t="s">
        <v>14</v>
      </c>
      <c r="I244" s="3" t="s">
        <v>65</v>
      </c>
      <c r="J244" s="1">
        <v>0</v>
      </c>
      <c r="K244" s="12">
        <v>0</v>
      </c>
      <c r="L244" s="1"/>
      <c r="M244" s="12"/>
      <c r="N244"/>
      <c r="O244"/>
      <c r="P244" s="2" t="str">
        <f>IF(BD_Receitas[[#This Row],[TIPO DE COBRANÇA]]="Operação Normal",
_xlfn.XLOOKUP(BD_Receitas[[#This Row],[ID]],TabCondicoesComerciais[ID],TabCondicoesComerciais[Volume mínimo 
(m3)],0),"")</f>
        <v/>
      </c>
      <c r="Q244" s="2">
        <f>_xlfn.XLOOKUP(BD_Receitas[[#This Row],[ID]],TabCondicoesComerciais[ID],TabCondicoesComerciais[Vol. 1ºGiro],0)</f>
        <v>365</v>
      </c>
      <c r="R2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4" s="1">
        <f xml:space="preserve"> IF(BD_Receitas[[#This Row],[TIPO DE COBRANÇA]]="Operação Normal",
_xlfn.XLOOKUP(BD_Receitas[[#This Row],[ID]],TabCondicoesComerciais[ID],TabCondicoesComerciais[Tarifa 2º Giro],0),0)</f>
        <v>0</v>
      </c>
      <c r="T2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5" spans="1:24" hidden="1" x14ac:dyDescent="0.35">
      <c r="A245" s="3" t="s">
        <v>25</v>
      </c>
      <c r="B245" s="11">
        <v>45778</v>
      </c>
      <c r="C245" t="s">
        <v>31</v>
      </c>
      <c r="D245" t="s">
        <v>202</v>
      </c>
      <c r="E245" t="s">
        <v>36</v>
      </c>
      <c r="F245" s="10" t="s">
        <v>48</v>
      </c>
      <c r="G245" s="3" t="s">
        <v>49</v>
      </c>
      <c r="H245" s="3" t="s">
        <v>116</v>
      </c>
      <c r="I245" s="3" t="s">
        <v>7</v>
      </c>
      <c r="J245" s="1">
        <v>0</v>
      </c>
      <c r="K245" s="12">
        <v>0</v>
      </c>
      <c r="L245" s="1"/>
      <c r="M245" s="12"/>
      <c r="N245"/>
      <c r="O245"/>
      <c r="P245" s="2" t="str">
        <f>IF(BD_Receitas[[#This Row],[TIPO DE COBRANÇA]]="Operação Normal",
_xlfn.XLOOKUP(BD_Receitas[[#This Row],[ID]],TabCondicoesComerciais[ID],TabCondicoesComerciais[Volume mínimo 
(m3)],0),"")</f>
        <v/>
      </c>
      <c r="Q245" s="2">
        <f>_xlfn.XLOOKUP(BD_Receitas[[#This Row],[ID]],TabCondicoesComerciais[ID],TabCondicoesComerciais[Vol. 1ºGiro],0)</f>
        <v>100</v>
      </c>
      <c r="R2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5" s="1">
        <f xml:space="preserve"> IF(BD_Receitas[[#This Row],[TIPO DE COBRANÇA]]="Operação Normal",
_xlfn.XLOOKUP(BD_Receitas[[#This Row],[ID]],TabCondicoesComerciais[ID],TabCondicoesComerciais[Tarifa 2º Giro],0),0)</f>
        <v>0</v>
      </c>
      <c r="T2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6" spans="1:24" hidden="1" x14ac:dyDescent="0.35">
      <c r="A246" s="3" t="s">
        <v>25</v>
      </c>
      <c r="B246" s="11">
        <v>45778</v>
      </c>
      <c r="C246" t="s">
        <v>31</v>
      </c>
      <c r="D246" t="s">
        <v>202</v>
      </c>
      <c r="E246" t="s">
        <v>36</v>
      </c>
      <c r="F246" s="10" t="s">
        <v>48</v>
      </c>
      <c r="G246" s="3" t="s">
        <v>49</v>
      </c>
      <c r="H246" s="3" t="s">
        <v>116</v>
      </c>
      <c r="I246" s="3" t="s">
        <v>8</v>
      </c>
      <c r="J246" s="1">
        <v>0</v>
      </c>
      <c r="K246" s="12">
        <v>0</v>
      </c>
      <c r="L246" s="1"/>
      <c r="M246" s="12"/>
      <c r="N246"/>
      <c r="O246"/>
      <c r="P246" s="2" t="str">
        <f>IF(BD_Receitas[[#This Row],[TIPO DE COBRANÇA]]="Operação Normal",
_xlfn.XLOOKUP(BD_Receitas[[#This Row],[ID]],TabCondicoesComerciais[ID],TabCondicoesComerciais[Volume mínimo 
(m3)],0),"")</f>
        <v/>
      </c>
      <c r="Q246" s="2">
        <f>_xlfn.XLOOKUP(BD_Receitas[[#This Row],[ID]],TabCondicoesComerciais[ID],TabCondicoesComerciais[Vol. 1ºGiro],0)</f>
        <v>100</v>
      </c>
      <c r="R2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6" s="1">
        <f xml:space="preserve"> IF(BD_Receitas[[#This Row],[TIPO DE COBRANÇA]]="Operação Normal",
_xlfn.XLOOKUP(BD_Receitas[[#This Row],[ID]],TabCondicoesComerciais[ID],TabCondicoesComerciais[Tarifa 2º Giro],0),0)</f>
        <v>0</v>
      </c>
      <c r="T2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7" spans="1:24" hidden="1" x14ac:dyDescent="0.35">
      <c r="A247" s="3" t="s">
        <v>25</v>
      </c>
      <c r="B247" s="11">
        <v>45778</v>
      </c>
      <c r="C247" t="s">
        <v>31</v>
      </c>
      <c r="D247" t="s">
        <v>202</v>
      </c>
      <c r="E247" t="s">
        <v>36</v>
      </c>
      <c r="F247" s="10" t="s">
        <v>48</v>
      </c>
      <c r="G247" s="3" t="s">
        <v>49</v>
      </c>
      <c r="H247" s="3" t="s">
        <v>116</v>
      </c>
      <c r="I247" s="3" t="s">
        <v>15</v>
      </c>
      <c r="J247" s="1">
        <v>0</v>
      </c>
      <c r="K247" s="12">
        <v>0</v>
      </c>
      <c r="L247" s="1"/>
      <c r="M247" s="12"/>
      <c r="N247"/>
      <c r="O247"/>
      <c r="P247" s="2">
        <f>IF(BD_Receitas[[#This Row],[TIPO DE COBRANÇA]]="Operação Normal",
_xlfn.XLOOKUP(BD_Receitas[[#This Row],[ID]],TabCondicoesComerciais[ID],TabCondicoesComerciais[Volume mínimo 
(m3)],0),"")</f>
        <v>300</v>
      </c>
      <c r="Q247" s="2">
        <f>_xlfn.XLOOKUP(BD_Receitas[[#This Row],[ID]],TabCondicoesComerciais[ID],TabCondicoesComerciais[Vol. 1ºGiro],0)</f>
        <v>100</v>
      </c>
      <c r="R2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247" s="1">
        <f xml:space="preserve"> IF(BD_Receitas[[#This Row],[TIPO DE COBRANÇA]]="Operação Normal",
_xlfn.XLOOKUP(BD_Receitas[[#This Row],[ID]],TabCondicoesComerciais[ID],TabCondicoesComerciais[Tarifa 2º Giro],0),0)</f>
        <v>30</v>
      </c>
      <c r="T24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2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48" spans="1:24" hidden="1" x14ac:dyDescent="0.35">
      <c r="A248" s="3" t="s">
        <v>25</v>
      </c>
      <c r="B248" s="11">
        <v>45778</v>
      </c>
      <c r="C248" t="s">
        <v>31</v>
      </c>
      <c r="D248" t="s">
        <v>202</v>
      </c>
      <c r="E248" t="s">
        <v>36</v>
      </c>
      <c r="F248" s="10" t="s">
        <v>48</v>
      </c>
      <c r="G248" s="3" t="s">
        <v>49</v>
      </c>
      <c r="H248" s="3" t="s">
        <v>116</v>
      </c>
      <c r="I248" s="3" t="s">
        <v>65</v>
      </c>
      <c r="J248" s="1">
        <v>0</v>
      </c>
      <c r="K248" s="12">
        <v>0</v>
      </c>
      <c r="L248" s="1"/>
      <c r="M248" s="12"/>
      <c r="N248"/>
      <c r="O248"/>
      <c r="P248" s="2" t="str">
        <f>IF(BD_Receitas[[#This Row],[TIPO DE COBRANÇA]]="Operação Normal",
_xlfn.XLOOKUP(BD_Receitas[[#This Row],[ID]],TabCondicoesComerciais[ID],TabCondicoesComerciais[Volume mínimo 
(m3)],0),"")</f>
        <v/>
      </c>
      <c r="Q248" s="2">
        <f>_xlfn.XLOOKUP(BD_Receitas[[#This Row],[ID]],TabCondicoesComerciais[ID],TabCondicoesComerciais[Vol. 1ºGiro],0)</f>
        <v>100</v>
      </c>
      <c r="R2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48" s="1">
        <f xml:space="preserve"> IF(BD_Receitas[[#This Row],[TIPO DE COBRANÇA]]="Operação Normal",
_xlfn.XLOOKUP(BD_Receitas[[#This Row],[ID]],TabCondicoesComerciais[ID],TabCondicoesComerciais[Tarifa 2º Giro],0),0)</f>
        <v>0</v>
      </c>
      <c r="T2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49" spans="1:24" hidden="1" x14ac:dyDescent="0.35">
      <c r="A249" s="3" t="s">
        <v>102</v>
      </c>
      <c r="B249" s="11">
        <v>45778</v>
      </c>
      <c r="C249" t="s">
        <v>31</v>
      </c>
      <c r="D249" t="s">
        <v>202</v>
      </c>
      <c r="E249" t="s">
        <v>36</v>
      </c>
      <c r="F249" s="10" t="s">
        <v>48</v>
      </c>
      <c r="G249" s="3" t="s">
        <v>49</v>
      </c>
      <c r="H249" s="3" t="s">
        <v>51</v>
      </c>
      <c r="I249" s="3" t="s">
        <v>7</v>
      </c>
      <c r="J249" s="1">
        <v>0</v>
      </c>
      <c r="K249" s="12">
        <v>0</v>
      </c>
      <c r="L249" s="1"/>
      <c r="M249" s="12"/>
      <c r="N249"/>
      <c r="O249"/>
      <c r="P249" s="2" t="str">
        <f>IF(BD_Receitas[[#This Row],[TIPO DE COBRANÇA]]="Operação Normal",
_xlfn.XLOOKUP(BD_Receitas[[#This Row],[ID]],TabCondicoesComerciais[ID],TabCondicoesComerciais[Volume mínimo 
(m3)],0),"")</f>
        <v/>
      </c>
      <c r="Q249" s="2">
        <f>_xlfn.XLOOKUP(BD_Receitas[[#This Row],[ID]],TabCondicoesComerciais[ID],TabCondicoesComerciais[Vol. 1ºGiro],0)</f>
        <v>750</v>
      </c>
      <c r="R2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249" s="1">
        <f xml:space="preserve"> IF(BD_Receitas[[#This Row],[TIPO DE COBRANÇA]]="Operação Normal",
_xlfn.XLOOKUP(BD_Receitas[[#This Row],[ID]],TabCondicoesComerciais[ID],TabCondicoesComerciais[Tarifa 2º Giro],0),0)</f>
        <v>0</v>
      </c>
      <c r="T2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0" spans="1:24" hidden="1" x14ac:dyDescent="0.35">
      <c r="A250" s="3" t="s">
        <v>102</v>
      </c>
      <c r="B250" s="11">
        <v>45778</v>
      </c>
      <c r="C250" t="s">
        <v>31</v>
      </c>
      <c r="D250" t="s">
        <v>202</v>
      </c>
      <c r="E250" t="s">
        <v>36</v>
      </c>
      <c r="F250" s="10" t="s">
        <v>48</v>
      </c>
      <c r="G250" s="3" t="s">
        <v>49</v>
      </c>
      <c r="H250" s="3" t="s">
        <v>51</v>
      </c>
      <c r="I250" s="3" t="s">
        <v>8</v>
      </c>
      <c r="J250" s="1">
        <v>0</v>
      </c>
      <c r="K250" s="12">
        <v>0</v>
      </c>
      <c r="L250" s="1"/>
      <c r="M250" s="12"/>
      <c r="N250"/>
      <c r="O250"/>
      <c r="P250" s="2" t="str">
        <f>IF(BD_Receitas[[#This Row],[TIPO DE COBRANÇA]]="Operação Normal",
_xlfn.XLOOKUP(BD_Receitas[[#This Row],[ID]],TabCondicoesComerciais[ID],TabCondicoesComerciais[Volume mínimo 
(m3)],0),"")</f>
        <v/>
      </c>
      <c r="Q250" s="2">
        <f>_xlfn.XLOOKUP(BD_Receitas[[#This Row],[ID]],TabCondicoesComerciais[ID],TabCondicoesComerciais[Vol. 1ºGiro],0)</f>
        <v>750</v>
      </c>
      <c r="R2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250" s="1">
        <f xml:space="preserve"> IF(BD_Receitas[[#This Row],[TIPO DE COBRANÇA]]="Operação Normal",
_xlfn.XLOOKUP(BD_Receitas[[#This Row],[ID]],TabCondicoesComerciais[ID],TabCondicoesComerciais[Tarifa 2º Giro],0),0)</f>
        <v>0</v>
      </c>
      <c r="T2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1" spans="1:24" hidden="1" x14ac:dyDescent="0.35">
      <c r="A251" s="3" t="s">
        <v>102</v>
      </c>
      <c r="B251" s="11">
        <v>45778</v>
      </c>
      <c r="C251" t="s">
        <v>31</v>
      </c>
      <c r="D251" t="s">
        <v>202</v>
      </c>
      <c r="E251" t="s">
        <v>36</v>
      </c>
      <c r="F251" s="10" t="s">
        <v>48</v>
      </c>
      <c r="G251" s="3" t="s">
        <v>49</v>
      </c>
      <c r="H251" s="3" t="s">
        <v>51</v>
      </c>
      <c r="I251" s="3" t="s">
        <v>15</v>
      </c>
      <c r="J251" s="1">
        <v>0</v>
      </c>
      <c r="K251" s="12">
        <v>0</v>
      </c>
      <c r="L251" s="1">
        <v>219054.05</v>
      </c>
      <c r="M251" s="12">
        <v>2584.5790000000002</v>
      </c>
      <c r="N251"/>
      <c r="O251" t="s">
        <v>204</v>
      </c>
      <c r="P251" s="2">
        <f>IF(BD_Receitas[[#This Row],[TIPO DE COBRANÇA]]="Operação Normal",
_xlfn.XLOOKUP(BD_Receitas[[#This Row],[ID]],TabCondicoesComerciais[ID],TabCondicoesComerciais[Volume mínimo 
(m3)],0),"")</f>
        <v>6500</v>
      </c>
      <c r="Q251" s="2">
        <f>_xlfn.XLOOKUP(BD_Receitas[[#This Row],[ID]],TabCondicoesComerciais[ID],TabCondicoesComerciais[Vol. 1ºGiro],0)</f>
        <v>750</v>
      </c>
      <c r="R2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251" s="1">
        <f xml:space="preserve"> IF(BD_Receitas[[#This Row],[TIPO DE COBRANÇA]]="Operação Normal",
_xlfn.XLOOKUP(BD_Receitas[[#This Row],[ID]],TabCondicoesComerciais[ID],TabCondicoesComerciais[Tarifa 2º Giro],0),0)</f>
        <v>32.42</v>
      </c>
      <c r="T251" s="5">
        <f>IFERROR(IF(BD_Receitas[[#This Row],[TIPO DE COBRANÇA]]&lt;&gt;"Operação Normal","",BD_Receitas[[#This Row],[Valor Total R$]]/ MAX(BD_Receitas[[#This Row],[Vol. Movimentado M³]],
BD_Receitas[[#This Row],[Volume Mínimo ]])
),0)</f>
        <v>33.700623076923073</v>
      </c>
      <c r="U2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84.754248177362726</v>
      </c>
      <c r="V2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2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83792.051180000009</v>
      </c>
      <c r="X2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52" spans="1:24" hidden="1" x14ac:dyDescent="0.35">
      <c r="A252" s="3" t="s">
        <v>102</v>
      </c>
      <c r="B252" s="11">
        <v>45778</v>
      </c>
      <c r="C252" t="s">
        <v>31</v>
      </c>
      <c r="D252" t="s">
        <v>202</v>
      </c>
      <c r="E252" t="s">
        <v>36</v>
      </c>
      <c r="F252" s="10" t="s">
        <v>48</v>
      </c>
      <c r="G252" s="3" t="s">
        <v>49</v>
      </c>
      <c r="H252" s="3" t="s">
        <v>51</v>
      </c>
      <c r="I252" s="3" t="s">
        <v>65</v>
      </c>
      <c r="J252" s="1">
        <v>0</v>
      </c>
      <c r="K252" s="12">
        <v>0</v>
      </c>
      <c r="L252" s="1"/>
      <c r="M252" s="12"/>
      <c r="N252"/>
      <c r="O252"/>
      <c r="P252" s="2" t="str">
        <f>IF(BD_Receitas[[#This Row],[TIPO DE COBRANÇA]]="Operação Normal",
_xlfn.XLOOKUP(BD_Receitas[[#This Row],[ID]],TabCondicoesComerciais[ID],TabCondicoesComerciais[Volume mínimo 
(m3)],0),"")</f>
        <v/>
      </c>
      <c r="Q252" s="2">
        <f>_xlfn.XLOOKUP(BD_Receitas[[#This Row],[ID]],TabCondicoesComerciais[ID],TabCondicoesComerciais[Vol. 1ºGiro],0)</f>
        <v>750</v>
      </c>
      <c r="R2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52" s="1">
        <f xml:space="preserve"> IF(BD_Receitas[[#This Row],[TIPO DE COBRANÇA]]="Operação Normal",
_xlfn.XLOOKUP(BD_Receitas[[#This Row],[ID]],TabCondicoesComerciais[ID],TabCondicoesComerciais[Tarifa 2º Giro],0),0)</f>
        <v>0</v>
      </c>
      <c r="T2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3" spans="1:24" hidden="1" x14ac:dyDescent="0.35">
      <c r="A253" s="3" t="s">
        <v>208</v>
      </c>
      <c r="B253" s="11">
        <v>45778</v>
      </c>
      <c r="C253" t="s">
        <v>31</v>
      </c>
      <c r="D253" t="s">
        <v>202</v>
      </c>
      <c r="E253" t="s">
        <v>35</v>
      </c>
      <c r="F253" s="10" t="s">
        <v>22</v>
      </c>
      <c r="G253" s="3" t="s">
        <v>11</v>
      </c>
      <c r="H253" s="3" t="s">
        <v>207</v>
      </c>
      <c r="I253" s="3" t="s">
        <v>7</v>
      </c>
      <c r="J253" s="1">
        <v>0</v>
      </c>
      <c r="K253" s="12">
        <v>0</v>
      </c>
      <c r="L253" s="1"/>
      <c r="M253" s="12"/>
      <c r="N253"/>
      <c r="O253"/>
      <c r="P253" s="2" t="str">
        <f>IF(BD_Receitas[[#This Row],[TIPO DE COBRANÇA]]="Operação Normal",
_xlfn.XLOOKUP(BD_Receitas[[#This Row],[ID]],TabCondicoesComerciais[ID],TabCondicoesComerciais[Volume mínimo 
(m3)],0),"")</f>
        <v/>
      </c>
      <c r="Q253" s="2">
        <f>_xlfn.XLOOKUP(BD_Receitas[[#This Row],[ID]],TabCondicoesComerciais[ID],TabCondicoesComerciais[Vol. 1ºGiro],0)</f>
        <v>625</v>
      </c>
      <c r="R2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253" s="1">
        <f xml:space="preserve"> IF(BD_Receitas[[#This Row],[TIPO DE COBRANÇA]]="Operação Normal",
_xlfn.XLOOKUP(BD_Receitas[[#This Row],[ID]],TabCondicoesComerciais[ID],TabCondicoesComerciais[Tarifa 2º Giro],0),0)</f>
        <v>0</v>
      </c>
      <c r="T2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4" spans="1:24" hidden="1" x14ac:dyDescent="0.35">
      <c r="A254" s="3" t="s">
        <v>208</v>
      </c>
      <c r="B254" s="11">
        <v>45778</v>
      </c>
      <c r="C254" t="s">
        <v>31</v>
      </c>
      <c r="D254" t="s">
        <v>202</v>
      </c>
      <c r="E254" t="s">
        <v>35</v>
      </c>
      <c r="F254" s="10" t="s">
        <v>22</v>
      </c>
      <c r="G254" s="3" t="s">
        <v>11</v>
      </c>
      <c r="H254" s="3" t="s">
        <v>207</v>
      </c>
      <c r="I254" s="3" t="s">
        <v>8</v>
      </c>
      <c r="J254" s="1">
        <v>0</v>
      </c>
      <c r="K254" s="12">
        <v>0</v>
      </c>
      <c r="L254" s="1"/>
      <c r="M254" s="12"/>
      <c r="N254"/>
      <c r="O254"/>
      <c r="P254" s="2" t="str">
        <f>IF(BD_Receitas[[#This Row],[TIPO DE COBRANÇA]]="Operação Normal",
_xlfn.XLOOKUP(BD_Receitas[[#This Row],[ID]],TabCondicoesComerciais[ID],TabCondicoesComerciais[Volume mínimo 
(m3)],0),"")</f>
        <v/>
      </c>
      <c r="Q254" s="2">
        <f>_xlfn.XLOOKUP(BD_Receitas[[#This Row],[ID]],TabCondicoesComerciais[ID],TabCondicoesComerciais[Vol. 1ºGiro],0)</f>
        <v>625</v>
      </c>
      <c r="R2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254" s="1">
        <f xml:space="preserve"> IF(BD_Receitas[[#This Row],[TIPO DE COBRANÇA]]="Operação Normal",
_xlfn.XLOOKUP(BD_Receitas[[#This Row],[ID]],TabCondicoesComerciais[ID],TabCondicoesComerciais[Tarifa 2º Giro],0),0)</f>
        <v>0</v>
      </c>
      <c r="T2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5" spans="1:24" hidden="1" x14ac:dyDescent="0.35">
      <c r="A255" s="3" t="s">
        <v>208</v>
      </c>
      <c r="B255" s="11">
        <v>45778</v>
      </c>
      <c r="C255" t="s">
        <v>31</v>
      </c>
      <c r="D255" t="s">
        <v>202</v>
      </c>
      <c r="E255" t="s">
        <v>35</v>
      </c>
      <c r="F255" s="10" t="s">
        <v>22</v>
      </c>
      <c r="G255" s="3" t="s">
        <v>11</v>
      </c>
      <c r="H255" s="3" t="s">
        <v>207</v>
      </c>
      <c r="I255" s="3" t="s">
        <v>15</v>
      </c>
      <c r="J255" s="1">
        <v>45394.74</v>
      </c>
      <c r="K255" s="12">
        <v>1875</v>
      </c>
      <c r="L255" s="1">
        <v>1923.6</v>
      </c>
      <c r="M255" s="12">
        <v>83.635000000000005</v>
      </c>
      <c r="N255" t="s">
        <v>206</v>
      </c>
      <c r="O255"/>
      <c r="P255" s="2">
        <f>IF(BD_Receitas[[#This Row],[TIPO DE COBRANÇA]]="Operação Normal",
_xlfn.XLOOKUP(BD_Receitas[[#This Row],[ID]],TabCondicoesComerciais[ID],TabCondicoesComerciais[Volume mínimo 
(m3)],0),"")</f>
        <v>1875</v>
      </c>
      <c r="Q255" s="2">
        <f>_xlfn.XLOOKUP(BD_Receitas[[#This Row],[ID]],TabCondicoesComerciais[ID],TabCondicoesComerciais[Vol. 1ºGiro],0)</f>
        <v>625</v>
      </c>
      <c r="R2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255" s="1">
        <f xml:space="preserve"> IF(BD_Receitas[[#This Row],[TIPO DE COBRANÇA]]="Operação Normal",
_xlfn.XLOOKUP(BD_Receitas[[#This Row],[ID]],TabCondicoesComerciais[ID],TabCondicoesComerciais[Tarifa 2º Giro],0),0)</f>
        <v>33</v>
      </c>
      <c r="T255" s="5">
        <f>IFERROR(IF(BD_Receitas[[#This Row],[TIPO DE COBRANÇA]]&lt;&gt;"Operação Normal","",BD_Receitas[[#This Row],[Valor Total R$]]/ MAX(BD_Receitas[[#This Row],[Vol. Movimentado M³]],
BD_Receitas[[#This Row],[Volume Mínimo ]])
),0)</f>
        <v>1.0259199999999999</v>
      </c>
      <c r="U2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22.999940216416569</v>
      </c>
      <c r="V2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2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2759.9550000000004</v>
      </c>
      <c r="X2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56" spans="1:24" hidden="1" x14ac:dyDescent="0.35">
      <c r="A256" s="3" t="s">
        <v>208</v>
      </c>
      <c r="B256" s="11">
        <v>45778</v>
      </c>
      <c r="C256" t="s">
        <v>31</v>
      </c>
      <c r="D256" t="s">
        <v>202</v>
      </c>
      <c r="E256" t="s">
        <v>35</v>
      </c>
      <c r="F256" s="10" t="s">
        <v>22</v>
      </c>
      <c r="G256" s="3" t="s">
        <v>11</v>
      </c>
      <c r="H256" s="3" t="s">
        <v>207</v>
      </c>
      <c r="I256" s="3" t="s">
        <v>65</v>
      </c>
      <c r="J256" s="1">
        <v>0</v>
      </c>
      <c r="K256" s="12">
        <v>0</v>
      </c>
      <c r="L256" s="1"/>
      <c r="M256" s="12"/>
      <c r="N256"/>
      <c r="O256"/>
      <c r="P256" s="2" t="str">
        <f>IF(BD_Receitas[[#This Row],[TIPO DE COBRANÇA]]="Operação Normal",
_xlfn.XLOOKUP(BD_Receitas[[#This Row],[ID]],TabCondicoesComerciais[ID],TabCondicoesComerciais[Volume mínimo 
(m3)],0),"")</f>
        <v/>
      </c>
      <c r="Q256" s="2">
        <f>_xlfn.XLOOKUP(BD_Receitas[[#This Row],[ID]],TabCondicoesComerciais[ID],TabCondicoesComerciais[Vol. 1ºGiro],0)</f>
        <v>625</v>
      </c>
      <c r="R2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56" s="1">
        <f xml:space="preserve"> IF(BD_Receitas[[#This Row],[TIPO DE COBRANÇA]]="Operação Normal",
_xlfn.XLOOKUP(BD_Receitas[[#This Row],[ID]],TabCondicoesComerciais[ID],TabCondicoesComerciais[Tarifa 2º Giro],0),0)</f>
        <v>0</v>
      </c>
      <c r="T2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7" spans="1:24" hidden="1" x14ac:dyDescent="0.35">
      <c r="A257" s="3" t="s">
        <v>190</v>
      </c>
      <c r="B257" s="11">
        <v>45778</v>
      </c>
      <c r="C257" t="s">
        <v>31</v>
      </c>
      <c r="D257" t="s">
        <v>202</v>
      </c>
      <c r="E257" t="s">
        <v>35</v>
      </c>
      <c r="F257" s="10" t="s">
        <v>22</v>
      </c>
      <c r="G257" s="3" t="s">
        <v>11</v>
      </c>
      <c r="H257" s="3" t="s">
        <v>116</v>
      </c>
      <c r="I257" s="3" t="s">
        <v>7</v>
      </c>
      <c r="J257" s="1">
        <v>0</v>
      </c>
      <c r="K257" s="12">
        <v>0</v>
      </c>
      <c r="L257" s="1"/>
      <c r="M257" s="12"/>
      <c r="N257"/>
      <c r="O257"/>
      <c r="P257" s="2" t="str">
        <f>IF(BD_Receitas[[#This Row],[TIPO DE COBRANÇA]]="Operação Normal",
_xlfn.XLOOKUP(BD_Receitas[[#This Row],[ID]],TabCondicoesComerciais[ID],TabCondicoesComerciais[Volume mínimo 
(m3)],0),"")</f>
        <v/>
      </c>
      <c r="Q257" s="2">
        <f>_xlfn.XLOOKUP(BD_Receitas[[#This Row],[ID]],TabCondicoesComerciais[ID],TabCondicoesComerciais[Vol. 1ºGiro],0)</f>
        <v>580</v>
      </c>
      <c r="R2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57" s="1">
        <f xml:space="preserve"> IF(BD_Receitas[[#This Row],[TIPO DE COBRANÇA]]="Operação Normal",
_xlfn.XLOOKUP(BD_Receitas[[#This Row],[ID]],TabCondicoesComerciais[ID],TabCondicoesComerciais[Tarifa 2º Giro],0),0)</f>
        <v>0</v>
      </c>
      <c r="T2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8" spans="1:24" hidden="1" x14ac:dyDescent="0.35">
      <c r="A258" s="3" t="s">
        <v>190</v>
      </c>
      <c r="B258" s="11">
        <v>45778</v>
      </c>
      <c r="C258" t="s">
        <v>31</v>
      </c>
      <c r="D258" t="s">
        <v>202</v>
      </c>
      <c r="E258" t="s">
        <v>35</v>
      </c>
      <c r="F258" s="10" t="s">
        <v>22</v>
      </c>
      <c r="G258" s="3" t="s">
        <v>11</v>
      </c>
      <c r="H258" s="3" t="s">
        <v>116</v>
      </c>
      <c r="I258" s="3" t="s">
        <v>8</v>
      </c>
      <c r="J258" s="1">
        <v>0</v>
      </c>
      <c r="K258" s="12">
        <v>0</v>
      </c>
      <c r="L258" s="1"/>
      <c r="M258" s="12"/>
      <c r="N258"/>
      <c r="O258"/>
      <c r="P258" s="2" t="str">
        <f>IF(BD_Receitas[[#This Row],[TIPO DE COBRANÇA]]="Operação Normal",
_xlfn.XLOOKUP(BD_Receitas[[#This Row],[ID]],TabCondicoesComerciais[ID],TabCondicoesComerciais[Volume mínimo 
(m3)],0),"")</f>
        <v/>
      </c>
      <c r="Q258" s="2">
        <f>_xlfn.XLOOKUP(BD_Receitas[[#This Row],[ID]],TabCondicoesComerciais[ID],TabCondicoesComerciais[Vol. 1ºGiro],0)</f>
        <v>580</v>
      </c>
      <c r="R2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58" s="1">
        <f xml:space="preserve"> IF(BD_Receitas[[#This Row],[TIPO DE COBRANÇA]]="Operação Normal",
_xlfn.XLOOKUP(BD_Receitas[[#This Row],[ID]],TabCondicoesComerciais[ID],TabCondicoesComerciais[Tarifa 2º Giro],0),0)</f>
        <v>0</v>
      </c>
      <c r="T2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59" spans="1:24" hidden="1" x14ac:dyDescent="0.35">
      <c r="A259" s="3" t="s">
        <v>190</v>
      </c>
      <c r="B259" s="11">
        <v>45778</v>
      </c>
      <c r="C259" t="s">
        <v>31</v>
      </c>
      <c r="D259" t="s">
        <v>202</v>
      </c>
      <c r="E259" t="s">
        <v>35</v>
      </c>
      <c r="F259" s="10" t="s">
        <v>22</v>
      </c>
      <c r="G259" s="3" t="s">
        <v>11</v>
      </c>
      <c r="H259" s="3" t="s">
        <v>116</v>
      </c>
      <c r="I259" s="3" t="s">
        <v>15</v>
      </c>
      <c r="J259" s="1">
        <v>0</v>
      </c>
      <c r="K259" s="12">
        <v>0</v>
      </c>
      <c r="L259" s="1"/>
      <c r="M259" s="12"/>
      <c r="N259"/>
      <c r="O259"/>
      <c r="P259" s="2">
        <f>IF(BD_Receitas[[#This Row],[TIPO DE COBRANÇA]]="Operação Normal",
_xlfn.XLOOKUP(BD_Receitas[[#This Row],[ID]],TabCondicoesComerciais[ID],TabCondicoesComerciais[Volume mínimo 
(m3)],0),"")</f>
        <v>2000</v>
      </c>
      <c r="Q259" s="2">
        <f>_xlfn.XLOOKUP(BD_Receitas[[#This Row],[ID]],TabCondicoesComerciais[ID],TabCondicoesComerciais[Vol. 1ºGiro],0)</f>
        <v>580</v>
      </c>
      <c r="R2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259" s="1">
        <f xml:space="preserve"> IF(BD_Receitas[[#This Row],[TIPO DE COBRANÇA]]="Operação Normal",
_xlfn.XLOOKUP(BD_Receitas[[#This Row],[ID]],TabCondicoesComerciais[ID],TabCondicoesComerciais[Tarifa 2º Giro],0),0)</f>
        <v>27</v>
      </c>
      <c r="T2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2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60" spans="1:24" hidden="1" x14ac:dyDescent="0.35">
      <c r="A260" s="3" t="s">
        <v>190</v>
      </c>
      <c r="B260" s="11">
        <v>45778</v>
      </c>
      <c r="C260" t="s">
        <v>31</v>
      </c>
      <c r="D260" t="s">
        <v>202</v>
      </c>
      <c r="E260" t="s">
        <v>35</v>
      </c>
      <c r="F260" s="10" t="s">
        <v>22</v>
      </c>
      <c r="G260" s="3" t="s">
        <v>11</v>
      </c>
      <c r="H260" s="3" t="s">
        <v>116</v>
      </c>
      <c r="I260" s="3" t="s">
        <v>65</v>
      </c>
      <c r="J260" s="1">
        <v>0</v>
      </c>
      <c r="K260" s="12">
        <v>0</v>
      </c>
      <c r="L260" s="1"/>
      <c r="M260" s="12"/>
      <c r="N260"/>
      <c r="O260"/>
      <c r="P260" s="2" t="str">
        <f>IF(BD_Receitas[[#This Row],[TIPO DE COBRANÇA]]="Operação Normal",
_xlfn.XLOOKUP(BD_Receitas[[#This Row],[ID]],TabCondicoesComerciais[ID],TabCondicoesComerciais[Volume mínimo 
(m3)],0),"")</f>
        <v/>
      </c>
      <c r="Q260" s="2">
        <f>_xlfn.XLOOKUP(BD_Receitas[[#This Row],[ID]],TabCondicoesComerciais[ID],TabCondicoesComerciais[Vol. 1ºGiro],0)</f>
        <v>580</v>
      </c>
      <c r="R2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60" s="1">
        <f xml:space="preserve"> IF(BD_Receitas[[#This Row],[TIPO DE COBRANÇA]]="Operação Normal",
_xlfn.XLOOKUP(BD_Receitas[[#This Row],[ID]],TabCondicoesComerciais[ID],TabCondicoesComerciais[Tarifa 2º Giro],0),0)</f>
        <v>0</v>
      </c>
      <c r="T2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1" spans="1:24" hidden="1" x14ac:dyDescent="0.35">
      <c r="A261" s="3" t="s">
        <v>172</v>
      </c>
      <c r="B261" s="11">
        <v>45778</v>
      </c>
      <c r="C261" t="s">
        <v>31</v>
      </c>
      <c r="D261" t="s">
        <v>202</v>
      </c>
      <c r="E261" t="s">
        <v>35</v>
      </c>
      <c r="F261" s="10" t="s">
        <v>22</v>
      </c>
      <c r="G261" s="3" t="s">
        <v>11</v>
      </c>
      <c r="H261" s="3" t="s">
        <v>13</v>
      </c>
      <c r="I261" s="3" t="s">
        <v>7</v>
      </c>
      <c r="J261" s="1">
        <v>0</v>
      </c>
      <c r="K261" s="12">
        <v>0</v>
      </c>
      <c r="L261" s="1"/>
      <c r="M261" s="12"/>
      <c r="N261"/>
      <c r="O261"/>
      <c r="P261" s="2" t="str">
        <f>IF(BD_Receitas[[#This Row],[TIPO DE COBRANÇA]]="Operação Normal",
_xlfn.XLOOKUP(BD_Receitas[[#This Row],[ID]],TabCondicoesComerciais[ID],TabCondicoesComerciais[Volume mínimo 
(m3)],0),"")</f>
        <v/>
      </c>
      <c r="Q261" s="2">
        <f>_xlfn.XLOOKUP(BD_Receitas[[#This Row],[ID]],TabCondicoesComerciais[ID],TabCondicoesComerciais[Vol. 1ºGiro],0)</f>
        <v>750</v>
      </c>
      <c r="R2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261" s="1">
        <f xml:space="preserve"> IF(BD_Receitas[[#This Row],[TIPO DE COBRANÇA]]="Operação Normal",
_xlfn.XLOOKUP(BD_Receitas[[#This Row],[ID]],TabCondicoesComerciais[ID],TabCondicoesComerciais[Tarifa 2º Giro],0),0)</f>
        <v>0</v>
      </c>
      <c r="T2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2" spans="1:24" hidden="1" x14ac:dyDescent="0.35">
      <c r="A262" s="3" t="s">
        <v>172</v>
      </c>
      <c r="B262" s="11">
        <v>45778</v>
      </c>
      <c r="C262" t="s">
        <v>31</v>
      </c>
      <c r="D262" t="s">
        <v>202</v>
      </c>
      <c r="E262" t="s">
        <v>35</v>
      </c>
      <c r="F262" s="10" t="s">
        <v>22</v>
      </c>
      <c r="G262" s="3" t="s">
        <v>11</v>
      </c>
      <c r="H262" s="3" t="s">
        <v>13</v>
      </c>
      <c r="I262" s="3" t="s">
        <v>8</v>
      </c>
      <c r="J262" s="1">
        <v>0</v>
      </c>
      <c r="K262" s="12">
        <v>0</v>
      </c>
      <c r="L262" s="1"/>
      <c r="M262" s="12"/>
      <c r="N262"/>
      <c r="O262"/>
      <c r="P262" s="2" t="str">
        <f>IF(BD_Receitas[[#This Row],[TIPO DE COBRANÇA]]="Operação Normal",
_xlfn.XLOOKUP(BD_Receitas[[#This Row],[ID]],TabCondicoesComerciais[ID],TabCondicoesComerciais[Volume mínimo 
(m3)],0),"")</f>
        <v/>
      </c>
      <c r="Q262" s="2">
        <f>_xlfn.XLOOKUP(BD_Receitas[[#This Row],[ID]],TabCondicoesComerciais[ID],TabCondicoesComerciais[Vol. 1ºGiro],0)</f>
        <v>750</v>
      </c>
      <c r="R2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262" s="1">
        <f xml:space="preserve"> IF(BD_Receitas[[#This Row],[TIPO DE COBRANÇA]]="Operação Normal",
_xlfn.XLOOKUP(BD_Receitas[[#This Row],[ID]],TabCondicoesComerciais[ID],TabCondicoesComerciais[Tarifa 2º Giro],0),0)</f>
        <v>0</v>
      </c>
      <c r="T2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3" spans="1:24" hidden="1" x14ac:dyDescent="0.35">
      <c r="A263" s="3" t="s">
        <v>172</v>
      </c>
      <c r="B263" s="11">
        <v>45778</v>
      </c>
      <c r="C263" t="s">
        <v>31</v>
      </c>
      <c r="D263" t="s">
        <v>202</v>
      </c>
      <c r="E263" t="s">
        <v>35</v>
      </c>
      <c r="F263" s="10" t="s">
        <v>22</v>
      </c>
      <c r="G263" s="3" t="s">
        <v>11</v>
      </c>
      <c r="H263" s="3" t="s">
        <v>13</v>
      </c>
      <c r="I263" s="3" t="s">
        <v>15</v>
      </c>
      <c r="J263" s="1">
        <v>0</v>
      </c>
      <c r="K263" s="12">
        <v>0</v>
      </c>
      <c r="L263" s="1"/>
      <c r="M263" s="12"/>
      <c r="N263"/>
      <c r="O263"/>
      <c r="P263" s="2">
        <f>IF(BD_Receitas[[#This Row],[TIPO DE COBRANÇA]]="Operação Normal",
_xlfn.XLOOKUP(BD_Receitas[[#This Row],[ID]],TabCondicoesComerciais[ID],TabCondicoesComerciais[Volume mínimo 
(m3)],0),"")</f>
        <v>0</v>
      </c>
      <c r="Q263" s="2">
        <f>_xlfn.XLOOKUP(BD_Receitas[[#This Row],[ID]],TabCondicoesComerciais[ID],TabCondicoesComerciais[Vol. 1ºGiro],0)</f>
        <v>750</v>
      </c>
      <c r="R2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263" s="1">
        <f xml:space="preserve"> IF(BD_Receitas[[#This Row],[TIPO DE COBRANÇA]]="Operação Normal",
_xlfn.XLOOKUP(BD_Receitas[[#This Row],[ID]],TabCondicoesComerciais[ID],TabCondicoesComerciais[Tarifa 2º Giro],0),0)</f>
        <v>22.2</v>
      </c>
      <c r="T26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2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264" spans="1:24" hidden="1" x14ac:dyDescent="0.35">
      <c r="A264" s="3" t="s">
        <v>172</v>
      </c>
      <c r="B264" s="11">
        <v>45778</v>
      </c>
      <c r="C264" t="s">
        <v>31</v>
      </c>
      <c r="D264" t="s">
        <v>202</v>
      </c>
      <c r="E264" t="s">
        <v>35</v>
      </c>
      <c r="F264" s="10" t="s">
        <v>22</v>
      </c>
      <c r="G264" s="3" t="s">
        <v>11</v>
      </c>
      <c r="H264" s="3" t="s">
        <v>13</v>
      </c>
      <c r="I264" s="3" t="s">
        <v>65</v>
      </c>
      <c r="J264" s="1">
        <v>0</v>
      </c>
      <c r="K264" s="12">
        <v>0</v>
      </c>
      <c r="L264" s="1"/>
      <c r="M264" s="12"/>
      <c r="N264"/>
      <c r="O264"/>
      <c r="P264" s="2" t="str">
        <f>IF(BD_Receitas[[#This Row],[TIPO DE COBRANÇA]]="Operação Normal",
_xlfn.XLOOKUP(BD_Receitas[[#This Row],[ID]],TabCondicoesComerciais[ID],TabCondicoesComerciais[Volume mínimo 
(m3)],0),"")</f>
        <v/>
      </c>
      <c r="Q264" s="2">
        <f>_xlfn.XLOOKUP(BD_Receitas[[#This Row],[ID]],TabCondicoesComerciais[ID],TabCondicoesComerciais[Vol. 1ºGiro],0)</f>
        <v>750</v>
      </c>
      <c r="R2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64" s="1">
        <f xml:space="preserve"> IF(BD_Receitas[[#This Row],[TIPO DE COBRANÇA]]="Operação Normal",
_xlfn.XLOOKUP(BD_Receitas[[#This Row],[ID]],TabCondicoesComerciais[ID],TabCondicoesComerciais[Tarifa 2º Giro],0),0)</f>
        <v>0</v>
      </c>
      <c r="T2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5" spans="1:24" hidden="1" x14ac:dyDescent="0.35">
      <c r="A265" s="3" t="s">
        <v>149</v>
      </c>
      <c r="B265" s="11">
        <v>45778</v>
      </c>
      <c r="C265" t="s">
        <v>31</v>
      </c>
      <c r="D265" t="s">
        <v>110</v>
      </c>
      <c r="E265" t="s">
        <v>117</v>
      </c>
      <c r="F265" s="10" t="s">
        <v>23</v>
      </c>
      <c r="G265" s="3" t="s">
        <v>112</v>
      </c>
      <c r="H265" s="3" t="s">
        <v>113</v>
      </c>
      <c r="I265" s="3" t="s">
        <v>7</v>
      </c>
      <c r="J265" s="1">
        <v>0</v>
      </c>
      <c r="K265" s="12">
        <v>0</v>
      </c>
      <c r="L265" s="1"/>
      <c r="M265" s="12"/>
      <c r="N265"/>
      <c r="O265"/>
      <c r="P265" s="2" t="str">
        <f>IF(BD_Receitas[[#This Row],[TIPO DE COBRANÇA]]="Operação Normal",
_xlfn.XLOOKUP(BD_Receitas[[#This Row],[ID]],TabCondicoesComerciais[ID],TabCondicoesComerciais[Volume mínimo 
(m3)],0),"")</f>
        <v/>
      </c>
      <c r="Q265" s="2">
        <f>_xlfn.XLOOKUP(BD_Receitas[[#This Row],[ID]],TabCondicoesComerciais[ID],TabCondicoesComerciais[Vol. 1ºGiro],0)</f>
        <v>750</v>
      </c>
      <c r="R2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65" s="1">
        <f xml:space="preserve"> IF(BD_Receitas[[#This Row],[TIPO DE COBRANÇA]]="Operação Normal",
_xlfn.XLOOKUP(BD_Receitas[[#This Row],[ID]],TabCondicoesComerciais[ID],TabCondicoesComerciais[Tarifa 2º Giro],0),0)</f>
        <v>0</v>
      </c>
      <c r="T2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6" spans="1:24" hidden="1" x14ac:dyDescent="0.35">
      <c r="A266" s="3" t="s">
        <v>149</v>
      </c>
      <c r="B266" s="11">
        <v>45778</v>
      </c>
      <c r="C266" t="s">
        <v>31</v>
      </c>
      <c r="D266" t="s">
        <v>110</v>
      </c>
      <c r="E266" t="s">
        <v>117</v>
      </c>
      <c r="F266" s="10" t="s">
        <v>23</v>
      </c>
      <c r="G266" s="3" t="s">
        <v>112</v>
      </c>
      <c r="H266" s="3" t="s">
        <v>113</v>
      </c>
      <c r="I266" s="3" t="s">
        <v>8</v>
      </c>
      <c r="J266" s="1">
        <v>0</v>
      </c>
      <c r="K266" s="12">
        <v>0</v>
      </c>
      <c r="L266" s="1"/>
      <c r="M266" s="12"/>
      <c r="N266"/>
      <c r="O266"/>
      <c r="P266" s="2" t="str">
        <f>IF(BD_Receitas[[#This Row],[TIPO DE COBRANÇA]]="Operação Normal",
_xlfn.XLOOKUP(BD_Receitas[[#This Row],[ID]],TabCondicoesComerciais[ID],TabCondicoesComerciais[Volume mínimo 
(m3)],0),"")</f>
        <v/>
      </c>
      <c r="Q266" s="2">
        <f>_xlfn.XLOOKUP(BD_Receitas[[#This Row],[ID]],TabCondicoesComerciais[ID],TabCondicoesComerciais[Vol. 1ºGiro],0)</f>
        <v>750</v>
      </c>
      <c r="R2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266" s="1">
        <f xml:space="preserve"> IF(BD_Receitas[[#This Row],[TIPO DE COBRANÇA]]="Operação Normal",
_xlfn.XLOOKUP(BD_Receitas[[#This Row],[ID]],TabCondicoesComerciais[ID],TabCondicoesComerciais[Tarifa 2º Giro],0),0)</f>
        <v>0</v>
      </c>
      <c r="T2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7" spans="1:24" hidden="1" x14ac:dyDescent="0.35">
      <c r="A267" s="3" t="s">
        <v>149</v>
      </c>
      <c r="B267" s="11">
        <v>45778</v>
      </c>
      <c r="C267" t="s">
        <v>31</v>
      </c>
      <c r="D267" t="s">
        <v>110</v>
      </c>
      <c r="E267" t="s">
        <v>117</v>
      </c>
      <c r="F267" s="10" t="s">
        <v>23</v>
      </c>
      <c r="G267" s="3" t="s">
        <v>112</v>
      </c>
      <c r="H267" s="3" t="s">
        <v>113</v>
      </c>
      <c r="I267" s="3" t="s">
        <v>15</v>
      </c>
      <c r="J267" s="1">
        <v>0</v>
      </c>
      <c r="K267" s="12">
        <v>0</v>
      </c>
      <c r="L267" s="1"/>
      <c r="M267" s="12"/>
      <c r="N267"/>
      <c r="O267"/>
      <c r="P267" s="2">
        <f>IF(BD_Receitas[[#This Row],[TIPO DE COBRANÇA]]="Operação Normal",
_xlfn.XLOOKUP(BD_Receitas[[#This Row],[ID]],TabCondicoesComerciais[ID],TabCondicoesComerciais[Volume mínimo 
(m3)],0),"")</f>
        <v>3000</v>
      </c>
      <c r="Q267" s="2">
        <f>_xlfn.XLOOKUP(BD_Receitas[[#This Row],[ID]],TabCondicoesComerciais[ID],TabCondicoesComerciais[Vol. 1ºGiro],0)</f>
        <v>750</v>
      </c>
      <c r="R2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267" s="1">
        <f xml:space="preserve"> IF(BD_Receitas[[#This Row],[TIPO DE COBRANÇA]]="Operação Normal",
_xlfn.XLOOKUP(BD_Receitas[[#This Row],[ID]],TabCondicoesComerciais[ID],TabCondicoesComerciais[Tarifa 2º Giro],0),0)</f>
        <v>19.5</v>
      </c>
      <c r="T26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2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2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2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2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68" spans="1:24" hidden="1" x14ac:dyDescent="0.35">
      <c r="A268" s="3" t="s">
        <v>149</v>
      </c>
      <c r="B268" s="11">
        <v>45778</v>
      </c>
      <c r="C268" t="s">
        <v>31</v>
      </c>
      <c r="D268" t="s">
        <v>110</v>
      </c>
      <c r="E268" t="s">
        <v>117</v>
      </c>
      <c r="F268" s="10" t="s">
        <v>23</v>
      </c>
      <c r="G268" s="3" t="s">
        <v>112</v>
      </c>
      <c r="H268" s="3" t="s">
        <v>113</v>
      </c>
      <c r="I268" s="3" t="s">
        <v>65</v>
      </c>
      <c r="J268" s="1">
        <v>0</v>
      </c>
      <c r="K268" s="12">
        <v>0</v>
      </c>
      <c r="L268" s="1"/>
      <c r="M268" s="12"/>
      <c r="N268"/>
      <c r="O268"/>
      <c r="P268" s="2" t="str">
        <f>IF(BD_Receitas[[#This Row],[TIPO DE COBRANÇA]]="Operação Normal",
_xlfn.XLOOKUP(BD_Receitas[[#This Row],[ID]],TabCondicoesComerciais[ID],TabCondicoesComerciais[Volume mínimo 
(m3)],0),"")</f>
        <v/>
      </c>
      <c r="Q268" s="2">
        <f>_xlfn.XLOOKUP(BD_Receitas[[#This Row],[ID]],TabCondicoesComerciais[ID],TabCondicoesComerciais[Vol. 1ºGiro],0)</f>
        <v>750</v>
      </c>
      <c r="R2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68" s="1">
        <f xml:space="preserve"> IF(BD_Receitas[[#This Row],[TIPO DE COBRANÇA]]="Operação Normal",
_xlfn.XLOOKUP(BD_Receitas[[#This Row],[ID]],TabCondicoesComerciais[ID],TabCondicoesComerciais[Tarifa 2º Giro],0),0)</f>
        <v>0</v>
      </c>
      <c r="T2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69" spans="1:24" hidden="1" x14ac:dyDescent="0.35">
      <c r="A269" s="3" t="s">
        <v>177</v>
      </c>
      <c r="B269" s="11">
        <v>45778</v>
      </c>
      <c r="C269" t="s">
        <v>31</v>
      </c>
      <c r="D269" t="s">
        <v>62</v>
      </c>
      <c r="E269" t="s">
        <v>33</v>
      </c>
      <c r="F269" s="10" t="s">
        <v>46</v>
      </c>
      <c r="G269" s="3" t="s">
        <v>87</v>
      </c>
      <c r="H269" s="3" t="s">
        <v>9</v>
      </c>
      <c r="I269" s="3" t="s">
        <v>7</v>
      </c>
      <c r="J269" s="1">
        <v>0</v>
      </c>
      <c r="K269" s="12">
        <v>0</v>
      </c>
      <c r="L269" s="1">
        <v>3166.35</v>
      </c>
      <c r="M269" s="12">
        <v>439.77100000000002</v>
      </c>
      <c r="N269" t="s">
        <v>195</v>
      </c>
      <c r="O269"/>
      <c r="P269" s="2" t="str">
        <f>IF(BD_Receitas[[#This Row],[TIPO DE COBRANÇA]]="Operação Normal",
_xlfn.XLOOKUP(BD_Receitas[[#This Row],[ID]],TabCondicoesComerciais[ID],TabCondicoesComerciais[Volume mínimo 
(m3)],0),"")</f>
        <v/>
      </c>
      <c r="Q269" s="2">
        <f>_xlfn.XLOOKUP(BD_Receitas[[#This Row],[ID]],TabCondicoesComerciais[ID],TabCondicoesComerciais[Vol. 1ºGiro],0)</f>
        <v>1070</v>
      </c>
      <c r="R2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269" s="1">
        <f xml:space="preserve"> IF(BD_Receitas[[#This Row],[TIPO DE COBRANÇA]]="Operação Normal",
_xlfn.XLOOKUP(BD_Receitas[[#This Row],[ID]],TabCondicoesComerciais[ID],TabCondicoesComerciais[Tarifa 2º Giro],0),0)</f>
        <v>0</v>
      </c>
      <c r="T2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0" spans="1:24" hidden="1" x14ac:dyDescent="0.35">
      <c r="A270" s="3" t="s">
        <v>177</v>
      </c>
      <c r="B270" s="11">
        <v>45778</v>
      </c>
      <c r="C270" t="s">
        <v>31</v>
      </c>
      <c r="D270" t="s">
        <v>62</v>
      </c>
      <c r="E270" t="s">
        <v>33</v>
      </c>
      <c r="F270" s="10" t="s">
        <v>46</v>
      </c>
      <c r="G270" s="3" t="s">
        <v>87</v>
      </c>
      <c r="H270" s="3" t="s">
        <v>9</v>
      </c>
      <c r="I270" s="3" t="s">
        <v>8</v>
      </c>
      <c r="J270" s="1">
        <v>0</v>
      </c>
      <c r="K270" s="12">
        <v>0</v>
      </c>
      <c r="L270" s="1">
        <v>931.53599999999994</v>
      </c>
      <c r="M270" s="12">
        <v>129.38</v>
      </c>
      <c r="N270" t="s">
        <v>195</v>
      </c>
      <c r="O270"/>
      <c r="P270" s="2" t="str">
        <f>IF(BD_Receitas[[#This Row],[TIPO DE COBRANÇA]]="Operação Normal",
_xlfn.XLOOKUP(BD_Receitas[[#This Row],[ID]],TabCondicoesComerciais[ID],TabCondicoesComerciais[Volume mínimo 
(m3)],0),"")</f>
        <v/>
      </c>
      <c r="Q270" s="2">
        <f>_xlfn.XLOOKUP(BD_Receitas[[#This Row],[ID]],TabCondicoesComerciais[ID],TabCondicoesComerciais[Vol. 1ºGiro],0)</f>
        <v>1070</v>
      </c>
      <c r="R2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270" s="1">
        <f xml:space="preserve"> IF(BD_Receitas[[#This Row],[TIPO DE COBRANÇA]]="Operação Normal",
_xlfn.XLOOKUP(BD_Receitas[[#This Row],[ID]],TabCondicoesComerciais[ID],TabCondicoesComerciais[Tarifa 2º Giro],0),0)</f>
        <v>0</v>
      </c>
      <c r="T2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1" spans="1:24" hidden="1" x14ac:dyDescent="0.35">
      <c r="A271" s="3" t="s">
        <v>177</v>
      </c>
      <c r="B271" s="11">
        <v>45778</v>
      </c>
      <c r="C271" t="s">
        <v>31</v>
      </c>
      <c r="D271" t="s">
        <v>62</v>
      </c>
      <c r="E271" t="s">
        <v>33</v>
      </c>
      <c r="F271" s="10" t="s">
        <v>46</v>
      </c>
      <c r="G271" s="3" t="s">
        <v>87</v>
      </c>
      <c r="H271" s="3" t="s">
        <v>9</v>
      </c>
      <c r="I271" s="3" t="s">
        <v>15</v>
      </c>
      <c r="J271" s="1">
        <v>65348.32</v>
      </c>
      <c r="K271" s="12">
        <v>1926</v>
      </c>
      <c r="L271" s="1">
        <v>57780</v>
      </c>
      <c r="M271" s="12">
        <v>1600.771</v>
      </c>
      <c r="N271" t="s">
        <v>195</v>
      </c>
      <c r="O271"/>
      <c r="P271" s="2">
        <f>IF(BD_Receitas[[#This Row],[TIPO DE COBRANÇA]]="Operação Normal",
_xlfn.XLOOKUP(BD_Receitas[[#This Row],[ID]],TabCondicoesComerciais[ID],TabCondicoesComerciais[Volume mínimo 
(m3)],0),"")</f>
        <v>3210</v>
      </c>
      <c r="Q271" s="2">
        <f>_xlfn.XLOOKUP(BD_Receitas[[#This Row],[ID]],TabCondicoesComerciais[ID],TabCondicoesComerciais[Vol. 1ºGiro],0)</f>
        <v>1070</v>
      </c>
      <c r="R2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271" s="1">
        <f xml:space="preserve"> IF(BD_Receitas[[#This Row],[TIPO DE COBRANÇA]]="Operação Normal",
_xlfn.XLOOKUP(BD_Receitas[[#This Row],[ID]],TabCondicoesComerciais[ID],TabCondicoesComerciais[Tarifa 2º Giro],0),0)</f>
        <v>32.64</v>
      </c>
      <c r="T271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2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42.193346830995814</v>
      </c>
      <c r="V2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2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52249.165439999997</v>
      </c>
      <c r="X2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72" spans="1:24" hidden="1" x14ac:dyDescent="0.35">
      <c r="A272" s="3" t="s">
        <v>177</v>
      </c>
      <c r="B272" s="11">
        <v>45778</v>
      </c>
      <c r="C272" t="s">
        <v>31</v>
      </c>
      <c r="D272" t="s">
        <v>62</v>
      </c>
      <c r="E272" t="s">
        <v>33</v>
      </c>
      <c r="F272" s="10" t="s">
        <v>46</v>
      </c>
      <c r="G272" s="3" t="s">
        <v>87</v>
      </c>
      <c r="H272" s="3" t="s">
        <v>9</v>
      </c>
      <c r="I272" s="3" t="s">
        <v>65</v>
      </c>
      <c r="J272" s="1">
        <v>0</v>
      </c>
      <c r="K272" s="12">
        <v>0</v>
      </c>
      <c r="L272" s="1">
        <v>5664</v>
      </c>
      <c r="M272" s="12">
        <v>0</v>
      </c>
      <c r="N272" t="s">
        <v>195</v>
      </c>
      <c r="O272"/>
      <c r="P272" s="2" t="str">
        <f>IF(BD_Receitas[[#This Row],[TIPO DE COBRANÇA]]="Operação Normal",
_xlfn.XLOOKUP(BD_Receitas[[#This Row],[ID]],TabCondicoesComerciais[ID],TabCondicoesComerciais[Volume mínimo 
(m3)],0),"")</f>
        <v/>
      </c>
      <c r="Q272" s="2">
        <f>_xlfn.XLOOKUP(BD_Receitas[[#This Row],[ID]],TabCondicoesComerciais[ID],TabCondicoesComerciais[Vol. 1ºGiro],0)</f>
        <v>1070</v>
      </c>
      <c r="R2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72" s="1">
        <f xml:space="preserve"> IF(BD_Receitas[[#This Row],[TIPO DE COBRANÇA]]="Operação Normal",
_xlfn.XLOOKUP(BD_Receitas[[#This Row],[ID]],TabCondicoesComerciais[ID],TabCondicoesComerciais[Tarifa 2º Giro],0),0)</f>
        <v>0</v>
      </c>
      <c r="T2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3" spans="1:24" hidden="1" x14ac:dyDescent="0.35">
      <c r="A273" s="3" t="s">
        <v>200</v>
      </c>
      <c r="B273" s="11">
        <v>45778</v>
      </c>
      <c r="C273" t="s">
        <v>31</v>
      </c>
      <c r="D273" t="s">
        <v>203</v>
      </c>
      <c r="E273" t="s">
        <v>32</v>
      </c>
      <c r="F273" s="10" t="s">
        <v>25</v>
      </c>
      <c r="G273" s="3" t="s">
        <v>12</v>
      </c>
      <c r="H273" s="3" t="s">
        <v>10</v>
      </c>
      <c r="I273" s="3" t="s">
        <v>7</v>
      </c>
      <c r="J273" s="1">
        <v>0</v>
      </c>
      <c r="K273" s="12">
        <v>0</v>
      </c>
      <c r="L273" s="1"/>
      <c r="M273" s="12"/>
      <c r="N273"/>
      <c r="O273"/>
      <c r="P273" s="2" t="str">
        <f>IF(BD_Receitas[[#This Row],[TIPO DE COBRANÇA]]="Operação Normal",
_xlfn.XLOOKUP(BD_Receitas[[#This Row],[ID]],TabCondicoesComerciais[ID],TabCondicoesComerciais[Volume mínimo 
(m3)],0),"")</f>
        <v/>
      </c>
      <c r="Q273" s="2">
        <f>_xlfn.XLOOKUP(BD_Receitas[[#This Row],[ID]],TabCondicoesComerciais[ID],TabCondicoesComerciais[Vol. 1ºGiro],0)</f>
        <v>2000</v>
      </c>
      <c r="R2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273" s="1">
        <f xml:space="preserve"> IF(BD_Receitas[[#This Row],[TIPO DE COBRANÇA]]="Operação Normal",
_xlfn.XLOOKUP(BD_Receitas[[#This Row],[ID]],TabCondicoesComerciais[ID],TabCondicoesComerciais[Tarifa 2º Giro],0),0)</f>
        <v>0</v>
      </c>
      <c r="T2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4" spans="1:24" hidden="1" x14ac:dyDescent="0.35">
      <c r="A274" s="3" t="s">
        <v>200</v>
      </c>
      <c r="B274" s="11">
        <v>45778</v>
      </c>
      <c r="C274" t="s">
        <v>31</v>
      </c>
      <c r="D274" t="s">
        <v>203</v>
      </c>
      <c r="E274" t="s">
        <v>32</v>
      </c>
      <c r="F274" s="10" t="s">
        <v>25</v>
      </c>
      <c r="G274" s="3" t="s">
        <v>12</v>
      </c>
      <c r="H274" s="3" t="s">
        <v>10</v>
      </c>
      <c r="I274" s="3" t="s">
        <v>8</v>
      </c>
      <c r="J274" s="1">
        <v>0</v>
      </c>
      <c r="K274" s="12">
        <v>0</v>
      </c>
      <c r="L274" s="1"/>
      <c r="M274" s="12"/>
      <c r="N274"/>
      <c r="O274"/>
      <c r="P274" s="2" t="str">
        <f>IF(BD_Receitas[[#This Row],[TIPO DE COBRANÇA]]="Operação Normal",
_xlfn.XLOOKUP(BD_Receitas[[#This Row],[ID]],TabCondicoesComerciais[ID],TabCondicoesComerciais[Volume mínimo 
(m3)],0),"")</f>
        <v/>
      </c>
      <c r="Q274" s="2">
        <f>_xlfn.XLOOKUP(BD_Receitas[[#This Row],[ID]],TabCondicoesComerciais[ID],TabCondicoesComerciais[Vol. 1ºGiro],0)</f>
        <v>2000</v>
      </c>
      <c r="R2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274" s="1">
        <f xml:space="preserve"> IF(BD_Receitas[[#This Row],[TIPO DE COBRANÇA]]="Operação Normal",
_xlfn.XLOOKUP(BD_Receitas[[#This Row],[ID]],TabCondicoesComerciais[ID],TabCondicoesComerciais[Tarifa 2º Giro],0),0)</f>
        <v>0</v>
      </c>
      <c r="T2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5" spans="1:24" hidden="1" x14ac:dyDescent="0.35">
      <c r="A275" s="3" t="s">
        <v>200</v>
      </c>
      <c r="B275" s="11">
        <v>45778</v>
      </c>
      <c r="C275" t="s">
        <v>31</v>
      </c>
      <c r="D275" t="s">
        <v>203</v>
      </c>
      <c r="E275" t="s">
        <v>32</v>
      </c>
      <c r="F275" s="10" t="s">
        <v>25</v>
      </c>
      <c r="G275" s="3" t="s">
        <v>12</v>
      </c>
      <c r="H275" s="3" t="s">
        <v>10</v>
      </c>
      <c r="I275" s="3" t="s">
        <v>15</v>
      </c>
      <c r="J275" s="1">
        <v>0</v>
      </c>
      <c r="K275" s="12">
        <v>0</v>
      </c>
      <c r="L275" s="1">
        <v>61819.519999999997</v>
      </c>
      <c r="M275" s="12">
        <v>3090.9760000000001</v>
      </c>
      <c r="N275" t="s">
        <v>127</v>
      </c>
      <c r="O275" t="s">
        <v>155</v>
      </c>
      <c r="P275" s="2">
        <f>IF(BD_Receitas[[#This Row],[TIPO DE COBRANÇA]]="Operação Normal",
_xlfn.XLOOKUP(BD_Receitas[[#This Row],[ID]],TabCondicoesComerciais[ID],TabCondicoesComerciais[Volume mínimo 
(m3)],0),"")</f>
        <v>8000</v>
      </c>
      <c r="Q275" s="2">
        <f>_xlfn.XLOOKUP(BD_Receitas[[#This Row],[ID]],TabCondicoesComerciais[ID],TabCondicoesComerciais[Vol. 1ºGiro],0)</f>
        <v>2000</v>
      </c>
      <c r="R2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275" s="1">
        <f xml:space="preserve"> IF(BD_Receitas[[#This Row],[TIPO DE COBRANÇA]]="Operação Normal",
_xlfn.XLOOKUP(BD_Receitas[[#This Row],[ID]],TabCondicoesComerciais[ID],TabCondicoesComerciais[Tarifa 2º Giro],0),0)</f>
        <v>20</v>
      </c>
      <c r="T275" s="5">
        <f>IFERROR(IF(BD_Receitas[[#This Row],[TIPO DE COBRANÇA]]&lt;&gt;"Operação Normal","",BD_Receitas[[#This Row],[Valor Total R$]]/ MAX(BD_Receitas[[#This Row],[Vol. Movimentado M³]],
BD_Receitas[[#This Row],[Volume Mínimo ]])
),0)</f>
        <v>7.7274399999999996</v>
      </c>
      <c r="U2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</v>
      </c>
      <c r="V2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2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61819.520000000004</v>
      </c>
      <c r="X2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76" spans="1:24" hidden="1" x14ac:dyDescent="0.35">
      <c r="A276" s="3" t="s">
        <v>200</v>
      </c>
      <c r="B276" s="11">
        <v>45778</v>
      </c>
      <c r="C276" t="s">
        <v>31</v>
      </c>
      <c r="D276" t="s">
        <v>203</v>
      </c>
      <c r="E276" t="s">
        <v>32</v>
      </c>
      <c r="F276" s="10" t="s">
        <v>25</v>
      </c>
      <c r="G276" s="3" t="s">
        <v>12</v>
      </c>
      <c r="H276" s="3" t="s">
        <v>10</v>
      </c>
      <c r="I276" s="3" t="s">
        <v>15</v>
      </c>
      <c r="J276" s="1">
        <v>0</v>
      </c>
      <c r="K276" s="12">
        <v>0</v>
      </c>
      <c r="L276" s="1">
        <v>61819.519999999997</v>
      </c>
      <c r="M276" s="12">
        <v>3090.9</v>
      </c>
      <c r="N276" t="s">
        <v>127</v>
      </c>
      <c r="O276" t="s">
        <v>155</v>
      </c>
      <c r="P276" s="2">
        <f>IF(BD_Receitas[[#This Row],[TIPO DE COBRANÇA]]="Operação Normal",
_xlfn.XLOOKUP(BD_Receitas[[#This Row],[ID]],TabCondicoesComerciais[ID],TabCondicoesComerciais[Volume mínimo 
(m3)],0),"")</f>
        <v>8000</v>
      </c>
      <c r="Q276" s="2">
        <f>_xlfn.XLOOKUP(BD_Receitas[[#This Row],[ID]],TabCondicoesComerciais[ID],TabCondicoesComerciais[Vol. 1ºGiro],0)</f>
        <v>2000</v>
      </c>
      <c r="R2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276" s="1">
        <f xml:space="preserve"> IF(BD_Receitas[[#This Row],[TIPO DE COBRANÇA]]="Operação Normal",
_xlfn.XLOOKUP(BD_Receitas[[#This Row],[ID]],TabCondicoesComerciais[ID],TabCondicoesComerciais[Tarifa 2º Giro],0),0)</f>
        <v>20</v>
      </c>
      <c r="T276" s="5">
        <f>IFERROR(IF(BD_Receitas[[#This Row],[TIPO DE COBRANÇA]]&lt;&gt;"Operação Normal","",BD_Receitas[[#This Row],[Valor Total R$]]/ MAX(BD_Receitas[[#This Row],[Vol. Movimentado M³]],
BD_Receitas[[#This Row],[Volume Mínimo ]])
),0)</f>
        <v>7.7274399999999996</v>
      </c>
      <c r="U27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60.001475298456761</v>
      </c>
      <c r="V27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27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61818</v>
      </c>
      <c r="X2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77" spans="1:24" hidden="1" x14ac:dyDescent="0.35">
      <c r="A277" s="3" t="s">
        <v>200</v>
      </c>
      <c r="B277" s="11">
        <v>45778</v>
      </c>
      <c r="C277" t="s">
        <v>31</v>
      </c>
      <c r="D277" t="s">
        <v>203</v>
      </c>
      <c r="E277" t="s">
        <v>32</v>
      </c>
      <c r="F277" s="10" t="s">
        <v>25</v>
      </c>
      <c r="G277" s="3" t="s">
        <v>12</v>
      </c>
      <c r="H277" s="3" t="s">
        <v>10</v>
      </c>
      <c r="I277" s="3" t="s">
        <v>15</v>
      </c>
      <c r="J277" s="1">
        <v>0</v>
      </c>
      <c r="K277" s="12">
        <v>0</v>
      </c>
      <c r="L277" s="1">
        <v>61819.519999999997</v>
      </c>
      <c r="M277" s="12">
        <v>3090.9</v>
      </c>
      <c r="N277" t="s">
        <v>127</v>
      </c>
      <c r="O277" t="s">
        <v>155</v>
      </c>
      <c r="P277" s="2">
        <f>IF(BD_Receitas[[#This Row],[TIPO DE COBRANÇA]]="Operação Normal",
_xlfn.XLOOKUP(BD_Receitas[[#This Row],[ID]],TabCondicoesComerciais[ID],TabCondicoesComerciais[Volume mínimo 
(m3)],0),"")</f>
        <v>8000</v>
      </c>
      <c r="Q277" s="2">
        <f>_xlfn.XLOOKUP(BD_Receitas[[#This Row],[ID]],TabCondicoesComerciais[ID],TabCondicoesComerciais[Vol. 1ºGiro],0)</f>
        <v>2000</v>
      </c>
      <c r="R2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277" s="1">
        <f xml:space="preserve"> IF(BD_Receitas[[#This Row],[TIPO DE COBRANÇA]]="Operação Normal",
_xlfn.XLOOKUP(BD_Receitas[[#This Row],[ID]],TabCondicoesComerciais[ID],TabCondicoesComerciais[Tarifa 2º Giro],0),0)</f>
        <v>20</v>
      </c>
      <c r="T277" s="5">
        <f>IFERROR(IF(BD_Receitas[[#This Row],[TIPO DE COBRANÇA]]&lt;&gt;"Operação Normal","",BD_Receitas[[#This Row],[Valor Total R$]]/ MAX(BD_Receitas[[#This Row],[Vol. Movimentado M³]],
BD_Receitas[[#This Row],[Volume Mínimo ]])
),0)</f>
        <v>7.7274399999999996</v>
      </c>
      <c r="U27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60.001475298456761</v>
      </c>
      <c r="V27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27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61818</v>
      </c>
      <c r="X2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78" spans="1:24" hidden="1" x14ac:dyDescent="0.35">
      <c r="A278" s="3" t="s">
        <v>200</v>
      </c>
      <c r="B278" s="11">
        <v>45778</v>
      </c>
      <c r="C278" t="s">
        <v>31</v>
      </c>
      <c r="D278" t="s">
        <v>203</v>
      </c>
      <c r="E278" t="s">
        <v>32</v>
      </c>
      <c r="F278" s="10" t="s">
        <v>25</v>
      </c>
      <c r="G278" s="3" t="s">
        <v>12</v>
      </c>
      <c r="H278" s="3" t="s">
        <v>10</v>
      </c>
      <c r="I278" s="3" t="s">
        <v>65</v>
      </c>
      <c r="J278" s="1">
        <v>0</v>
      </c>
      <c r="K278" s="12">
        <v>0</v>
      </c>
      <c r="L278" s="1"/>
      <c r="M278" s="12"/>
      <c r="N278"/>
      <c r="O278"/>
      <c r="P278" s="2" t="str">
        <f>IF(BD_Receitas[[#This Row],[TIPO DE COBRANÇA]]="Operação Normal",
_xlfn.XLOOKUP(BD_Receitas[[#This Row],[ID]],TabCondicoesComerciais[ID],TabCondicoesComerciais[Volume mínimo 
(m3)],0),"")</f>
        <v/>
      </c>
      <c r="Q278" s="2">
        <f>_xlfn.XLOOKUP(BD_Receitas[[#This Row],[ID]],TabCondicoesComerciais[ID],TabCondicoesComerciais[Vol. 1ºGiro],0)</f>
        <v>2000</v>
      </c>
      <c r="R2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78" s="1">
        <f xml:space="preserve"> IF(BD_Receitas[[#This Row],[TIPO DE COBRANÇA]]="Operação Normal",
_xlfn.XLOOKUP(BD_Receitas[[#This Row],[ID]],TabCondicoesComerciais[ID],TabCondicoesComerciais[Tarifa 2º Giro],0),0)</f>
        <v>0</v>
      </c>
      <c r="T2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79" spans="1:24" hidden="1" x14ac:dyDescent="0.35">
      <c r="A279" s="3" t="s">
        <v>264</v>
      </c>
      <c r="B279" s="11">
        <v>45778</v>
      </c>
      <c r="C279" t="s">
        <v>31</v>
      </c>
      <c r="D279" t="s">
        <v>203</v>
      </c>
      <c r="E279" t="s">
        <v>32</v>
      </c>
      <c r="F279" s="10" t="s">
        <v>25</v>
      </c>
      <c r="G279" s="3" t="s">
        <v>12</v>
      </c>
      <c r="H279" s="3" t="s">
        <v>9</v>
      </c>
      <c r="I279" s="3" t="s">
        <v>7</v>
      </c>
      <c r="J279" s="1">
        <v>0</v>
      </c>
      <c r="K279" s="12">
        <v>0</v>
      </c>
      <c r="L279" s="1">
        <v>1805.49</v>
      </c>
      <c r="M279" s="12">
        <v>200.6</v>
      </c>
      <c r="N279" t="s">
        <v>126</v>
      </c>
      <c r="O279" t="s">
        <v>129</v>
      </c>
      <c r="P279" s="2" t="str">
        <f>IF(BD_Receitas[[#This Row],[TIPO DE COBRANÇA]]="Operação Normal",
_xlfn.XLOOKUP(BD_Receitas[[#This Row],[ID]],TabCondicoesComerciais[ID],TabCondicoesComerciais[Volume mínimo 
(m3)],0),"")</f>
        <v/>
      </c>
      <c r="Q279" s="2">
        <f>_xlfn.XLOOKUP(BD_Receitas[[#This Row],[ID]],TabCondicoesComerciais[ID],TabCondicoesComerciais[Vol. 1ºGiro],0)</f>
        <v>1125</v>
      </c>
      <c r="R2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279" s="1">
        <f xml:space="preserve"> IF(BD_Receitas[[#This Row],[TIPO DE COBRANÇA]]="Operação Normal",
_xlfn.XLOOKUP(BD_Receitas[[#This Row],[ID]],TabCondicoesComerciais[ID],TabCondicoesComerciais[Tarifa 2º Giro],0),0)</f>
        <v>0</v>
      </c>
      <c r="T2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0" spans="1:24" hidden="1" x14ac:dyDescent="0.35">
      <c r="A280" s="3" t="s">
        <v>264</v>
      </c>
      <c r="B280" s="11">
        <v>45778</v>
      </c>
      <c r="C280" t="s">
        <v>31</v>
      </c>
      <c r="D280" t="s">
        <v>203</v>
      </c>
      <c r="E280" t="s">
        <v>32</v>
      </c>
      <c r="F280" s="10" t="s">
        <v>25</v>
      </c>
      <c r="G280" s="3" t="s">
        <v>12</v>
      </c>
      <c r="H280" s="3" t="s">
        <v>9</v>
      </c>
      <c r="I280" s="3" t="s">
        <v>7</v>
      </c>
      <c r="J280" s="1">
        <v>0</v>
      </c>
      <c r="K280" s="12">
        <v>0</v>
      </c>
      <c r="L280" s="1">
        <v>1805.49</v>
      </c>
      <c r="M280" s="12">
        <v>200.6</v>
      </c>
      <c r="N280" t="s">
        <v>126</v>
      </c>
      <c r="O280" t="s">
        <v>129</v>
      </c>
      <c r="P280" s="2" t="str">
        <f>IF(BD_Receitas[[#This Row],[TIPO DE COBRANÇA]]="Operação Normal",
_xlfn.XLOOKUP(BD_Receitas[[#This Row],[ID]],TabCondicoesComerciais[ID],TabCondicoesComerciais[Volume mínimo 
(m3)],0),"")</f>
        <v/>
      </c>
      <c r="Q280" s="2">
        <f>_xlfn.XLOOKUP(BD_Receitas[[#This Row],[ID]],TabCondicoesComerciais[ID],TabCondicoesComerciais[Vol. 1ºGiro],0)</f>
        <v>1125</v>
      </c>
      <c r="R2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280" s="1">
        <f xml:space="preserve"> IF(BD_Receitas[[#This Row],[TIPO DE COBRANÇA]]="Operação Normal",
_xlfn.XLOOKUP(BD_Receitas[[#This Row],[ID]],TabCondicoesComerciais[ID],TabCondicoesComerciais[Tarifa 2º Giro],0),0)</f>
        <v>0</v>
      </c>
      <c r="T2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1" spans="1:24" hidden="1" x14ac:dyDescent="0.35">
      <c r="A281" s="3" t="s">
        <v>264</v>
      </c>
      <c r="B281" s="11">
        <v>45778</v>
      </c>
      <c r="C281" t="s">
        <v>31</v>
      </c>
      <c r="D281" t="s">
        <v>203</v>
      </c>
      <c r="E281" t="s">
        <v>32</v>
      </c>
      <c r="F281" s="10" t="s">
        <v>25</v>
      </c>
      <c r="G281" s="3" t="s">
        <v>12</v>
      </c>
      <c r="H281" s="3" t="s">
        <v>9</v>
      </c>
      <c r="I281" s="3" t="s">
        <v>7</v>
      </c>
      <c r="J281" s="1">
        <v>0</v>
      </c>
      <c r="K281" s="12">
        <v>0</v>
      </c>
      <c r="L281" s="1">
        <v>1805.49</v>
      </c>
      <c r="M281" s="12">
        <v>200.6</v>
      </c>
      <c r="N281" t="s">
        <v>126</v>
      </c>
      <c r="O281" t="s">
        <v>129</v>
      </c>
      <c r="P281" s="2" t="str">
        <f>IF(BD_Receitas[[#This Row],[TIPO DE COBRANÇA]]="Operação Normal",
_xlfn.XLOOKUP(BD_Receitas[[#This Row],[ID]],TabCondicoesComerciais[ID],TabCondicoesComerciais[Volume mínimo 
(m3)],0),"")</f>
        <v/>
      </c>
      <c r="Q281" s="2">
        <f>_xlfn.XLOOKUP(BD_Receitas[[#This Row],[ID]],TabCondicoesComerciais[ID],TabCondicoesComerciais[Vol. 1ºGiro],0)</f>
        <v>1125</v>
      </c>
      <c r="R2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281" s="1">
        <f xml:space="preserve"> IF(BD_Receitas[[#This Row],[TIPO DE COBRANÇA]]="Operação Normal",
_xlfn.XLOOKUP(BD_Receitas[[#This Row],[ID]],TabCondicoesComerciais[ID],TabCondicoesComerciais[Tarifa 2º Giro],0),0)</f>
        <v>0</v>
      </c>
      <c r="T2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2" spans="1:24" hidden="1" x14ac:dyDescent="0.35">
      <c r="A282" s="3" t="s">
        <v>264</v>
      </c>
      <c r="B282" s="11">
        <v>45778</v>
      </c>
      <c r="C282" t="s">
        <v>31</v>
      </c>
      <c r="D282" t="s">
        <v>203</v>
      </c>
      <c r="E282" t="s">
        <v>32</v>
      </c>
      <c r="F282" s="10" t="s">
        <v>25</v>
      </c>
      <c r="G282" s="3" t="s">
        <v>12</v>
      </c>
      <c r="H282" s="3" t="s">
        <v>9</v>
      </c>
      <c r="I282" s="3" t="s">
        <v>8</v>
      </c>
      <c r="J282" s="1">
        <v>0</v>
      </c>
      <c r="K282" s="12">
        <v>0</v>
      </c>
      <c r="L282" s="1"/>
      <c r="M282" s="12"/>
      <c r="N282"/>
      <c r="O282"/>
      <c r="P282" s="2" t="str">
        <f>IF(BD_Receitas[[#This Row],[TIPO DE COBRANÇA]]="Operação Normal",
_xlfn.XLOOKUP(BD_Receitas[[#This Row],[ID]],TabCondicoesComerciais[ID],TabCondicoesComerciais[Volume mínimo 
(m3)],0),"")</f>
        <v/>
      </c>
      <c r="Q282" s="2">
        <f>_xlfn.XLOOKUP(BD_Receitas[[#This Row],[ID]],TabCondicoesComerciais[ID],TabCondicoesComerciais[Vol. 1ºGiro],0)</f>
        <v>1125</v>
      </c>
      <c r="R2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282" s="1">
        <f xml:space="preserve"> IF(BD_Receitas[[#This Row],[TIPO DE COBRANÇA]]="Operação Normal",
_xlfn.XLOOKUP(BD_Receitas[[#This Row],[ID]],TabCondicoesComerciais[ID],TabCondicoesComerciais[Tarifa 2º Giro],0),0)</f>
        <v>0</v>
      </c>
      <c r="T2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3" spans="1:24" hidden="1" x14ac:dyDescent="0.35">
      <c r="A283" s="3" t="s">
        <v>264</v>
      </c>
      <c r="B283" s="11">
        <v>45778</v>
      </c>
      <c r="C283" t="s">
        <v>31</v>
      </c>
      <c r="D283" t="s">
        <v>203</v>
      </c>
      <c r="E283" t="s">
        <v>32</v>
      </c>
      <c r="F283" s="10" t="s">
        <v>25</v>
      </c>
      <c r="G283" s="3" t="s">
        <v>12</v>
      </c>
      <c r="H283" s="3" t="s">
        <v>9</v>
      </c>
      <c r="I283" s="3" t="s">
        <v>15</v>
      </c>
      <c r="J283" s="1">
        <v>179058.61</v>
      </c>
      <c r="K283" s="12">
        <v>6100</v>
      </c>
      <c r="L283" s="1">
        <v>165859</v>
      </c>
      <c r="M283" s="12">
        <v>6100</v>
      </c>
      <c r="N283" t="s">
        <v>126</v>
      </c>
      <c r="O283" t="s">
        <v>155</v>
      </c>
      <c r="P283" s="2">
        <f>IF(BD_Receitas[[#This Row],[TIPO DE COBRANÇA]]="Operação Normal",
_xlfn.XLOOKUP(BD_Receitas[[#This Row],[ID]],TabCondicoesComerciais[ID],TabCondicoesComerciais[Volume mínimo 
(m3)],0),"")</f>
        <v>5625</v>
      </c>
      <c r="Q283" s="2">
        <f>_xlfn.XLOOKUP(BD_Receitas[[#This Row],[ID]],TabCondicoesComerciais[ID],TabCondicoesComerciais[Vol. 1ºGiro],0)</f>
        <v>1125</v>
      </c>
      <c r="R2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283" s="1">
        <f xml:space="preserve"> IF(BD_Receitas[[#This Row],[TIPO DE COBRANÇA]]="Operação Normal",
_xlfn.XLOOKUP(BD_Receitas[[#This Row],[ID]],TabCondicoesComerciais[ID],TabCondicoesComerciais[Tarifa 2º Giro],0),0)</f>
        <v>27.19</v>
      </c>
      <c r="T283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2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82.457945901639334</v>
      </c>
      <c r="V2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2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2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284" spans="1:24" hidden="1" x14ac:dyDescent="0.35">
      <c r="A284" s="3" t="s">
        <v>264</v>
      </c>
      <c r="B284" s="11">
        <v>45778</v>
      </c>
      <c r="C284" t="s">
        <v>31</v>
      </c>
      <c r="D284" t="s">
        <v>203</v>
      </c>
      <c r="E284" t="s">
        <v>32</v>
      </c>
      <c r="F284" s="10" t="s">
        <v>25</v>
      </c>
      <c r="G284" s="3" t="s">
        <v>12</v>
      </c>
      <c r="H284" s="3" t="s">
        <v>9</v>
      </c>
      <c r="I284" s="3" t="s">
        <v>15</v>
      </c>
      <c r="J284" s="1">
        <v>179058.61</v>
      </c>
      <c r="K284" s="12">
        <v>6100</v>
      </c>
      <c r="L284" s="1">
        <v>165859</v>
      </c>
      <c r="M284" s="12">
        <v>6100</v>
      </c>
      <c r="N284" t="s">
        <v>126</v>
      </c>
      <c r="O284" t="s">
        <v>155</v>
      </c>
      <c r="P284" s="2">
        <f>IF(BD_Receitas[[#This Row],[TIPO DE COBRANÇA]]="Operação Normal",
_xlfn.XLOOKUP(BD_Receitas[[#This Row],[ID]],TabCondicoesComerciais[ID],TabCondicoesComerciais[Volume mínimo 
(m3)],0),"")</f>
        <v>5625</v>
      </c>
      <c r="Q284" s="2">
        <f>_xlfn.XLOOKUP(BD_Receitas[[#This Row],[ID]],TabCondicoesComerciais[ID],TabCondicoesComerciais[Vol. 1ºGiro],0)</f>
        <v>1125</v>
      </c>
      <c r="R2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284" s="1">
        <f xml:space="preserve"> IF(BD_Receitas[[#This Row],[TIPO DE COBRANÇA]]="Operação Normal",
_xlfn.XLOOKUP(BD_Receitas[[#This Row],[ID]],TabCondicoesComerciais[ID],TabCondicoesComerciais[Tarifa 2º Giro],0),0)</f>
        <v>27.19</v>
      </c>
      <c r="T284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28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82.457945901639334</v>
      </c>
      <c r="V28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28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2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285" spans="1:24" hidden="1" x14ac:dyDescent="0.35">
      <c r="A285" s="3" t="s">
        <v>264</v>
      </c>
      <c r="B285" s="11">
        <v>45778</v>
      </c>
      <c r="C285" t="s">
        <v>31</v>
      </c>
      <c r="D285" t="s">
        <v>203</v>
      </c>
      <c r="E285" t="s">
        <v>32</v>
      </c>
      <c r="F285" s="10" t="s">
        <v>25</v>
      </c>
      <c r="G285" s="3" t="s">
        <v>12</v>
      </c>
      <c r="H285" s="3" t="s">
        <v>9</v>
      </c>
      <c r="I285" s="3" t="s">
        <v>15</v>
      </c>
      <c r="J285" s="1">
        <v>179058.61</v>
      </c>
      <c r="K285" s="12">
        <v>6100</v>
      </c>
      <c r="L285" s="1">
        <v>165859</v>
      </c>
      <c r="M285" s="12">
        <v>4124.2709999999997</v>
      </c>
      <c r="N285" t="s">
        <v>126</v>
      </c>
      <c r="O285" t="s">
        <v>155</v>
      </c>
      <c r="P285" s="2">
        <f>IF(BD_Receitas[[#This Row],[TIPO DE COBRANÇA]]="Operação Normal",
_xlfn.XLOOKUP(BD_Receitas[[#This Row],[ID]],TabCondicoesComerciais[ID],TabCondicoesComerciais[Volume mínimo 
(m3)],0),"")</f>
        <v>5625</v>
      </c>
      <c r="Q285" s="2">
        <f>_xlfn.XLOOKUP(BD_Receitas[[#This Row],[ID]],TabCondicoesComerciais[ID],TabCondicoesComerciais[Vol. 1ºGiro],0)</f>
        <v>1125</v>
      </c>
      <c r="R2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285" s="1">
        <f xml:space="preserve"> IF(BD_Receitas[[#This Row],[TIPO DE COBRANÇA]]="Operação Normal",
_xlfn.XLOOKUP(BD_Receitas[[#This Row],[ID]],TabCondicoesComerciais[ID],TabCondicoesComerciais[Tarifa 2º Giro],0),0)</f>
        <v>27.19</v>
      </c>
      <c r="T285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28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121.95936445495458</v>
      </c>
      <c r="V28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28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112138.92848999999</v>
      </c>
      <c r="X2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86" spans="1:24" hidden="1" x14ac:dyDescent="0.35">
      <c r="A286" s="3" t="s">
        <v>264</v>
      </c>
      <c r="B286" s="11">
        <v>45778</v>
      </c>
      <c r="C286" t="s">
        <v>31</v>
      </c>
      <c r="D286" t="s">
        <v>203</v>
      </c>
      <c r="E286" t="s">
        <v>32</v>
      </c>
      <c r="F286" s="10" t="s">
        <v>25</v>
      </c>
      <c r="G286" s="3" t="s">
        <v>12</v>
      </c>
      <c r="H286" s="3" t="s">
        <v>9</v>
      </c>
      <c r="I286" s="3" t="s">
        <v>65</v>
      </c>
      <c r="J286" s="1">
        <v>0</v>
      </c>
      <c r="K286" s="12">
        <v>0</v>
      </c>
      <c r="L286" s="1"/>
      <c r="M286" s="12"/>
      <c r="N286"/>
      <c r="O286"/>
      <c r="P286" s="2" t="str">
        <f>IF(BD_Receitas[[#This Row],[TIPO DE COBRANÇA]]="Operação Normal",
_xlfn.XLOOKUP(BD_Receitas[[#This Row],[ID]],TabCondicoesComerciais[ID],TabCondicoesComerciais[Volume mínimo 
(m3)],0),"")</f>
        <v/>
      </c>
      <c r="Q286" s="2">
        <f>_xlfn.XLOOKUP(BD_Receitas[[#This Row],[ID]],TabCondicoesComerciais[ID],TabCondicoesComerciais[Vol. 1ºGiro],0)</f>
        <v>1125</v>
      </c>
      <c r="R2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86" s="1">
        <f xml:space="preserve"> IF(BD_Receitas[[#This Row],[TIPO DE COBRANÇA]]="Operação Normal",
_xlfn.XLOOKUP(BD_Receitas[[#This Row],[ID]],TabCondicoesComerciais[ID],TabCondicoesComerciais[Tarifa 2º Giro],0),0)</f>
        <v>0</v>
      </c>
      <c r="T2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7" spans="1:24" hidden="1" x14ac:dyDescent="0.35">
      <c r="A287" s="3" t="s">
        <v>169</v>
      </c>
      <c r="B287" s="11">
        <v>45778</v>
      </c>
      <c r="C287" t="s">
        <v>31</v>
      </c>
      <c r="D287" t="s">
        <v>203</v>
      </c>
      <c r="E287" t="s">
        <v>32</v>
      </c>
      <c r="F287" s="10" t="s">
        <v>25</v>
      </c>
      <c r="G287" s="3" t="s">
        <v>12</v>
      </c>
      <c r="H287" s="3" t="s">
        <v>170</v>
      </c>
      <c r="I287" s="3" t="s">
        <v>7</v>
      </c>
      <c r="J287" s="1">
        <v>0</v>
      </c>
      <c r="K287" s="12">
        <v>0</v>
      </c>
      <c r="L287" s="1"/>
      <c r="M287" s="12"/>
      <c r="N287"/>
      <c r="O287"/>
      <c r="P287" s="2" t="str">
        <f>IF(BD_Receitas[[#This Row],[TIPO DE COBRANÇA]]="Operação Normal",
_xlfn.XLOOKUP(BD_Receitas[[#This Row],[ID]],TabCondicoesComerciais[ID],TabCondicoesComerciais[Volume mínimo 
(m3)],0),"")</f>
        <v/>
      </c>
      <c r="Q287" s="2">
        <f>_xlfn.XLOOKUP(BD_Receitas[[#This Row],[ID]],TabCondicoesComerciais[ID],TabCondicoesComerciais[Vol. 1ºGiro],0)</f>
        <v>1040</v>
      </c>
      <c r="R2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287" s="1">
        <f xml:space="preserve"> IF(BD_Receitas[[#This Row],[TIPO DE COBRANÇA]]="Operação Normal",
_xlfn.XLOOKUP(BD_Receitas[[#This Row],[ID]],TabCondicoesComerciais[ID],TabCondicoesComerciais[Tarifa 2º Giro],0),0)</f>
        <v>0</v>
      </c>
      <c r="T2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8" spans="1:24" hidden="1" x14ac:dyDescent="0.35">
      <c r="A288" s="3" t="s">
        <v>169</v>
      </c>
      <c r="B288" s="11">
        <v>45778</v>
      </c>
      <c r="C288" t="s">
        <v>31</v>
      </c>
      <c r="D288" t="s">
        <v>203</v>
      </c>
      <c r="E288" t="s">
        <v>32</v>
      </c>
      <c r="F288" s="10" t="s">
        <v>25</v>
      </c>
      <c r="G288" s="3" t="s">
        <v>12</v>
      </c>
      <c r="H288" s="3" t="s">
        <v>170</v>
      </c>
      <c r="I288" s="3" t="s">
        <v>8</v>
      </c>
      <c r="J288" s="1">
        <v>0</v>
      </c>
      <c r="K288" s="12">
        <v>0</v>
      </c>
      <c r="L288" s="1"/>
      <c r="M288" s="12"/>
      <c r="N288"/>
      <c r="O288"/>
      <c r="P288" s="2" t="str">
        <f>IF(BD_Receitas[[#This Row],[TIPO DE COBRANÇA]]="Operação Normal",
_xlfn.XLOOKUP(BD_Receitas[[#This Row],[ID]],TabCondicoesComerciais[ID],TabCondicoesComerciais[Volume mínimo 
(m3)],0),"")</f>
        <v/>
      </c>
      <c r="Q288" s="2">
        <f>_xlfn.XLOOKUP(BD_Receitas[[#This Row],[ID]],TabCondicoesComerciais[ID],TabCondicoesComerciais[Vol. 1ºGiro],0)</f>
        <v>1040</v>
      </c>
      <c r="R2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288" s="1">
        <f xml:space="preserve"> IF(BD_Receitas[[#This Row],[TIPO DE COBRANÇA]]="Operação Normal",
_xlfn.XLOOKUP(BD_Receitas[[#This Row],[ID]],TabCondicoesComerciais[ID],TabCondicoesComerciais[Tarifa 2º Giro],0),0)</f>
        <v>0</v>
      </c>
      <c r="T2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89" spans="1:24" hidden="1" x14ac:dyDescent="0.35">
      <c r="A289" s="3" t="s">
        <v>169</v>
      </c>
      <c r="B289" s="11">
        <v>45778</v>
      </c>
      <c r="C289" t="s">
        <v>31</v>
      </c>
      <c r="D289" t="s">
        <v>203</v>
      </c>
      <c r="E289" t="s">
        <v>32</v>
      </c>
      <c r="F289" s="10" t="s">
        <v>25</v>
      </c>
      <c r="G289" s="3" t="s">
        <v>12</v>
      </c>
      <c r="H289" s="3" t="s">
        <v>170</v>
      </c>
      <c r="I289" s="3" t="s">
        <v>15</v>
      </c>
      <c r="J289" s="1">
        <v>123240</v>
      </c>
      <c r="K289" s="12">
        <v>4160</v>
      </c>
      <c r="L289" s="1">
        <v>118310.39999999999</v>
      </c>
      <c r="M289" s="12">
        <v>580.70600000000002</v>
      </c>
      <c r="N289" t="s">
        <v>131</v>
      </c>
      <c r="O289" t="s">
        <v>155</v>
      </c>
      <c r="P289" s="2">
        <f>IF(BD_Receitas[[#This Row],[TIPO DE COBRANÇA]]="Operação Normal",
_xlfn.XLOOKUP(BD_Receitas[[#This Row],[ID]],TabCondicoesComerciais[ID],TabCondicoesComerciais[Volume mínimo 
(m3)],0),"")</f>
        <v>4160</v>
      </c>
      <c r="Q289" s="2">
        <f>_xlfn.XLOOKUP(BD_Receitas[[#This Row],[ID]],TabCondicoesComerciais[ID],TabCondicoesComerciais[Vol. 1ºGiro],0)</f>
        <v>1040</v>
      </c>
      <c r="R2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289" s="1">
        <f xml:space="preserve"> IF(BD_Receitas[[#This Row],[TIPO DE COBRANÇA]]="Operação Normal",
_xlfn.XLOOKUP(BD_Receitas[[#This Row],[ID]],TabCondicoesComerciais[ID],TabCondicoesComerciais[Tarifa 2º Giro],0),0)</f>
        <v>28.44</v>
      </c>
      <c r="T289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28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203.73545305197464</v>
      </c>
      <c r="V28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28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16515.27864</v>
      </c>
      <c r="X2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290" spans="1:24" hidden="1" x14ac:dyDescent="0.35">
      <c r="A290" s="3" t="s">
        <v>169</v>
      </c>
      <c r="B290" s="11">
        <v>45778</v>
      </c>
      <c r="C290" t="s">
        <v>31</v>
      </c>
      <c r="D290" t="s">
        <v>203</v>
      </c>
      <c r="E290" t="s">
        <v>32</v>
      </c>
      <c r="F290" s="10" t="s">
        <v>25</v>
      </c>
      <c r="G290" s="3" t="s">
        <v>12</v>
      </c>
      <c r="H290" s="3" t="s">
        <v>170</v>
      </c>
      <c r="I290" s="3" t="s">
        <v>65</v>
      </c>
      <c r="J290" s="1">
        <v>0</v>
      </c>
      <c r="K290" s="12">
        <v>0</v>
      </c>
      <c r="L290" s="1"/>
      <c r="M290" s="12"/>
      <c r="N290"/>
      <c r="O290"/>
      <c r="P290" s="2" t="str">
        <f>IF(BD_Receitas[[#This Row],[TIPO DE COBRANÇA]]="Operação Normal",
_xlfn.XLOOKUP(BD_Receitas[[#This Row],[ID]],TabCondicoesComerciais[ID],TabCondicoesComerciais[Volume mínimo 
(m3)],0),"")</f>
        <v/>
      </c>
      <c r="Q290" s="2">
        <f>_xlfn.XLOOKUP(BD_Receitas[[#This Row],[ID]],TabCondicoesComerciais[ID],TabCondicoesComerciais[Vol. 1ºGiro],0)</f>
        <v>1040</v>
      </c>
      <c r="R2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0" s="1">
        <f xml:space="preserve"> IF(BD_Receitas[[#This Row],[TIPO DE COBRANÇA]]="Operação Normal",
_xlfn.XLOOKUP(BD_Receitas[[#This Row],[ID]],TabCondicoesComerciais[ID],TabCondicoesComerciais[Tarifa 2º Giro],0),0)</f>
        <v>0</v>
      </c>
      <c r="T2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1" spans="1:24" hidden="1" x14ac:dyDescent="0.35">
      <c r="A291" s="3" t="s">
        <v>134</v>
      </c>
      <c r="B291" s="11">
        <v>45778</v>
      </c>
      <c r="C291" t="s">
        <v>31</v>
      </c>
      <c r="D291" t="s">
        <v>62</v>
      </c>
      <c r="E291" t="s">
        <v>37</v>
      </c>
      <c r="F291" s="10" t="s">
        <v>57</v>
      </c>
      <c r="G291" s="3" t="s">
        <v>58</v>
      </c>
      <c r="H291" s="3" t="s">
        <v>10</v>
      </c>
      <c r="I291" s="3" t="s">
        <v>7</v>
      </c>
      <c r="J291" s="1">
        <v>0</v>
      </c>
      <c r="K291" s="12">
        <v>0</v>
      </c>
      <c r="L291" s="1"/>
      <c r="M291" s="12"/>
      <c r="N291"/>
      <c r="O291"/>
      <c r="P291" s="2" t="str">
        <f>IF(BD_Receitas[[#This Row],[TIPO DE COBRANÇA]]="Operação Normal",
_xlfn.XLOOKUP(BD_Receitas[[#This Row],[ID]],TabCondicoesComerciais[ID],TabCondicoesComerciais[Volume mínimo 
(m3)],0),"")</f>
        <v/>
      </c>
      <c r="Q291" s="2">
        <f>_xlfn.XLOOKUP(BD_Receitas[[#This Row],[ID]],TabCondicoesComerciais[ID],TabCondicoesComerciais[Vol. 1ºGiro],0)</f>
        <v>310</v>
      </c>
      <c r="R2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1" s="1">
        <f xml:space="preserve"> IF(BD_Receitas[[#This Row],[TIPO DE COBRANÇA]]="Operação Normal",
_xlfn.XLOOKUP(BD_Receitas[[#This Row],[ID]],TabCondicoesComerciais[ID],TabCondicoesComerciais[Tarifa 2º Giro],0),0)</f>
        <v>0</v>
      </c>
      <c r="T29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2" spans="1:24" hidden="1" x14ac:dyDescent="0.35">
      <c r="A292" s="3" t="s">
        <v>134</v>
      </c>
      <c r="B292" s="11">
        <v>45778</v>
      </c>
      <c r="C292" t="s">
        <v>31</v>
      </c>
      <c r="D292" t="s">
        <v>62</v>
      </c>
      <c r="E292" t="s">
        <v>37</v>
      </c>
      <c r="F292" s="10" t="s">
        <v>57</v>
      </c>
      <c r="G292" s="3" t="s">
        <v>58</v>
      </c>
      <c r="H292" s="3" t="s">
        <v>10</v>
      </c>
      <c r="I292" s="3" t="s">
        <v>8</v>
      </c>
      <c r="J292" s="1">
        <v>0</v>
      </c>
      <c r="K292" s="12">
        <v>0</v>
      </c>
      <c r="L292" s="1"/>
      <c r="M292" s="12"/>
      <c r="N292"/>
      <c r="O292"/>
      <c r="P292" s="2" t="str">
        <f>IF(BD_Receitas[[#This Row],[TIPO DE COBRANÇA]]="Operação Normal",
_xlfn.XLOOKUP(BD_Receitas[[#This Row],[ID]],TabCondicoesComerciais[ID],TabCondicoesComerciais[Volume mínimo 
(m3)],0),"")</f>
        <v/>
      </c>
      <c r="Q292" s="2">
        <f>_xlfn.XLOOKUP(BD_Receitas[[#This Row],[ID]],TabCondicoesComerciais[ID],TabCondicoesComerciais[Vol. 1ºGiro],0)</f>
        <v>310</v>
      </c>
      <c r="R2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292" s="1">
        <f xml:space="preserve"> IF(BD_Receitas[[#This Row],[TIPO DE COBRANÇA]]="Operação Normal",
_xlfn.XLOOKUP(BD_Receitas[[#This Row],[ID]],TabCondicoesComerciais[ID],TabCondicoesComerciais[Tarifa 2º Giro],0),0)</f>
        <v>0</v>
      </c>
      <c r="T2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3" spans="1:24" hidden="1" x14ac:dyDescent="0.35">
      <c r="A293" s="3" t="s">
        <v>134</v>
      </c>
      <c r="B293" s="11">
        <v>45778</v>
      </c>
      <c r="C293" t="s">
        <v>31</v>
      </c>
      <c r="D293" t="s">
        <v>62</v>
      </c>
      <c r="E293" t="s">
        <v>37</v>
      </c>
      <c r="F293" s="10" t="s">
        <v>57</v>
      </c>
      <c r="G293" s="3" t="s">
        <v>58</v>
      </c>
      <c r="H293" s="3" t="s">
        <v>10</v>
      </c>
      <c r="I293" s="3" t="s">
        <v>15</v>
      </c>
      <c r="J293" s="1">
        <v>35019.49</v>
      </c>
      <c r="K293" s="12">
        <v>1100</v>
      </c>
      <c r="L293" s="1">
        <v>38307.74</v>
      </c>
      <c r="M293" s="12">
        <v>1234</v>
      </c>
      <c r="N293" t="s">
        <v>196</v>
      </c>
      <c r="O293"/>
      <c r="P293" s="2">
        <f>IF(BD_Receitas[[#This Row],[TIPO DE COBRANÇA]]="Operação Normal",
_xlfn.XLOOKUP(BD_Receitas[[#This Row],[ID]],TabCondicoesComerciais[ID],TabCondicoesComerciais[Volume mínimo 
(m3)],0),"")</f>
        <v>1100</v>
      </c>
      <c r="Q293" s="2">
        <f>_xlfn.XLOOKUP(BD_Receitas[[#This Row],[ID]],TabCondicoesComerciais[ID],TabCondicoesComerciais[Vol. 1ºGiro],0)</f>
        <v>310</v>
      </c>
      <c r="R2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293" s="1">
        <f xml:space="preserve"> IF(BD_Receitas[[#This Row],[TIPO DE COBRANÇA]]="Operação Normal",
_xlfn.XLOOKUP(BD_Receitas[[#This Row],[ID]],TabCondicoesComerciais[ID],TabCondicoesComerciais[Tarifa 2º Giro],0),0)</f>
        <v>31.04</v>
      </c>
      <c r="T293" s="5">
        <f>IFERROR(IF(BD_Receitas[[#This Row],[TIPO DE COBRANÇA]]&lt;&gt;"Operação Normal","",BD_Receitas[[#This Row],[Valor Total R$]]/ MAX(BD_Receitas[[#This Row],[Vol. Movimentado M³]],
BD_Receitas[[#This Row],[Volume Mínimo ]])
),0)</f>
        <v>31.043549432739059</v>
      </c>
      <c r="U29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31.043549432739059</v>
      </c>
      <c r="V29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29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38303.360000000001</v>
      </c>
      <c r="X2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94" spans="1:24" hidden="1" x14ac:dyDescent="0.35">
      <c r="A294" s="3" t="s">
        <v>134</v>
      </c>
      <c r="B294" s="11">
        <v>45778</v>
      </c>
      <c r="C294" t="s">
        <v>31</v>
      </c>
      <c r="D294" t="s">
        <v>62</v>
      </c>
      <c r="E294" t="s">
        <v>37</v>
      </c>
      <c r="F294" s="10" t="s">
        <v>57</v>
      </c>
      <c r="G294" s="3" t="s">
        <v>58</v>
      </c>
      <c r="H294" s="3" t="s">
        <v>10</v>
      </c>
      <c r="I294" s="3" t="s">
        <v>65</v>
      </c>
      <c r="J294" s="1">
        <v>0</v>
      </c>
      <c r="K294" s="12">
        <v>0</v>
      </c>
      <c r="L294" s="1"/>
      <c r="M294" s="12"/>
      <c r="N294"/>
      <c r="O294"/>
      <c r="P294" s="2" t="str">
        <f>IF(BD_Receitas[[#This Row],[TIPO DE COBRANÇA]]="Operação Normal",
_xlfn.XLOOKUP(BD_Receitas[[#This Row],[ID]],TabCondicoesComerciais[ID],TabCondicoesComerciais[Volume mínimo 
(m3)],0),"")</f>
        <v/>
      </c>
      <c r="Q294" s="2">
        <f>_xlfn.XLOOKUP(BD_Receitas[[#This Row],[ID]],TabCondicoesComerciais[ID],TabCondicoesComerciais[Vol. 1ºGiro],0)</f>
        <v>310</v>
      </c>
      <c r="R2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4" s="1">
        <f xml:space="preserve"> IF(BD_Receitas[[#This Row],[TIPO DE COBRANÇA]]="Operação Normal",
_xlfn.XLOOKUP(BD_Receitas[[#This Row],[ID]],TabCondicoesComerciais[ID],TabCondicoesComerciais[Tarifa 2º Giro],0),0)</f>
        <v>0</v>
      </c>
      <c r="T2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5" spans="1:24" hidden="1" x14ac:dyDescent="0.35">
      <c r="A295" s="3" t="s">
        <v>173</v>
      </c>
      <c r="B295" s="11">
        <v>45778</v>
      </c>
      <c r="C295" t="s">
        <v>31</v>
      </c>
      <c r="D295" t="s">
        <v>62</v>
      </c>
      <c r="E295" t="s">
        <v>37</v>
      </c>
      <c r="F295" s="10" t="s">
        <v>57</v>
      </c>
      <c r="G295" s="3" t="s">
        <v>58</v>
      </c>
      <c r="H295" s="3" t="s">
        <v>6</v>
      </c>
      <c r="I295" s="3" t="s">
        <v>7</v>
      </c>
      <c r="J295" s="1">
        <v>0</v>
      </c>
      <c r="K295" s="12">
        <v>0</v>
      </c>
      <c r="L295" s="1"/>
      <c r="M295" s="12"/>
      <c r="N295"/>
      <c r="O295"/>
      <c r="P295" s="2" t="str">
        <f>IF(BD_Receitas[[#This Row],[TIPO DE COBRANÇA]]="Operação Normal",
_xlfn.XLOOKUP(BD_Receitas[[#This Row],[ID]],TabCondicoesComerciais[ID],TabCondicoesComerciais[Volume mínimo 
(m3)],0),"")</f>
        <v/>
      </c>
      <c r="Q295" s="2">
        <f>_xlfn.XLOOKUP(BD_Receitas[[#This Row],[ID]],TabCondicoesComerciais[ID],TabCondicoesComerciais[Vol. 1ºGiro],0)</f>
        <v>1070</v>
      </c>
      <c r="R2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5" s="1">
        <f xml:space="preserve"> IF(BD_Receitas[[#This Row],[TIPO DE COBRANÇA]]="Operação Normal",
_xlfn.XLOOKUP(BD_Receitas[[#This Row],[ID]],TabCondicoesComerciais[ID],TabCondicoesComerciais[Tarifa 2º Giro],0),0)</f>
        <v>0</v>
      </c>
      <c r="T29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6" spans="1:24" hidden="1" x14ac:dyDescent="0.35">
      <c r="A296" s="3" t="s">
        <v>173</v>
      </c>
      <c r="B296" s="11">
        <v>45778</v>
      </c>
      <c r="C296" t="s">
        <v>31</v>
      </c>
      <c r="D296" t="s">
        <v>62</v>
      </c>
      <c r="E296" t="s">
        <v>37</v>
      </c>
      <c r="F296" s="10" t="s">
        <v>57</v>
      </c>
      <c r="G296" s="3" t="s">
        <v>58</v>
      </c>
      <c r="H296" s="3" t="s">
        <v>6</v>
      </c>
      <c r="I296" s="3" t="s">
        <v>8</v>
      </c>
      <c r="J296" s="1">
        <v>0</v>
      </c>
      <c r="K296" s="12">
        <v>0</v>
      </c>
      <c r="L296" s="1"/>
      <c r="M296" s="12"/>
      <c r="N296"/>
      <c r="O296"/>
      <c r="P296" s="2" t="str">
        <f>IF(BD_Receitas[[#This Row],[TIPO DE COBRANÇA]]="Operação Normal",
_xlfn.XLOOKUP(BD_Receitas[[#This Row],[ID]],TabCondicoesComerciais[ID],TabCondicoesComerciais[Volume mínimo 
(m3)],0),"")</f>
        <v/>
      </c>
      <c r="Q296" s="2">
        <f>_xlfn.XLOOKUP(BD_Receitas[[#This Row],[ID]],TabCondicoesComerciais[ID],TabCondicoesComerciais[Vol. 1ºGiro],0)</f>
        <v>1070</v>
      </c>
      <c r="R2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6" s="1">
        <f xml:space="preserve"> IF(BD_Receitas[[#This Row],[TIPO DE COBRANÇA]]="Operação Normal",
_xlfn.XLOOKUP(BD_Receitas[[#This Row],[ID]],TabCondicoesComerciais[ID],TabCondicoesComerciais[Tarifa 2º Giro],0),0)</f>
        <v>0</v>
      </c>
      <c r="T2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7" spans="1:24" hidden="1" x14ac:dyDescent="0.35">
      <c r="A297" s="3" t="s">
        <v>173</v>
      </c>
      <c r="B297" s="11">
        <v>45778</v>
      </c>
      <c r="C297" t="s">
        <v>31</v>
      </c>
      <c r="D297" t="s">
        <v>62</v>
      </c>
      <c r="E297" t="s">
        <v>37</v>
      </c>
      <c r="F297" s="10" t="s">
        <v>57</v>
      </c>
      <c r="G297" s="3" t="s">
        <v>58</v>
      </c>
      <c r="H297" s="3" t="s">
        <v>6</v>
      </c>
      <c r="I297" s="3" t="s">
        <v>15</v>
      </c>
      <c r="J297" s="1">
        <v>82153.039999999994</v>
      </c>
      <c r="K297" s="12">
        <v>3300</v>
      </c>
      <c r="L297" s="1">
        <v>136331.17000000001</v>
      </c>
      <c r="M297" s="12">
        <v>5821</v>
      </c>
      <c r="N297" t="s">
        <v>197</v>
      </c>
      <c r="O297"/>
      <c r="P297" s="2">
        <f>IF(BD_Receitas[[#This Row],[TIPO DE COBRANÇA]]="Operação Normal",
_xlfn.XLOOKUP(BD_Receitas[[#This Row],[ID]],TabCondicoesComerciais[ID],TabCondicoesComerciais[Volume mínimo 
(m3)],0),"")</f>
        <v>3300</v>
      </c>
      <c r="Q297" s="2">
        <f>_xlfn.XLOOKUP(BD_Receitas[[#This Row],[ID]],TabCondicoesComerciais[ID],TabCondicoesComerciais[Vol. 1ºGiro],0)</f>
        <v>1070</v>
      </c>
      <c r="R2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297" s="1">
        <f xml:space="preserve"> IF(BD_Receitas[[#This Row],[TIPO DE COBRANÇA]]="Operação Normal",
_xlfn.XLOOKUP(BD_Receitas[[#This Row],[ID]],TabCondicoesComerciais[ID],TabCondicoesComerciais[Tarifa 2º Giro],0),0)</f>
        <v>23.42</v>
      </c>
      <c r="T297" s="5">
        <f>IFERROR(IF(BD_Receitas[[#This Row],[TIPO DE COBRANÇA]]&lt;&gt;"Operação Normal","",BD_Receitas[[#This Row],[Valor Total R$]]/ MAX(BD_Receitas[[#This Row],[Vol. Movimentado M³]],
BD_Receitas[[#This Row],[Volume Mínimo ]])
),0)</f>
        <v>23.420575502490983</v>
      </c>
      <c r="U29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23.420575502490983</v>
      </c>
      <c r="V29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29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136327.82</v>
      </c>
      <c r="X2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298" spans="1:24" hidden="1" x14ac:dyDescent="0.35">
      <c r="A298" s="3" t="s">
        <v>173</v>
      </c>
      <c r="B298" s="11">
        <v>45778</v>
      </c>
      <c r="C298" t="s">
        <v>31</v>
      </c>
      <c r="D298" t="s">
        <v>62</v>
      </c>
      <c r="E298" t="s">
        <v>37</v>
      </c>
      <c r="F298" s="10" t="s">
        <v>57</v>
      </c>
      <c r="G298" s="3" t="s">
        <v>58</v>
      </c>
      <c r="H298" s="3" t="s">
        <v>6</v>
      </c>
      <c r="I298" s="3" t="s">
        <v>65</v>
      </c>
      <c r="J298" s="1">
        <v>0</v>
      </c>
      <c r="K298" s="12">
        <v>0</v>
      </c>
      <c r="L298" s="1"/>
      <c r="M298" s="12"/>
      <c r="N298"/>
      <c r="O298"/>
      <c r="P298" s="2" t="str">
        <f>IF(BD_Receitas[[#This Row],[TIPO DE COBRANÇA]]="Operação Normal",
_xlfn.XLOOKUP(BD_Receitas[[#This Row],[ID]],TabCondicoesComerciais[ID],TabCondicoesComerciais[Volume mínimo 
(m3)],0),"")</f>
        <v/>
      </c>
      <c r="Q298" s="2">
        <f>_xlfn.XLOOKUP(BD_Receitas[[#This Row],[ID]],TabCondicoesComerciais[ID],TabCondicoesComerciais[Vol. 1ºGiro],0)</f>
        <v>1070</v>
      </c>
      <c r="R2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8" s="1">
        <f xml:space="preserve"> IF(BD_Receitas[[#This Row],[TIPO DE COBRANÇA]]="Operação Normal",
_xlfn.XLOOKUP(BD_Receitas[[#This Row],[ID]],TabCondicoesComerciais[ID],TabCondicoesComerciais[Tarifa 2º Giro],0),0)</f>
        <v>0</v>
      </c>
      <c r="T2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299" spans="1:24" hidden="1" x14ac:dyDescent="0.35">
      <c r="A299" s="3" t="s">
        <v>184</v>
      </c>
      <c r="B299" s="11">
        <v>45778</v>
      </c>
      <c r="C299" t="s">
        <v>31</v>
      </c>
      <c r="D299" t="s">
        <v>203</v>
      </c>
      <c r="E299" t="s">
        <v>34</v>
      </c>
      <c r="F299" s="10" t="s">
        <v>26</v>
      </c>
      <c r="G299" s="3" t="s">
        <v>19</v>
      </c>
      <c r="H299" s="3" t="s">
        <v>13</v>
      </c>
      <c r="I299" s="3" t="s">
        <v>7</v>
      </c>
      <c r="J299" s="1">
        <v>0</v>
      </c>
      <c r="K299" s="12">
        <v>0</v>
      </c>
      <c r="L299" s="1"/>
      <c r="M299" s="12"/>
      <c r="N299"/>
      <c r="O299"/>
      <c r="P299" s="2" t="str">
        <f>IF(BD_Receitas[[#This Row],[TIPO DE COBRANÇA]]="Operação Normal",
_xlfn.XLOOKUP(BD_Receitas[[#This Row],[ID]],TabCondicoesComerciais[ID],TabCondicoesComerciais[Volume mínimo 
(m3)],0),"")</f>
        <v/>
      </c>
      <c r="Q299" s="2">
        <f>_xlfn.XLOOKUP(BD_Receitas[[#This Row],[ID]],TabCondicoesComerciais[ID],TabCondicoesComerciais[Vol. 1ºGiro],0)</f>
        <v>340</v>
      </c>
      <c r="R2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299" s="1">
        <f xml:space="preserve"> IF(BD_Receitas[[#This Row],[TIPO DE COBRANÇA]]="Operação Normal",
_xlfn.XLOOKUP(BD_Receitas[[#This Row],[ID]],TabCondicoesComerciais[ID],TabCondicoesComerciais[Tarifa 2º Giro],0),0)</f>
        <v>0</v>
      </c>
      <c r="T29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29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29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29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2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0" spans="1:24" hidden="1" x14ac:dyDescent="0.35">
      <c r="A300" s="3" t="s">
        <v>184</v>
      </c>
      <c r="B300" s="11">
        <v>45778</v>
      </c>
      <c r="C300" t="s">
        <v>31</v>
      </c>
      <c r="D300" t="s">
        <v>203</v>
      </c>
      <c r="E300" t="s">
        <v>34</v>
      </c>
      <c r="F300" s="10" t="s">
        <v>26</v>
      </c>
      <c r="G300" s="3" t="s">
        <v>19</v>
      </c>
      <c r="H300" s="3" t="s">
        <v>13</v>
      </c>
      <c r="I300" s="3" t="s">
        <v>8</v>
      </c>
      <c r="J300" s="1">
        <v>0</v>
      </c>
      <c r="K300" s="12">
        <v>0</v>
      </c>
      <c r="L300" s="1"/>
      <c r="M300" s="12"/>
      <c r="N300"/>
      <c r="O300"/>
      <c r="P300" s="2" t="str">
        <f>IF(BD_Receitas[[#This Row],[TIPO DE COBRANÇA]]="Operação Normal",
_xlfn.XLOOKUP(BD_Receitas[[#This Row],[ID]],TabCondicoesComerciais[ID],TabCondicoesComerciais[Volume mínimo 
(m3)],0),"")</f>
        <v/>
      </c>
      <c r="Q300" s="2">
        <f>_xlfn.XLOOKUP(BD_Receitas[[#This Row],[ID]],TabCondicoesComerciais[ID],TabCondicoesComerciais[Vol. 1ºGiro],0)</f>
        <v>340</v>
      </c>
      <c r="R3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300" s="1">
        <f xml:space="preserve"> IF(BD_Receitas[[#This Row],[TIPO DE COBRANÇA]]="Operação Normal",
_xlfn.XLOOKUP(BD_Receitas[[#This Row],[ID]],TabCondicoesComerciais[ID],TabCondicoesComerciais[Tarifa 2º Giro],0),0)</f>
        <v>0</v>
      </c>
      <c r="T3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1" spans="1:24" hidden="1" x14ac:dyDescent="0.35">
      <c r="A301" s="3" t="s">
        <v>184</v>
      </c>
      <c r="B301" s="11">
        <v>45778</v>
      </c>
      <c r="C301" t="s">
        <v>31</v>
      </c>
      <c r="D301" t="s">
        <v>203</v>
      </c>
      <c r="E301" t="s">
        <v>34</v>
      </c>
      <c r="F301" s="10" t="s">
        <v>26</v>
      </c>
      <c r="G301" s="3" t="s">
        <v>19</v>
      </c>
      <c r="H301" s="3" t="s">
        <v>13</v>
      </c>
      <c r="I301" s="3" t="s">
        <v>15</v>
      </c>
      <c r="J301" s="1">
        <v>14721.65</v>
      </c>
      <c r="K301" s="12">
        <v>510</v>
      </c>
      <c r="L301" s="1">
        <v>14280</v>
      </c>
      <c r="M301" s="12">
        <v>702.98199999999997</v>
      </c>
      <c r="N301" t="s">
        <v>198</v>
      </c>
      <c r="O301" t="s">
        <v>199</v>
      </c>
      <c r="P301" s="2">
        <f>IF(BD_Receitas[[#This Row],[TIPO DE COBRANÇA]]="Operação Normal",
_xlfn.XLOOKUP(BD_Receitas[[#This Row],[ID]],TabCondicoesComerciais[ID],TabCondicoesComerciais[Volume mínimo 
(m3)],0),"")</f>
        <v>1020</v>
      </c>
      <c r="Q301" s="2">
        <f>_xlfn.XLOOKUP(BD_Receitas[[#This Row],[ID]],TabCondicoesComerciais[ID],TabCondicoesComerciais[Vol. 1ºGiro],0)</f>
        <v>340</v>
      </c>
      <c r="R3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01" s="1">
        <f xml:space="preserve"> IF(BD_Receitas[[#This Row],[TIPO DE COBRANÇA]]="Operação Normal",
_xlfn.XLOOKUP(BD_Receitas[[#This Row],[ID]],TabCondicoesComerciais[ID],TabCondicoesComerciais[Tarifa 2º Giro],0),0)</f>
        <v>28</v>
      </c>
      <c r="T301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30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20.313464640630912</v>
      </c>
      <c r="V30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30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19683.495999999999</v>
      </c>
      <c r="X3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02" spans="1:24" hidden="1" x14ac:dyDescent="0.35">
      <c r="A302" s="3" t="s">
        <v>184</v>
      </c>
      <c r="B302" s="11">
        <v>45778</v>
      </c>
      <c r="C302" t="s">
        <v>31</v>
      </c>
      <c r="D302" t="s">
        <v>203</v>
      </c>
      <c r="E302" t="s">
        <v>34</v>
      </c>
      <c r="F302" s="10" t="s">
        <v>26</v>
      </c>
      <c r="G302" s="3" t="s">
        <v>19</v>
      </c>
      <c r="H302" s="3" t="s">
        <v>13</v>
      </c>
      <c r="I302" s="3" t="s">
        <v>65</v>
      </c>
      <c r="J302" s="1">
        <v>0</v>
      </c>
      <c r="K302" s="12">
        <v>0</v>
      </c>
      <c r="L302" s="1"/>
      <c r="M302" s="12"/>
      <c r="N302"/>
      <c r="O302"/>
      <c r="P302" s="2" t="str">
        <f>IF(BD_Receitas[[#This Row],[TIPO DE COBRANÇA]]="Operação Normal",
_xlfn.XLOOKUP(BD_Receitas[[#This Row],[ID]],TabCondicoesComerciais[ID],TabCondicoesComerciais[Volume mínimo 
(m3)],0),"")</f>
        <v/>
      </c>
      <c r="Q302" s="2">
        <f>_xlfn.XLOOKUP(BD_Receitas[[#This Row],[ID]],TabCondicoesComerciais[ID],TabCondicoesComerciais[Vol. 1ºGiro],0)</f>
        <v>340</v>
      </c>
      <c r="R3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02" s="1">
        <f xml:space="preserve"> IF(BD_Receitas[[#This Row],[TIPO DE COBRANÇA]]="Operação Normal",
_xlfn.XLOOKUP(BD_Receitas[[#This Row],[ID]],TabCondicoesComerciais[ID],TabCondicoesComerciais[Tarifa 2º Giro],0),0)</f>
        <v>0</v>
      </c>
      <c r="T3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3" spans="1:24" hidden="1" x14ac:dyDescent="0.35">
      <c r="A303" s="3" t="s">
        <v>142</v>
      </c>
      <c r="B303" s="11">
        <v>45809</v>
      </c>
      <c r="C303" t="s">
        <v>31</v>
      </c>
      <c r="D303" t="s">
        <v>202</v>
      </c>
      <c r="E303" t="s">
        <v>36</v>
      </c>
      <c r="F303" s="10" t="s">
        <v>48</v>
      </c>
      <c r="G303" s="3" t="s">
        <v>49</v>
      </c>
      <c r="H303" s="3" t="s">
        <v>52</v>
      </c>
      <c r="I303" s="3" t="s">
        <v>7</v>
      </c>
      <c r="J303" s="1">
        <v>0</v>
      </c>
      <c r="K303" s="12">
        <v>0</v>
      </c>
      <c r="L303" s="1"/>
      <c r="M303" s="12"/>
      <c r="N303"/>
      <c r="O303"/>
      <c r="P303" s="2" t="str">
        <f>IF(BD_Receitas[[#This Row],[TIPO DE COBRANÇA]]="Operação Normal",
_xlfn.XLOOKUP(BD_Receitas[[#This Row],[ID]],TabCondicoesComerciais[ID],TabCondicoesComerciais[Volume mínimo 
(m3)],0),"")</f>
        <v/>
      </c>
      <c r="Q303" s="2">
        <f>_xlfn.XLOOKUP(BD_Receitas[[#This Row],[ID]],TabCondicoesComerciais[ID],TabCondicoesComerciais[Vol. 1ºGiro],0)</f>
        <v>360</v>
      </c>
      <c r="R3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303" s="1">
        <f xml:space="preserve"> IF(BD_Receitas[[#This Row],[TIPO DE COBRANÇA]]="Operação Normal",
_xlfn.XLOOKUP(BD_Receitas[[#This Row],[ID]],TabCondicoesComerciais[ID],TabCondicoesComerciais[Tarifa 2º Giro],0),0)</f>
        <v>0</v>
      </c>
      <c r="T30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4" spans="1:24" hidden="1" x14ac:dyDescent="0.35">
      <c r="A304" s="3" t="s">
        <v>142</v>
      </c>
      <c r="B304" s="11">
        <v>45809</v>
      </c>
      <c r="C304" t="s">
        <v>31</v>
      </c>
      <c r="D304" t="s">
        <v>202</v>
      </c>
      <c r="E304" t="s">
        <v>36</v>
      </c>
      <c r="F304" s="10" t="s">
        <v>48</v>
      </c>
      <c r="G304" s="3" t="s">
        <v>49</v>
      </c>
      <c r="H304" s="3" t="s">
        <v>52</v>
      </c>
      <c r="I304" s="3" t="s">
        <v>8</v>
      </c>
      <c r="J304" s="1">
        <v>0</v>
      </c>
      <c r="K304" s="12">
        <v>0</v>
      </c>
      <c r="L304" s="1"/>
      <c r="M304" s="12"/>
      <c r="N304"/>
      <c r="O304"/>
      <c r="P304" s="2" t="str">
        <f>IF(BD_Receitas[[#This Row],[TIPO DE COBRANÇA]]="Operação Normal",
_xlfn.XLOOKUP(BD_Receitas[[#This Row],[ID]],TabCondicoesComerciais[ID],TabCondicoesComerciais[Volume mínimo 
(m3)],0),"")</f>
        <v/>
      </c>
      <c r="Q304" s="2">
        <f>_xlfn.XLOOKUP(BD_Receitas[[#This Row],[ID]],TabCondicoesComerciais[ID],TabCondicoesComerciais[Vol. 1ºGiro],0)</f>
        <v>360</v>
      </c>
      <c r="R3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304" s="1">
        <f xml:space="preserve"> IF(BD_Receitas[[#This Row],[TIPO DE COBRANÇA]]="Operação Normal",
_xlfn.XLOOKUP(BD_Receitas[[#This Row],[ID]],TabCondicoesComerciais[ID],TabCondicoesComerciais[Tarifa 2º Giro],0),0)</f>
        <v>0</v>
      </c>
      <c r="T3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5" spans="1:24" hidden="1" x14ac:dyDescent="0.35">
      <c r="A305" s="3" t="s">
        <v>142</v>
      </c>
      <c r="B305" s="11">
        <v>45809</v>
      </c>
      <c r="C305" t="s">
        <v>31</v>
      </c>
      <c r="D305" t="s">
        <v>202</v>
      </c>
      <c r="E305" t="s">
        <v>36</v>
      </c>
      <c r="F305" s="10" t="s">
        <v>48</v>
      </c>
      <c r="G305" s="3" t="s">
        <v>49</v>
      </c>
      <c r="H305" s="3" t="s">
        <v>52</v>
      </c>
      <c r="I305" s="3" t="s">
        <v>15</v>
      </c>
      <c r="J305" s="1">
        <v>89789.3701</v>
      </c>
      <c r="K305" s="12">
        <v>2040</v>
      </c>
      <c r="L305" s="1">
        <v>86985.600000000006</v>
      </c>
      <c r="M305" s="12">
        <v>529.30899999999997</v>
      </c>
      <c r="N305" t="s">
        <v>220</v>
      </c>
      <c r="O305"/>
      <c r="P305" s="2">
        <f>IF(BD_Receitas[[#This Row],[TIPO DE COBRANÇA]]="Operação Normal",
_xlfn.XLOOKUP(BD_Receitas[[#This Row],[ID]],TabCondicoesComerciais[ID],TabCondicoesComerciais[Volume mínimo 
(m3)],0),"")</f>
        <v>2040</v>
      </c>
      <c r="Q305" s="2">
        <f>_xlfn.XLOOKUP(BD_Receitas[[#This Row],[ID]],TabCondicoesComerciais[ID],TabCondicoesComerciais[Vol. 1ºGiro],0)</f>
        <v>360</v>
      </c>
      <c r="R3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305" s="1">
        <f xml:space="preserve"> IF(BD_Receitas[[#This Row],[TIPO DE COBRANÇA]]="Operação Normal",
_xlfn.XLOOKUP(BD_Receitas[[#This Row],[ID]],TabCondicoesComerciais[ID],TabCondicoesComerciais[Tarifa 2º Giro],0),0)</f>
        <v>42.64</v>
      </c>
      <c r="T305" s="5">
        <f>IFERROR(IF(BD_Receitas[[#This Row],[TIPO DE COBRANÇA]]&lt;&gt;"Operação Normal","",BD_Receitas[[#This Row],[Valor Total R$]]/ MAX(BD_Receitas[[#This Row],[Vol. Movimentado M³]],
BD_Receitas[[#This Row],[Volume Mínimo ]])
),0)</f>
        <v>42.64</v>
      </c>
      <c r="U30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164.33803317155011</v>
      </c>
      <c r="V30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30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22569.73576</v>
      </c>
      <c r="X3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306" spans="1:24" hidden="1" x14ac:dyDescent="0.35">
      <c r="A306" s="3" t="s">
        <v>142</v>
      </c>
      <c r="B306" s="11">
        <v>45809</v>
      </c>
      <c r="C306" t="s">
        <v>31</v>
      </c>
      <c r="D306" t="s">
        <v>202</v>
      </c>
      <c r="E306" t="s">
        <v>36</v>
      </c>
      <c r="F306" s="10" t="s">
        <v>48</v>
      </c>
      <c r="G306" s="3" t="s">
        <v>49</v>
      </c>
      <c r="H306" s="3" t="s">
        <v>52</v>
      </c>
      <c r="I306" s="3" t="s">
        <v>65</v>
      </c>
      <c r="J306" s="1">
        <v>0</v>
      </c>
      <c r="K306" s="12">
        <v>0</v>
      </c>
      <c r="L306" s="1"/>
      <c r="M306" s="12"/>
      <c r="N306"/>
      <c r="O306"/>
      <c r="P306" s="2" t="str">
        <f>IF(BD_Receitas[[#This Row],[TIPO DE COBRANÇA]]="Operação Normal",
_xlfn.XLOOKUP(BD_Receitas[[#This Row],[ID]],TabCondicoesComerciais[ID],TabCondicoesComerciais[Volume mínimo 
(m3)],0),"")</f>
        <v/>
      </c>
      <c r="Q306" s="2">
        <f>_xlfn.XLOOKUP(BD_Receitas[[#This Row],[ID]],TabCondicoesComerciais[ID],TabCondicoesComerciais[Vol. 1ºGiro],0)</f>
        <v>360</v>
      </c>
      <c r="R3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06" s="1">
        <f xml:space="preserve"> IF(BD_Receitas[[#This Row],[TIPO DE COBRANÇA]]="Operação Normal",
_xlfn.XLOOKUP(BD_Receitas[[#This Row],[ID]],TabCondicoesComerciais[ID],TabCondicoesComerciais[Tarifa 2º Giro],0),0)</f>
        <v>0</v>
      </c>
      <c r="T3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7" spans="1:24" hidden="1" x14ac:dyDescent="0.35">
      <c r="A307" s="3" t="s">
        <v>139</v>
      </c>
      <c r="B307" s="11">
        <v>45809</v>
      </c>
      <c r="C307" t="s">
        <v>31</v>
      </c>
      <c r="D307" t="s">
        <v>202</v>
      </c>
      <c r="E307" t="s">
        <v>36</v>
      </c>
      <c r="F307" s="10" t="s">
        <v>48</v>
      </c>
      <c r="G307" s="3" t="s">
        <v>49</v>
      </c>
      <c r="H307" s="3" t="s">
        <v>14</v>
      </c>
      <c r="I307" s="3" t="s">
        <v>7</v>
      </c>
      <c r="J307" s="1">
        <v>0</v>
      </c>
      <c r="K307" s="12">
        <v>0</v>
      </c>
      <c r="L307" s="1"/>
      <c r="M307" s="12"/>
      <c r="N307"/>
      <c r="O307"/>
      <c r="P307" s="2" t="str">
        <f>IF(BD_Receitas[[#This Row],[TIPO DE COBRANÇA]]="Operação Normal",
_xlfn.XLOOKUP(BD_Receitas[[#This Row],[ID]],TabCondicoesComerciais[ID],TabCondicoesComerciais[Volume mínimo 
(m3)],0),"")</f>
        <v/>
      </c>
      <c r="Q307" s="2">
        <f>_xlfn.XLOOKUP(BD_Receitas[[#This Row],[ID]],TabCondicoesComerciais[ID],TabCondicoesComerciais[Vol. 1ºGiro],0)</f>
        <v>365</v>
      </c>
      <c r="R3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07" s="1">
        <f xml:space="preserve"> IF(BD_Receitas[[#This Row],[TIPO DE COBRANÇA]]="Operação Normal",
_xlfn.XLOOKUP(BD_Receitas[[#This Row],[ID]],TabCondicoesComerciais[ID],TabCondicoesComerciais[Tarifa 2º Giro],0),0)</f>
        <v>0</v>
      </c>
      <c r="T30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8" spans="1:24" hidden="1" x14ac:dyDescent="0.35">
      <c r="A308" s="3" t="s">
        <v>139</v>
      </c>
      <c r="B308" s="11">
        <v>45809</v>
      </c>
      <c r="C308" t="s">
        <v>31</v>
      </c>
      <c r="D308" t="s">
        <v>202</v>
      </c>
      <c r="E308" t="s">
        <v>36</v>
      </c>
      <c r="F308" s="10" t="s">
        <v>48</v>
      </c>
      <c r="G308" s="3" t="s">
        <v>49</v>
      </c>
      <c r="H308" s="3" t="s">
        <v>14</v>
      </c>
      <c r="I308" s="3" t="s">
        <v>8</v>
      </c>
      <c r="J308" s="1">
        <v>0</v>
      </c>
      <c r="K308" s="12">
        <v>0</v>
      </c>
      <c r="L308" s="1"/>
      <c r="M308" s="12"/>
      <c r="N308"/>
      <c r="O308"/>
      <c r="P308" s="2" t="str">
        <f>IF(BD_Receitas[[#This Row],[TIPO DE COBRANÇA]]="Operação Normal",
_xlfn.XLOOKUP(BD_Receitas[[#This Row],[ID]],TabCondicoesComerciais[ID],TabCondicoesComerciais[Volume mínimo 
(m3)],0),"")</f>
        <v/>
      </c>
      <c r="Q308" s="2">
        <f>_xlfn.XLOOKUP(BD_Receitas[[#This Row],[ID]],TabCondicoesComerciais[ID],TabCondicoesComerciais[Vol. 1ºGiro],0)</f>
        <v>365</v>
      </c>
      <c r="R3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08" s="1">
        <f xml:space="preserve"> IF(BD_Receitas[[#This Row],[TIPO DE COBRANÇA]]="Operação Normal",
_xlfn.XLOOKUP(BD_Receitas[[#This Row],[ID]],TabCondicoesComerciais[ID],TabCondicoesComerciais[Tarifa 2º Giro],0),0)</f>
        <v>0</v>
      </c>
      <c r="T3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09" spans="1:24" hidden="1" x14ac:dyDescent="0.35">
      <c r="A309" s="3" t="s">
        <v>139</v>
      </c>
      <c r="B309" s="11">
        <v>45809</v>
      </c>
      <c r="C309" t="s">
        <v>31</v>
      </c>
      <c r="D309" t="s">
        <v>202</v>
      </c>
      <c r="E309" t="s">
        <v>36</v>
      </c>
      <c r="F309" s="10" t="s">
        <v>48</v>
      </c>
      <c r="G309" s="3" t="s">
        <v>49</v>
      </c>
      <c r="H309" s="3" t="s">
        <v>14</v>
      </c>
      <c r="I309" s="3" t="s">
        <v>15</v>
      </c>
      <c r="J309" s="1">
        <v>17995.57</v>
      </c>
      <c r="K309" s="12">
        <v>936</v>
      </c>
      <c r="L309" s="1">
        <v>16726.32</v>
      </c>
      <c r="M309" s="12">
        <v>905.52499999999998</v>
      </c>
      <c r="N309" t="s">
        <v>221</v>
      </c>
      <c r="O309"/>
      <c r="P309" s="2">
        <f>IF(BD_Receitas[[#This Row],[TIPO DE COBRANÇA]]="Operação Normal",
_xlfn.XLOOKUP(BD_Receitas[[#This Row],[ID]],TabCondicoesComerciais[ID],TabCondicoesComerciais[Volume mínimo 
(m3)],0),"")</f>
        <v>936</v>
      </c>
      <c r="Q309" s="2">
        <f>_xlfn.XLOOKUP(BD_Receitas[[#This Row],[ID]],TabCondicoesComerciais[ID],TabCondicoesComerciais[Vol. 1ºGiro],0)</f>
        <v>365</v>
      </c>
      <c r="R3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309" s="1">
        <f xml:space="preserve"> IF(BD_Receitas[[#This Row],[TIPO DE COBRANÇA]]="Operação Normal",
_xlfn.XLOOKUP(BD_Receitas[[#This Row],[ID]],TabCondicoesComerciais[ID],TabCondicoesComerciais[Tarifa 2º Giro],0),0)</f>
        <v>17.87</v>
      </c>
      <c r="T309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30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18.471406090389554</v>
      </c>
      <c r="V30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30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16181.731749999999</v>
      </c>
      <c r="X3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310" spans="1:24" hidden="1" x14ac:dyDescent="0.35">
      <c r="A310" s="3" t="s">
        <v>139</v>
      </c>
      <c r="B310" s="11">
        <v>45809</v>
      </c>
      <c r="C310" t="s">
        <v>31</v>
      </c>
      <c r="D310" t="s">
        <v>202</v>
      </c>
      <c r="E310" t="s">
        <v>36</v>
      </c>
      <c r="F310" s="10" t="s">
        <v>48</v>
      </c>
      <c r="G310" s="3" t="s">
        <v>49</v>
      </c>
      <c r="H310" s="3" t="s">
        <v>14</v>
      </c>
      <c r="I310" s="3" t="s">
        <v>65</v>
      </c>
      <c r="J310" s="1">
        <v>0</v>
      </c>
      <c r="K310" s="12">
        <v>0</v>
      </c>
      <c r="L310" s="1"/>
      <c r="M310" s="12"/>
      <c r="N310"/>
      <c r="O310"/>
      <c r="P310" s="2" t="str">
        <f>IF(BD_Receitas[[#This Row],[TIPO DE COBRANÇA]]="Operação Normal",
_xlfn.XLOOKUP(BD_Receitas[[#This Row],[ID]],TabCondicoesComerciais[ID],TabCondicoesComerciais[Volume mínimo 
(m3)],0),"")</f>
        <v/>
      </c>
      <c r="Q310" s="2">
        <f>_xlfn.XLOOKUP(BD_Receitas[[#This Row],[ID]],TabCondicoesComerciais[ID],TabCondicoesComerciais[Vol. 1ºGiro],0)</f>
        <v>365</v>
      </c>
      <c r="R3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10" s="1">
        <f xml:space="preserve"> IF(BD_Receitas[[#This Row],[TIPO DE COBRANÇA]]="Operação Normal",
_xlfn.XLOOKUP(BD_Receitas[[#This Row],[ID]],TabCondicoesComerciais[ID],TabCondicoesComerciais[Tarifa 2º Giro],0),0)</f>
        <v>0</v>
      </c>
      <c r="T3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1" spans="1:24" hidden="1" x14ac:dyDescent="0.35">
      <c r="A311" s="3" t="s">
        <v>25</v>
      </c>
      <c r="B311" s="11">
        <v>45809</v>
      </c>
      <c r="C311" t="s">
        <v>31</v>
      </c>
      <c r="D311" t="s">
        <v>202</v>
      </c>
      <c r="E311" t="s">
        <v>36</v>
      </c>
      <c r="F311" s="10" t="s">
        <v>48</v>
      </c>
      <c r="G311" s="3" t="s">
        <v>49</v>
      </c>
      <c r="H311" s="3" t="s">
        <v>116</v>
      </c>
      <c r="I311" s="3" t="s">
        <v>7</v>
      </c>
      <c r="J311" s="1">
        <v>0</v>
      </c>
      <c r="K311" s="12">
        <v>0</v>
      </c>
      <c r="L311" s="1"/>
      <c r="M311" s="12"/>
      <c r="N311"/>
      <c r="O311"/>
      <c r="P311" s="2" t="str">
        <f>IF(BD_Receitas[[#This Row],[TIPO DE COBRANÇA]]="Operação Normal",
_xlfn.XLOOKUP(BD_Receitas[[#This Row],[ID]],TabCondicoesComerciais[ID],TabCondicoesComerciais[Volume mínimo 
(m3)],0),"")</f>
        <v/>
      </c>
      <c r="Q311" s="2">
        <f>_xlfn.XLOOKUP(BD_Receitas[[#This Row],[ID]],TabCondicoesComerciais[ID],TabCondicoesComerciais[Vol. 1ºGiro],0)</f>
        <v>100</v>
      </c>
      <c r="R3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11" s="1">
        <f xml:space="preserve"> IF(BD_Receitas[[#This Row],[TIPO DE COBRANÇA]]="Operação Normal",
_xlfn.XLOOKUP(BD_Receitas[[#This Row],[ID]],TabCondicoesComerciais[ID],TabCondicoesComerciais[Tarifa 2º Giro],0),0)</f>
        <v>0</v>
      </c>
      <c r="T3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2" spans="1:24" hidden="1" x14ac:dyDescent="0.35">
      <c r="A312" s="3" t="s">
        <v>25</v>
      </c>
      <c r="B312" s="11">
        <v>45809</v>
      </c>
      <c r="C312" t="s">
        <v>31</v>
      </c>
      <c r="D312" t="s">
        <v>202</v>
      </c>
      <c r="E312" t="s">
        <v>36</v>
      </c>
      <c r="F312" s="10" t="s">
        <v>48</v>
      </c>
      <c r="G312" s="3" t="s">
        <v>49</v>
      </c>
      <c r="H312" s="3" t="s">
        <v>116</v>
      </c>
      <c r="I312" s="3" t="s">
        <v>8</v>
      </c>
      <c r="J312" s="1">
        <v>0</v>
      </c>
      <c r="K312" s="12">
        <v>0</v>
      </c>
      <c r="L312" s="1"/>
      <c r="M312" s="12"/>
      <c r="N312"/>
      <c r="O312"/>
      <c r="P312" s="2" t="str">
        <f>IF(BD_Receitas[[#This Row],[TIPO DE COBRANÇA]]="Operação Normal",
_xlfn.XLOOKUP(BD_Receitas[[#This Row],[ID]],TabCondicoesComerciais[ID],TabCondicoesComerciais[Volume mínimo 
(m3)],0),"")</f>
        <v/>
      </c>
      <c r="Q312" s="2">
        <f>_xlfn.XLOOKUP(BD_Receitas[[#This Row],[ID]],TabCondicoesComerciais[ID],TabCondicoesComerciais[Vol. 1ºGiro],0)</f>
        <v>100</v>
      </c>
      <c r="R3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12" s="1">
        <f xml:space="preserve"> IF(BD_Receitas[[#This Row],[TIPO DE COBRANÇA]]="Operação Normal",
_xlfn.XLOOKUP(BD_Receitas[[#This Row],[ID]],TabCondicoesComerciais[ID],TabCondicoesComerciais[Tarifa 2º Giro],0),0)</f>
        <v>0</v>
      </c>
      <c r="T3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3" spans="1:24" hidden="1" x14ac:dyDescent="0.35">
      <c r="A313" s="3" t="s">
        <v>25</v>
      </c>
      <c r="B313" s="11">
        <v>45809</v>
      </c>
      <c r="C313" t="s">
        <v>31</v>
      </c>
      <c r="D313" t="s">
        <v>202</v>
      </c>
      <c r="E313" t="s">
        <v>36</v>
      </c>
      <c r="F313" s="10" t="s">
        <v>48</v>
      </c>
      <c r="G313" s="3" t="s">
        <v>49</v>
      </c>
      <c r="H313" s="3" t="s">
        <v>116</v>
      </c>
      <c r="I313" s="3" t="s">
        <v>15</v>
      </c>
      <c r="J313" s="1">
        <v>0</v>
      </c>
      <c r="K313" s="12">
        <v>0</v>
      </c>
      <c r="L313" s="1"/>
      <c r="M313" s="12"/>
      <c r="N313"/>
      <c r="O313"/>
      <c r="P313" s="2">
        <f>IF(BD_Receitas[[#This Row],[TIPO DE COBRANÇA]]="Operação Normal",
_xlfn.XLOOKUP(BD_Receitas[[#This Row],[ID]],TabCondicoesComerciais[ID],TabCondicoesComerciais[Volume mínimo 
(m3)],0),"")</f>
        <v>300</v>
      </c>
      <c r="Q313" s="2">
        <f>_xlfn.XLOOKUP(BD_Receitas[[#This Row],[ID]],TabCondicoesComerciais[ID],TabCondicoesComerciais[Vol. 1ºGiro],0)</f>
        <v>100</v>
      </c>
      <c r="R3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313" s="1">
        <f xml:space="preserve"> IF(BD_Receitas[[#This Row],[TIPO DE COBRANÇA]]="Operação Normal",
_xlfn.XLOOKUP(BD_Receitas[[#This Row],[ID]],TabCondicoesComerciais[ID],TabCondicoesComerciais[Tarifa 2º Giro],0),0)</f>
        <v>30</v>
      </c>
      <c r="T31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1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1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31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14" spans="1:24" hidden="1" x14ac:dyDescent="0.35">
      <c r="A314" s="3" t="s">
        <v>25</v>
      </c>
      <c r="B314" s="11">
        <v>45809</v>
      </c>
      <c r="C314" t="s">
        <v>31</v>
      </c>
      <c r="D314" t="s">
        <v>202</v>
      </c>
      <c r="E314" t="s">
        <v>36</v>
      </c>
      <c r="F314" s="10" t="s">
        <v>48</v>
      </c>
      <c r="G314" s="3" t="s">
        <v>49</v>
      </c>
      <c r="H314" s="3" t="s">
        <v>116</v>
      </c>
      <c r="I314" s="3" t="s">
        <v>65</v>
      </c>
      <c r="J314" s="1">
        <v>0</v>
      </c>
      <c r="K314" s="12">
        <v>0</v>
      </c>
      <c r="L314" s="1"/>
      <c r="M314" s="12"/>
      <c r="N314"/>
      <c r="O314"/>
      <c r="P314" s="2" t="str">
        <f>IF(BD_Receitas[[#This Row],[TIPO DE COBRANÇA]]="Operação Normal",
_xlfn.XLOOKUP(BD_Receitas[[#This Row],[ID]],TabCondicoesComerciais[ID],TabCondicoesComerciais[Volume mínimo 
(m3)],0),"")</f>
        <v/>
      </c>
      <c r="Q314" s="2">
        <f>_xlfn.XLOOKUP(BD_Receitas[[#This Row],[ID]],TabCondicoesComerciais[ID],TabCondicoesComerciais[Vol. 1ºGiro],0)</f>
        <v>100</v>
      </c>
      <c r="R3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14" s="1">
        <f xml:space="preserve"> IF(BD_Receitas[[#This Row],[TIPO DE COBRANÇA]]="Operação Normal",
_xlfn.XLOOKUP(BD_Receitas[[#This Row],[ID]],TabCondicoesComerciais[ID],TabCondicoesComerciais[Tarifa 2º Giro],0),0)</f>
        <v>0</v>
      </c>
      <c r="T3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5" spans="1:24" hidden="1" x14ac:dyDescent="0.35">
      <c r="A315" s="3" t="s">
        <v>102</v>
      </c>
      <c r="B315" s="11">
        <v>45809</v>
      </c>
      <c r="C315" t="s">
        <v>31</v>
      </c>
      <c r="D315" t="s">
        <v>202</v>
      </c>
      <c r="E315" t="s">
        <v>36</v>
      </c>
      <c r="F315" s="10" t="s">
        <v>48</v>
      </c>
      <c r="G315" s="3" t="s">
        <v>49</v>
      </c>
      <c r="H315" s="3" t="s">
        <v>51</v>
      </c>
      <c r="I315" s="3" t="s">
        <v>7</v>
      </c>
      <c r="J315" s="1">
        <v>0</v>
      </c>
      <c r="K315" s="12">
        <v>0</v>
      </c>
      <c r="L315" s="1"/>
      <c r="M315" s="12"/>
      <c r="N315"/>
      <c r="O315"/>
      <c r="P315" s="2" t="str">
        <f>IF(BD_Receitas[[#This Row],[TIPO DE COBRANÇA]]="Operação Normal",
_xlfn.XLOOKUP(BD_Receitas[[#This Row],[ID]],TabCondicoesComerciais[ID],TabCondicoesComerciais[Volume mínimo 
(m3)],0),"")</f>
        <v/>
      </c>
      <c r="Q315" s="2">
        <f>_xlfn.XLOOKUP(BD_Receitas[[#This Row],[ID]],TabCondicoesComerciais[ID],TabCondicoesComerciais[Vol. 1ºGiro],0)</f>
        <v>750</v>
      </c>
      <c r="R3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315" s="1">
        <f xml:space="preserve"> IF(BD_Receitas[[#This Row],[TIPO DE COBRANÇA]]="Operação Normal",
_xlfn.XLOOKUP(BD_Receitas[[#This Row],[ID]],TabCondicoesComerciais[ID],TabCondicoesComerciais[Tarifa 2º Giro],0),0)</f>
        <v>0</v>
      </c>
      <c r="T3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6" spans="1:24" hidden="1" x14ac:dyDescent="0.35">
      <c r="A316" s="3" t="s">
        <v>102</v>
      </c>
      <c r="B316" s="11">
        <v>45809</v>
      </c>
      <c r="C316" t="s">
        <v>31</v>
      </c>
      <c r="D316" t="s">
        <v>202</v>
      </c>
      <c r="E316" t="s">
        <v>36</v>
      </c>
      <c r="F316" s="10" t="s">
        <v>48</v>
      </c>
      <c r="G316" s="3" t="s">
        <v>49</v>
      </c>
      <c r="H316" s="3" t="s">
        <v>51</v>
      </c>
      <c r="I316" s="3" t="s">
        <v>8</v>
      </c>
      <c r="J316" s="1">
        <v>0</v>
      </c>
      <c r="K316" s="12">
        <v>0</v>
      </c>
      <c r="L316" s="1"/>
      <c r="M316" s="12"/>
      <c r="N316"/>
      <c r="O316"/>
      <c r="P316" s="2" t="str">
        <f>IF(BD_Receitas[[#This Row],[TIPO DE COBRANÇA]]="Operação Normal",
_xlfn.XLOOKUP(BD_Receitas[[#This Row],[ID]],TabCondicoesComerciais[ID],TabCondicoesComerciais[Volume mínimo 
(m3)],0),"")</f>
        <v/>
      </c>
      <c r="Q316" s="2">
        <f>_xlfn.XLOOKUP(BD_Receitas[[#This Row],[ID]],TabCondicoesComerciais[ID],TabCondicoesComerciais[Vol. 1ºGiro],0)</f>
        <v>750</v>
      </c>
      <c r="R3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316" s="1">
        <f xml:space="preserve"> IF(BD_Receitas[[#This Row],[TIPO DE COBRANÇA]]="Operação Normal",
_xlfn.XLOOKUP(BD_Receitas[[#This Row],[ID]],TabCondicoesComerciais[ID],TabCondicoesComerciais[Tarifa 2º Giro],0),0)</f>
        <v>0</v>
      </c>
      <c r="T3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7" spans="1:24" hidden="1" x14ac:dyDescent="0.35">
      <c r="A317" s="3" t="s">
        <v>102</v>
      </c>
      <c r="B317" s="11">
        <v>45809</v>
      </c>
      <c r="C317" t="s">
        <v>31</v>
      </c>
      <c r="D317" t="s">
        <v>202</v>
      </c>
      <c r="E317" t="s">
        <v>36</v>
      </c>
      <c r="F317" s="10" t="s">
        <v>48</v>
      </c>
      <c r="G317" s="3" t="s">
        <v>49</v>
      </c>
      <c r="H317" s="3" t="s">
        <v>51</v>
      </c>
      <c r="I317" s="3" t="s">
        <v>15</v>
      </c>
      <c r="J317" s="1">
        <v>0</v>
      </c>
      <c r="K317" s="12">
        <v>0</v>
      </c>
      <c r="L317" s="1">
        <v>74775.16</v>
      </c>
      <c r="M317" s="12">
        <v>2307</v>
      </c>
      <c r="N317" t="s">
        <v>222</v>
      </c>
      <c r="O317" t="s">
        <v>227</v>
      </c>
      <c r="P317" s="2">
        <f>IF(BD_Receitas[[#This Row],[TIPO DE COBRANÇA]]="Operação Normal",
_xlfn.XLOOKUP(BD_Receitas[[#This Row],[ID]],TabCondicoesComerciais[ID],TabCondicoesComerciais[Volume mínimo 
(m3)],0),"")</f>
        <v>6500</v>
      </c>
      <c r="Q317" s="2">
        <f>_xlfn.XLOOKUP(BD_Receitas[[#This Row],[ID]],TabCondicoesComerciais[ID],TabCondicoesComerciais[Vol. 1ºGiro],0)</f>
        <v>750</v>
      </c>
      <c r="R3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317" s="1">
        <f xml:space="preserve"> IF(BD_Receitas[[#This Row],[TIPO DE COBRANÇA]]="Operação Normal",
_xlfn.XLOOKUP(BD_Receitas[[#This Row],[ID]],TabCondicoesComerciais[ID],TabCondicoesComerciais[Tarifa 2º Giro],0),0)</f>
        <v>32.42</v>
      </c>
      <c r="T317" s="5">
        <f>IFERROR(IF(BD_Receitas[[#This Row],[TIPO DE COBRANÇA]]&lt;&gt;"Operação Normal","",BD_Receitas[[#This Row],[Valor Total R$]]/ MAX(BD_Receitas[[#This Row],[Vol. Movimentado M³]],
BD_Receitas[[#This Row],[Volume Mínimo ]])
),0)</f>
        <v>11.503870769230769</v>
      </c>
      <c r="U3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32.412293021239705</v>
      </c>
      <c r="V3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3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74792.94</v>
      </c>
      <c r="X3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18" spans="1:24" hidden="1" x14ac:dyDescent="0.35">
      <c r="A318" s="3" t="s">
        <v>102</v>
      </c>
      <c r="B318" s="11">
        <v>45809</v>
      </c>
      <c r="C318" t="s">
        <v>31</v>
      </c>
      <c r="D318" t="s">
        <v>202</v>
      </c>
      <c r="E318" t="s">
        <v>36</v>
      </c>
      <c r="F318" s="10" t="s">
        <v>48</v>
      </c>
      <c r="G318" s="3" t="s">
        <v>49</v>
      </c>
      <c r="H318" s="3" t="s">
        <v>51</v>
      </c>
      <c r="I318" s="3" t="s">
        <v>65</v>
      </c>
      <c r="J318" s="1">
        <v>0</v>
      </c>
      <c r="K318" s="12">
        <v>0</v>
      </c>
      <c r="L318" s="1"/>
      <c r="M318" s="12"/>
      <c r="N318"/>
      <c r="O318"/>
      <c r="P318" s="2" t="str">
        <f>IF(BD_Receitas[[#This Row],[TIPO DE COBRANÇA]]="Operação Normal",
_xlfn.XLOOKUP(BD_Receitas[[#This Row],[ID]],TabCondicoesComerciais[ID],TabCondicoesComerciais[Volume mínimo 
(m3)],0),"")</f>
        <v/>
      </c>
      <c r="Q318" s="2">
        <f>_xlfn.XLOOKUP(BD_Receitas[[#This Row],[ID]],TabCondicoesComerciais[ID],TabCondicoesComerciais[Vol. 1ºGiro],0)</f>
        <v>750</v>
      </c>
      <c r="R3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18" s="1">
        <f xml:space="preserve"> IF(BD_Receitas[[#This Row],[TIPO DE COBRANÇA]]="Operação Normal",
_xlfn.XLOOKUP(BD_Receitas[[#This Row],[ID]],TabCondicoesComerciais[ID],TabCondicoesComerciais[Tarifa 2º Giro],0),0)</f>
        <v>0</v>
      </c>
      <c r="T3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19" spans="1:24" hidden="1" x14ac:dyDescent="0.35">
      <c r="A319" s="3" t="s">
        <v>208</v>
      </c>
      <c r="B319" s="11">
        <v>45809</v>
      </c>
      <c r="C319" t="s">
        <v>31</v>
      </c>
      <c r="D319" t="s">
        <v>202</v>
      </c>
      <c r="E319" t="s">
        <v>35</v>
      </c>
      <c r="F319" s="10" t="s">
        <v>22</v>
      </c>
      <c r="G319" s="3" t="s">
        <v>11</v>
      </c>
      <c r="H319" s="3" t="s">
        <v>207</v>
      </c>
      <c r="I319" s="3" t="s">
        <v>7</v>
      </c>
      <c r="J319" s="1">
        <v>0</v>
      </c>
      <c r="K319" s="12">
        <v>0</v>
      </c>
      <c r="L319" s="1"/>
      <c r="M319" s="12"/>
      <c r="N319"/>
      <c r="O319"/>
      <c r="P319" s="2" t="str">
        <f>IF(BD_Receitas[[#This Row],[TIPO DE COBRANÇA]]="Operação Normal",
_xlfn.XLOOKUP(BD_Receitas[[#This Row],[ID]],TabCondicoesComerciais[ID],TabCondicoesComerciais[Volume mínimo 
(m3)],0),"")</f>
        <v/>
      </c>
      <c r="Q319" s="2">
        <f>_xlfn.XLOOKUP(BD_Receitas[[#This Row],[ID]],TabCondicoesComerciais[ID],TabCondicoesComerciais[Vol. 1ºGiro],0)</f>
        <v>625</v>
      </c>
      <c r="R3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319" s="1">
        <f xml:space="preserve"> IF(BD_Receitas[[#This Row],[TIPO DE COBRANÇA]]="Operação Normal",
_xlfn.XLOOKUP(BD_Receitas[[#This Row],[ID]],TabCondicoesComerciais[ID],TabCondicoesComerciais[Tarifa 2º Giro],0),0)</f>
        <v>0</v>
      </c>
      <c r="T31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1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1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1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0" spans="1:24" hidden="1" x14ac:dyDescent="0.35">
      <c r="A320" s="3" t="s">
        <v>208</v>
      </c>
      <c r="B320" s="11">
        <v>45809</v>
      </c>
      <c r="C320" t="s">
        <v>31</v>
      </c>
      <c r="D320" t="s">
        <v>202</v>
      </c>
      <c r="E320" t="s">
        <v>35</v>
      </c>
      <c r="F320" s="10" t="s">
        <v>22</v>
      </c>
      <c r="G320" s="3" t="s">
        <v>11</v>
      </c>
      <c r="H320" s="3" t="s">
        <v>207</v>
      </c>
      <c r="I320" s="3" t="s">
        <v>8</v>
      </c>
      <c r="J320" s="1">
        <v>0</v>
      </c>
      <c r="K320" s="12">
        <v>0</v>
      </c>
      <c r="L320" s="1"/>
      <c r="M320" s="12"/>
      <c r="N320"/>
      <c r="O320"/>
      <c r="P320" s="2" t="str">
        <f>IF(BD_Receitas[[#This Row],[TIPO DE COBRANÇA]]="Operação Normal",
_xlfn.XLOOKUP(BD_Receitas[[#This Row],[ID]],TabCondicoesComerciais[ID],TabCondicoesComerciais[Volume mínimo 
(m3)],0),"")</f>
        <v/>
      </c>
      <c r="Q320" s="2">
        <f>_xlfn.XLOOKUP(BD_Receitas[[#This Row],[ID]],TabCondicoesComerciais[ID],TabCondicoesComerciais[Vol. 1ºGiro],0)</f>
        <v>625</v>
      </c>
      <c r="R3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320" s="1">
        <f xml:space="preserve"> IF(BD_Receitas[[#This Row],[TIPO DE COBRANÇA]]="Operação Normal",
_xlfn.XLOOKUP(BD_Receitas[[#This Row],[ID]],TabCondicoesComerciais[ID],TabCondicoesComerciais[Tarifa 2º Giro],0),0)</f>
        <v>0</v>
      </c>
      <c r="T3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1" spans="1:24" hidden="1" x14ac:dyDescent="0.35">
      <c r="A321" s="3" t="s">
        <v>208</v>
      </c>
      <c r="B321" s="11">
        <v>45809</v>
      </c>
      <c r="C321" t="s">
        <v>31</v>
      </c>
      <c r="D321" t="s">
        <v>202</v>
      </c>
      <c r="E321" t="s">
        <v>35</v>
      </c>
      <c r="F321" s="10" t="s">
        <v>22</v>
      </c>
      <c r="G321" s="3" t="s">
        <v>11</v>
      </c>
      <c r="H321" s="3" t="s">
        <v>207</v>
      </c>
      <c r="I321" s="3" t="s">
        <v>15</v>
      </c>
      <c r="J321" s="1">
        <v>47210.53</v>
      </c>
      <c r="K321" s="12">
        <v>1875</v>
      </c>
      <c r="L321" s="1">
        <v>41817.79</v>
      </c>
      <c r="M321" s="12">
        <v>1283.9010000000001</v>
      </c>
      <c r="N321" t="s">
        <v>214</v>
      </c>
      <c r="O321" t="s">
        <v>215</v>
      </c>
      <c r="P321" s="2">
        <f>IF(BD_Receitas[[#This Row],[TIPO DE COBRANÇA]]="Operação Normal",
_xlfn.XLOOKUP(BD_Receitas[[#This Row],[ID]],TabCondicoesComerciais[ID],TabCondicoesComerciais[Volume mínimo 
(m3)],0),"")</f>
        <v>1875</v>
      </c>
      <c r="Q321" s="2">
        <f>_xlfn.XLOOKUP(BD_Receitas[[#This Row],[ID]],TabCondicoesComerciais[ID],TabCondicoesComerciais[Vol. 1ºGiro],0)</f>
        <v>625</v>
      </c>
      <c r="R3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321" s="1">
        <f xml:space="preserve"> IF(BD_Receitas[[#This Row],[TIPO DE COBRANÇA]]="Operação Normal",
_xlfn.XLOOKUP(BD_Receitas[[#This Row],[ID]],TabCondicoesComerciais[ID],TabCondicoesComerciais[Tarifa 2º Giro],0),0)</f>
        <v>33</v>
      </c>
      <c r="T321" s="5">
        <f>IFERROR(IF(BD_Receitas[[#This Row],[TIPO DE COBRANÇA]]&lt;&gt;"Operação Normal","",BD_Receitas[[#This Row],[Valor Total R$]]/ MAX(BD_Receitas[[#This Row],[Vol. Movimentado M³]],
BD_Receitas[[#This Row],[Volume Mínimo ]])
),0)</f>
        <v>22.302821333333334</v>
      </c>
      <c r="U32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32.570883580587598</v>
      </c>
      <c r="V32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32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42368.733000000007</v>
      </c>
      <c r="X3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22" spans="1:24" hidden="1" x14ac:dyDescent="0.35">
      <c r="A322" s="3" t="s">
        <v>208</v>
      </c>
      <c r="B322" s="11">
        <v>45809</v>
      </c>
      <c r="C322" t="s">
        <v>31</v>
      </c>
      <c r="D322" t="s">
        <v>202</v>
      </c>
      <c r="E322" t="s">
        <v>35</v>
      </c>
      <c r="F322" s="10" t="s">
        <v>22</v>
      </c>
      <c r="G322" s="3" t="s">
        <v>11</v>
      </c>
      <c r="H322" s="3" t="s">
        <v>207</v>
      </c>
      <c r="I322" s="3" t="s">
        <v>65</v>
      </c>
      <c r="J322" s="1">
        <v>0</v>
      </c>
      <c r="K322" s="12">
        <v>0</v>
      </c>
      <c r="L322" s="1"/>
      <c r="M322" s="12"/>
      <c r="N322"/>
      <c r="O322"/>
      <c r="P322" s="2" t="str">
        <f>IF(BD_Receitas[[#This Row],[TIPO DE COBRANÇA]]="Operação Normal",
_xlfn.XLOOKUP(BD_Receitas[[#This Row],[ID]],TabCondicoesComerciais[ID],TabCondicoesComerciais[Volume mínimo 
(m3)],0),"")</f>
        <v/>
      </c>
      <c r="Q322" s="2">
        <f>_xlfn.XLOOKUP(BD_Receitas[[#This Row],[ID]],TabCondicoesComerciais[ID],TabCondicoesComerciais[Vol. 1ºGiro],0)</f>
        <v>625</v>
      </c>
      <c r="R3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22" s="1">
        <f xml:space="preserve"> IF(BD_Receitas[[#This Row],[TIPO DE COBRANÇA]]="Operação Normal",
_xlfn.XLOOKUP(BD_Receitas[[#This Row],[ID]],TabCondicoesComerciais[ID],TabCondicoesComerciais[Tarifa 2º Giro],0),0)</f>
        <v>0</v>
      </c>
      <c r="T3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3" spans="1:24" hidden="1" x14ac:dyDescent="0.35">
      <c r="A323" s="3" t="s">
        <v>190</v>
      </c>
      <c r="B323" s="11">
        <v>45809</v>
      </c>
      <c r="C323" t="s">
        <v>31</v>
      </c>
      <c r="D323" t="s">
        <v>202</v>
      </c>
      <c r="E323" t="s">
        <v>35</v>
      </c>
      <c r="F323" s="10" t="s">
        <v>22</v>
      </c>
      <c r="G323" s="3" t="s">
        <v>11</v>
      </c>
      <c r="H323" s="3" t="s">
        <v>116</v>
      </c>
      <c r="I323" s="3" t="s">
        <v>7</v>
      </c>
      <c r="J323" s="1">
        <v>0</v>
      </c>
      <c r="K323" s="12">
        <v>0</v>
      </c>
      <c r="L323" s="1"/>
      <c r="M323" s="12"/>
      <c r="N323"/>
      <c r="O323"/>
      <c r="P323" s="2" t="str">
        <f>IF(BD_Receitas[[#This Row],[TIPO DE COBRANÇA]]="Operação Normal",
_xlfn.XLOOKUP(BD_Receitas[[#This Row],[ID]],TabCondicoesComerciais[ID],TabCondicoesComerciais[Volume mínimo 
(m3)],0),"")</f>
        <v/>
      </c>
      <c r="Q323" s="2">
        <f>_xlfn.XLOOKUP(BD_Receitas[[#This Row],[ID]],TabCondicoesComerciais[ID],TabCondicoesComerciais[Vol. 1ºGiro],0)</f>
        <v>580</v>
      </c>
      <c r="R3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23" s="1">
        <f xml:space="preserve"> IF(BD_Receitas[[#This Row],[TIPO DE COBRANÇA]]="Operação Normal",
_xlfn.XLOOKUP(BD_Receitas[[#This Row],[ID]],TabCondicoesComerciais[ID],TabCondicoesComerciais[Tarifa 2º Giro],0),0)</f>
        <v>0</v>
      </c>
      <c r="T32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4" spans="1:24" hidden="1" x14ac:dyDescent="0.35">
      <c r="A324" s="3" t="s">
        <v>190</v>
      </c>
      <c r="B324" s="11">
        <v>45809</v>
      </c>
      <c r="C324" t="s">
        <v>31</v>
      </c>
      <c r="D324" t="s">
        <v>202</v>
      </c>
      <c r="E324" t="s">
        <v>35</v>
      </c>
      <c r="F324" s="10" t="s">
        <v>22</v>
      </c>
      <c r="G324" s="3" t="s">
        <v>11</v>
      </c>
      <c r="H324" s="3" t="s">
        <v>116</v>
      </c>
      <c r="I324" s="3" t="s">
        <v>8</v>
      </c>
      <c r="J324" s="1">
        <v>0</v>
      </c>
      <c r="K324" s="12">
        <v>0</v>
      </c>
      <c r="L324" s="1"/>
      <c r="M324" s="12"/>
      <c r="N324"/>
      <c r="O324"/>
      <c r="P324" s="2" t="str">
        <f>IF(BD_Receitas[[#This Row],[TIPO DE COBRANÇA]]="Operação Normal",
_xlfn.XLOOKUP(BD_Receitas[[#This Row],[ID]],TabCondicoesComerciais[ID],TabCondicoesComerciais[Volume mínimo 
(m3)],0),"")</f>
        <v/>
      </c>
      <c r="Q324" s="2">
        <f>_xlfn.XLOOKUP(BD_Receitas[[#This Row],[ID]],TabCondicoesComerciais[ID],TabCondicoesComerciais[Vol. 1ºGiro],0)</f>
        <v>580</v>
      </c>
      <c r="R3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24" s="1">
        <f xml:space="preserve"> IF(BD_Receitas[[#This Row],[TIPO DE COBRANÇA]]="Operação Normal",
_xlfn.XLOOKUP(BD_Receitas[[#This Row],[ID]],TabCondicoesComerciais[ID],TabCondicoesComerciais[Tarifa 2º Giro],0),0)</f>
        <v>0</v>
      </c>
      <c r="T3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5" spans="1:24" hidden="1" x14ac:dyDescent="0.35">
      <c r="A325" s="3" t="s">
        <v>190</v>
      </c>
      <c r="B325" s="11">
        <v>45809</v>
      </c>
      <c r="C325" t="s">
        <v>31</v>
      </c>
      <c r="D325" t="s">
        <v>202</v>
      </c>
      <c r="E325" t="s">
        <v>35</v>
      </c>
      <c r="F325" s="10" t="s">
        <v>22</v>
      </c>
      <c r="G325" s="3" t="s">
        <v>11</v>
      </c>
      <c r="H325" s="3" t="s">
        <v>116</v>
      </c>
      <c r="I325" s="3" t="s">
        <v>15</v>
      </c>
      <c r="J325" s="1">
        <v>0</v>
      </c>
      <c r="K325" s="12">
        <v>0</v>
      </c>
      <c r="L325" s="1"/>
      <c r="M325" s="12"/>
      <c r="N325"/>
      <c r="O325"/>
      <c r="P325" s="2">
        <f>IF(BD_Receitas[[#This Row],[TIPO DE COBRANÇA]]="Operação Normal",
_xlfn.XLOOKUP(BD_Receitas[[#This Row],[ID]],TabCondicoesComerciais[ID],TabCondicoesComerciais[Volume mínimo 
(m3)],0),"")</f>
        <v>2000</v>
      </c>
      <c r="Q325" s="2">
        <f>_xlfn.XLOOKUP(BD_Receitas[[#This Row],[ID]],TabCondicoesComerciais[ID],TabCondicoesComerciais[Vol. 1ºGiro],0)</f>
        <v>580</v>
      </c>
      <c r="R3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325" s="1">
        <f xml:space="preserve"> IF(BD_Receitas[[#This Row],[TIPO DE COBRANÇA]]="Operação Normal",
_xlfn.XLOOKUP(BD_Receitas[[#This Row],[ID]],TabCondicoesComerciais[ID],TabCondicoesComerciais[Tarifa 2º Giro],0),0)</f>
        <v>27</v>
      </c>
      <c r="T32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2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2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32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26" spans="1:24" hidden="1" x14ac:dyDescent="0.35">
      <c r="A326" s="3" t="s">
        <v>190</v>
      </c>
      <c r="B326" s="11">
        <v>45809</v>
      </c>
      <c r="C326" t="s">
        <v>31</v>
      </c>
      <c r="D326" t="s">
        <v>202</v>
      </c>
      <c r="E326" t="s">
        <v>35</v>
      </c>
      <c r="F326" s="10" t="s">
        <v>22</v>
      </c>
      <c r="G326" s="3" t="s">
        <v>11</v>
      </c>
      <c r="H326" s="3" t="s">
        <v>116</v>
      </c>
      <c r="I326" s="3" t="s">
        <v>65</v>
      </c>
      <c r="J326" s="1">
        <v>0</v>
      </c>
      <c r="K326" s="12">
        <v>0</v>
      </c>
      <c r="L326" s="1"/>
      <c r="M326" s="12"/>
      <c r="N326"/>
      <c r="O326"/>
      <c r="P326" s="2" t="str">
        <f>IF(BD_Receitas[[#This Row],[TIPO DE COBRANÇA]]="Operação Normal",
_xlfn.XLOOKUP(BD_Receitas[[#This Row],[ID]],TabCondicoesComerciais[ID],TabCondicoesComerciais[Volume mínimo 
(m3)],0),"")</f>
        <v/>
      </c>
      <c r="Q326" s="2">
        <f>_xlfn.XLOOKUP(BD_Receitas[[#This Row],[ID]],TabCondicoesComerciais[ID],TabCondicoesComerciais[Vol. 1ºGiro],0)</f>
        <v>580</v>
      </c>
      <c r="R3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26" s="1">
        <f xml:space="preserve"> IF(BD_Receitas[[#This Row],[TIPO DE COBRANÇA]]="Operação Normal",
_xlfn.XLOOKUP(BD_Receitas[[#This Row],[ID]],TabCondicoesComerciais[ID],TabCondicoesComerciais[Tarifa 2º Giro],0),0)</f>
        <v>0</v>
      </c>
      <c r="T3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7" spans="1:24" hidden="1" x14ac:dyDescent="0.35">
      <c r="A327" s="3" t="s">
        <v>172</v>
      </c>
      <c r="B327" s="11">
        <v>45809</v>
      </c>
      <c r="C327" t="s">
        <v>31</v>
      </c>
      <c r="D327" t="s">
        <v>202</v>
      </c>
      <c r="E327" t="s">
        <v>35</v>
      </c>
      <c r="F327" s="10" t="s">
        <v>22</v>
      </c>
      <c r="G327" s="3" t="s">
        <v>11</v>
      </c>
      <c r="H327" s="3" t="s">
        <v>13</v>
      </c>
      <c r="I327" s="3" t="s">
        <v>7</v>
      </c>
      <c r="J327" s="1">
        <v>0</v>
      </c>
      <c r="K327" s="12">
        <v>0</v>
      </c>
      <c r="L327" s="1"/>
      <c r="M327" s="12"/>
      <c r="N327"/>
      <c r="O327"/>
      <c r="P327" s="2" t="str">
        <f>IF(BD_Receitas[[#This Row],[TIPO DE COBRANÇA]]="Operação Normal",
_xlfn.XLOOKUP(BD_Receitas[[#This Row],[ID]],TabCondicoesComerciais[ID],TabCondicoesComerciais[Volume mínimo 
(m3)],0),"")</f>
        <v/>
      </c>
      <c r="Q327" s="2">
        <f>_xlfn.XLOOKUP(BD_Receitas[[#This Row],[ID]],TabCondicoesComerciais[ID],TabCondicoesComerciais[Vol. 1ºGiro],0)</f>
        <v>750</v>
      </c>
      <c r="R3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327" s="1">
        <f xml:space="preserve"> IF(BD_Receitas[[#This Row],[TIPO DE COBRANÇA]]="Operação Normal",
_xlfn.XLOOKUP(BD_Receitas[[#This Row],[ID]],TabCondicoesComerciais[ID],TabCondicoesComerciais[Tarifa 2º Giro],0),0)</f>
        <v>0</v>
      </c>
      <c r="T32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8" spans="1:24" hidden="1" x14ac:dyDescent="0.35">
      <c r="A328" s="3" t="s">
        <v>172</v>
      </c>
      <c r="B328" s="11">
        <v>45809</v>
      </c>
      <c r="C328" t="s">
        <v>31</v>
      </c>
      <c r="D328" t="s">
        <v>202</v>
      </c>
      <c r="E328" t="s">
        <v>35</v>
      </c>
      <c r="F328" s="10" t="s">
        <v>22</v>
      </c>
      <c r="G328" s="3" t="s">
        <v>11</v>
      </c>
      <c r="H328" s="3" t="s">
        <v>13</v>
      </c>
      <c r="I328" s="3" t="s">
        <v>8</v>
      </c>
      <c r="J328" s="1">
        <v>0</v>
      </c>
      <c r="K328" s="12">
        <v>0</v>
      </c>
      <c r="L328" s="1"/>
      <c r="M328" s="12"/>
      <c r="N328"/>
      <c r="O328"/>
      <c r="P328" s="2" t="str">
        <f>IF(BD_Receitas[[#This Row],[TIPO DE COBRANÇA]]="Operação Normal",
_xlfn.XLOOKUP(BD_Receitas[[#This Row],[ID]],TabCondicoesComerciais[ID],TabCondicoesComerciais[Volume mínimo 
(m3)],0),"")</f>
        <v/>
      </c>
      <c r="Q328" s="2">
        <f>_xlfn.XLOOKUP(BD_Receitas[[#This Row],[ID]],TabCondicoesComerciais[ID],TabCondicoesComerciais[Vol. 1ºGiro],0)</f>
        <v>750</v>
      </c>
      <c r="R3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328" s="1">
        <f xml:space="preserve"> IF(BD_Receitas[[#This Row],[TIPO DE COBRANÇA]]="Operação Normal",
_xlfn.XLOOKUP(BD_Receitas[[#This Row],[ID]],TabCondicoesComerciais[ID],TabCondicoesComerciais[Tarifa 2º Giro],0),0)</f>
        <v>0</v>
      </c>
      <c r="T3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29" spans="1:24" hidden="1" x14ac:dyDescent="0.35">
      <c r="A329" s="3" t="s">
        <v>172</v>
      </c>
      <c r="B329" s="11">
        <v>45809</v>
      </c>
      <c r="C329" t="s">
        <v>31</v>
      </c>
      <c r="D329" t="s">
        <v>202</v>
      </c>
      <c r="E329" t="s">
        <v>35</v>
      </c>
      <c r="F329" s="10" t="s">
        <v>22</v>
      </c>
      <c r="G329" s="3" t="s">
        <v>11</v>
      </c>
      <c r="H329" s="3" t="s">
        <v>13</v>
      </c>
      <c r="I329" s="3" t="s">
        <v>15</v>
      </c>
      <c r="J329" s="1">
        <v>0</v>
      </c>
      <c r="K329" s="12">
        <v>0</v>
      </c>
      <c r="L329" s="1">
        <v>23387.61</v>
      </c>
      <c r="M329" s="12">
        <v>1292</v>
      </c>
      <c r="N329" t="s">
        <v>216</v>
      </c>
      <c r="O329" t="s">
        <v>217</v>
      </c>
      <c r="P329" s="2">
        <f>IF(BD_Receitas[[#This Row],[TIPO DE COBRANÇA]]="Operação Normal",
_xlfn.XLOOKUP(BD_Receitas[[#This Row],[ID]],TabCondicoesComerciais[ID],TabCondicoesComerciais[Volume mínimo 
(m3)],0),"")</f>
        <v>0</v>
      </c>
      <c r="Q329" s="2">
        <f>_xlfn.XLOOKUP(BD_Receitas[[#This Row],[ID]],TabCondicoesComerciais[ID],TabCondicoesComerciais[Vol. 1ºGiro],0)</f>
        <v>750</v>
      </c>
      <c r="R3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329" s="1">
        <f xml:space="preserve"> IF(BD_Receitas[[#This Row],[TIPO DE COBRANÇA]]="Operação Normal",
_xlfn.XLOOKUP(BD_Receitas[[#This Row],[ID]],TabCondicoesComerciais[ID],TabCondicoesComerciais[Tarifa 2º Giro],0),0)</f>
        <v>22.2</v>
      </c>
      <c r="T329" s="5">
        <f>IFERROR(IF(BD_Receitas[[#This Row],[TIPO DE COBRANÇA]]&lt;&gt;"Operação Normal","",BD_Receitas[[#This Row],[Valor Total R$]]/ MAX(BD_Receitas[[#This Row],[Vol. Movimentado M³]],
BD_Receitas[[#This Row],[Volume Mínimo ]])
),0)</f>
        <v>18.101865325077402</v>
      </c>
      <c r="U32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18.101865325077402</v>
      </c>
      <c r="V32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32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28682.400000000001</v>
      </c>
      <c r="X3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30" spans="1:24" hidden="1" x14ac:dyDescent="0.35">
      <c r="A330" s="3" t="s">
        <v>172</v>
      </c>
      <c r="B330" s="11">
        <v>45809</v>
      </c>
      <c r="C330" t="s">
        <v>31</v>
      </c>
      <c r="D330" t="s">
        <v>202</v>
      </c>
      <c r="E330" t="s">
        <v>35</v>
      </c>
      <c r="F330" s="10" t="s">
        <v>22</v>
      </c>
      <c r="G330" s="3" t="s">
        <v>11</v>
      </c>
      <c r="H330" s="3" t="s">
        <v>13</v>
      </c>
      <c r="I330" s="3" t="s">
        <v>65</v>
      </c>
      <c r="J330" s="1">
        <v>0</v>
      </c>
      <c r="K330" s="12">
        <v>0</v>
      </c>
      <c r="L330" s="1"/>
      <c r="M330" s="12"/>
      <c r="N330"/>
      <c r="O330"/>
      <c r="P330" s="2" t="str">
        <f>IF(BD_Receitas[[#This Row],[TIPO DE COBRANÇA]]="Operação Normal",
_xlfn.XLOOKUP(BD_Receitas[[#This Row],[ID]],TabCondicoesComerciais[ID],TabCondicoesComerciais[Volume mínimo 
(m3)],0),"")</f>
        <v/>
      </c>
      <c r="Q330" s="2">
        <f>_xlfn.XLOOKUP(BD_Receitas[[#This Row],[ID]],TabCondicoesComerciais[ID],TabCondicoesComerciais[Vol. 1ºGiro],0)</f>
        <v>750</v>
      </c>
      <c r="R3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30" s="1">
        <f xml:space="preserve"> IF(BD_Receitas[[#This Row],[TIPO DE COBRANÇA]]="Operação Normal",
_xlfn.XLOOKUP(BD_Receitas[[#This Row],[ID]],TabCondicoesComerciais[ID],TabCondicoesComerciais[Tarifa 2º Giro],0),0)</f>
        <v>0</v>
      </c>
      <c r="T3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1" spans="1:24" hidden="1" x14ac:dyDescent="0.35">
      <c r="A331" s="3" t="s">
        <v>149</v>
      </c>
      <c r="B331" s="11">
        <v>45809</v>
      </c>
      <c r="C331" t="s">
        <v>31</v>
      </c>
      <c r="D331" t="s">
        <v>110</v>
      </c>
      <c r="E331" t="s">
        <v>117</v>
      </c>
      <c r="F331" s="10" t="s">
        <v>23</v>
      </c>
      <c r="G331" s="3" t="s">
        <v>112</v>
      </c>
      <c r="H331" s="3" t="s">
        <v>113</v>
      </c>
      <c r="I331" s="3" t="s">
        <v>7</v>
      </c>
      <c r="J331" s="1">
        <v>0</v>
      </c>
      <c r="K331" s="12">
        <v>0</v>
      </c>
      <c r="L331" s="1"/>
      <c r="M331" s="12"/>
      <c r="N331"/>
      <c r="O331"/>
      <c r="P331" s="2" t="str">
        <f>IF(BD_Receitas[[#This Row],[TIPO DE COBRANÇA]]="Operação Normal",
_xlfn.XLOOKUP(BD_Receitas[[#This Row],[ID]],TabCondicoesComerciais[ID],TabCondicoesComerciais[Volume mínimo 
(m3)],0),"")</f>
        <v/>
      </c>
      <c r="Q331" s="2">
        <f>_xlfn.XLOOKUP(BD_Receitas[[#This Row],[ID]],TabCondicoesComerciais[ID],TabCondicoesComerciais[Vol. 1ºGiro],0)</f>
        <v>750</v>
      </c>
      <c r="R3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331" s="1">
        <f xml:space="preserve"> IF(BD_Receitas[[#This Row],[TIPO DE COBRANÇA]]="Operação Normal",
_xlfn.XLOOKUP(BD_Receitas[[#This Row],[ID]],TabCondicoesComerciais[ID],TabCondicoesComerciais[Tarifa 2º Giro],0),0)</f>
        <v>0</v>
      </c>
      <c r="T33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2" spans="1:24" hidden="1" x14ac:dyDescent="0.35">
      <c r="A332" s="3" t="s">
        <v>149</v>
      </c>
      <c r="B332" s="11">
        <v>45809</v>
      </c>
      <c r="C332" t="s">
        <v>31</v>
      </c>
      <c r="D332" t="s">
        <v>110</v>
      </c>
      <c r="E332" t="s">
        <v>117</v>
      </c>
      <c r="F332" s="10" t="s">
        <v>23</v>
      </c>
      <c r="G332" s="3" t="s">
        <v>112</v>
      </c>
      <c r="H332" s="3" t="s">
        <v>113</v>
      </c>
      <c r="I332" s="3" t="s">
        <v>8</v>
      </c>
      <c r="J332" s="1">
        <v>0</v>
      </c>
      <c r="K332" s="12">
        <v>0</v>
      </c>
      <c r="L332" s="1"/>
      <c r="M332" s="12"/>
      <c r="N332"/>
      <c r="O332"/>
      <c r="P332" s="2" t="str">
        <f>IF(BD_Receitas[[#This Row],[TIPO DE COBRANÇA]]="Operação Normal",
_xlfn.XLOOKUP(BD_Receitas[[#This Row],[ID]],TabCondicoesComerciais[ID],TabCondicoesComerciais[Volume mínimo 
(m3)],0),"")</f>
        <v/>
      </c>
      <c r="Q332" s="2">
        <f>_xlfn.XLOOKUP(BD_Receitas[[#This Row],[ID]],TabCondicoesComerciais[ID],TabCondicoesComerciais[Vol. 1ºGiro],0)</f>
        <v>750</v>
      </c>
      <c r="R3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332" s="1">
        <f xml:space="preserve"> IF(BD_Receitas[[#This Row],[TIPO DE COBRANÇA]]="Operação Normal",
_xlfn.XLOOKUP(BD_Receitas[[#This Row],[ID]],TabCondicoesComerciais[ID],TabCondicoesComerciais[Tarifa 2º Giro],0),0)</f>
        <v>0</v>
      </c>
      <c r="T3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3" spans="1:24" hidden="1" x14ac:dyDescent="0.35">
      <c r="A333" s="3" t="s">
        <v>149</v>
      </c>
      <c r="B333" s="11">
        <v>45809</v>
      </c>
      <c r="C333" t="s">
        <v>31</v>
      </c>
      <c r="D333" t="s">
        <v>110</v>
      </c>
      <c r="E333" t="s">
        <v>117</v>
      </c>
      <c r="F333" s="10" t="s">
        <v>23</v>
      </c>
      <c r="G333" s="3" t="s">
        <v>112</v>
      </c>
      <c r="H333" s="3" t="s">
        <v>113</v>
      </c>
      <c r="I333" s="3" t="s">
        <v>15</v>
      </c>
      <c r="J333" s="1">
        <v>0</v>
      </c>
      <c r="K333" s="12">
        <v>0</v>
      </c>
      <c r="L333" s="1"/>
      <c r="M333" s="12"/>
      <c r="N333"/>
      <c r="O333"/>
      <c r="P333" s="2">
        <f>IF(BD_Receitas[[#This Row],[TIPO DE COBRANÇA]]="Operação Normal",
_xlfn.XLOOKUP(BD_Receitas[[#This Row],[ID]],TabCondicoesComerciais[ID],TabCondicoesComerciais[Volume mínimo 
(m3)],0),"")</f>
        <v>3000</v>
      </c>
      <c r="Q333" s="2">
        <f>_xlfn.XLOOKUP(BD_Receitas[[#This Row],[ID]],TabCondicoesComerciais[ID],TabCondicoesComerciais[Vol. 1ºGiro],0)</f>
        <v>750</v>
      </c>
      <c r="R3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333" s="1">
        <f xml:space="preserve"> IF(BD_Receitas[[#This Row],[TIPO DE COBRANÇA]]="Operação Normal",
_xlfn.XLOOKUP(BD_Receitas[[#This Row],[ID]],TabCondicoesComerciais[ID],TabCondicoesComerciais[Tarifa 2º Giro],0),0)</f>
        <v>19.5</v>
      </c>
      <c r="T33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3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3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33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34" spans="1:24" hidden="1" x14ac:dyDescent="0.35">
      <c r="A334" s="3" t="s">
        <v>149</v>
      </c>
      <c r="B334" s="11">
        <v>45809</v>
      </c>
      <c r="C334" t="s">
        <v>31</v>
      </c>
      <c r="D334" t="s">
        <v>110</v>
      </c>
      <c r="E334" t="s">
        <v>117</v>
      </c>
      <c r="F334" s="10" t="s">
        <v>23</v>
      </c>
      <c r="G334" s="3" t="s">
        <v>112</v>
      </c>
      <c r="H334" s="3" t="s">
        <v>113</v>
      </c>
      <c r="I334" s="3" t="s">
        <v>65</v>
      </c>
      <c r="J334" s="1">
        <v>0</v>
      </c>
      <c r="K334" s="12">
        <v>0</v>
      </c>
      <c r="L334" s="1"/>
      <c r="M334" s="12"/>
      <c r="N334"/>
      <c r="O334"/>
      <c r="P334" s="2" t="str">
        <f>IF(BD_Receitas[[#This Row],[TIPO DE COBRANÇA]]="Operação Normal",
_xlfn.XLOOKUP(BD_Receitas[[#This Row],[ID]],TabCondicoesComerciais[ID],TabCondicoesComerciais[Volume mínimo 
(m3)],0),"")</f>
        <v/>
      </c>
      <c r="Q334" s="2">
        <f>_xlfn.XLOOKUP(BD_Receitas[[#This Row],[ID]],TabCondicoesComerciais[ID],TabCondicoesComerciais[Vol. 1ºGiro],0)</f>
        <v>750</v>
      </c>
      <c r="R3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34" s="1">
        <f xml:space="preserve"> IF(BD_Receitas[[#This Row],[TIPO DE COBRANÇA]]="Operação Normal",
_xlfn.XLOOKUP(BD_Receitas[[#This Row],[ID]],TabCondicoesComerciais[ID],TabCondicoesComerciais[Tarifa 2º Giro],0),0)</f>
        <v>0</v>
      </c>
      <c r="T3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5" spans="1:24" hidden="1" x14ac:dyDescent="0.35">
      <c r="A335" s="3" t="s">
        <v>177</v>
      </c>
      <c r="B335" s="11">
        <v>45809</v>
      </c>
      <c r="C335" t="s">
        <v>31</v>
      </c>
      <c r="D335" t="s">
        <v>62</v>
      </c>
      <c r="E335" t="s">
        <v>33</v>
      </c>
      <c r="F335" s="10" t="s">
        <v>46</v>
      </c>
      <c r="G335" s="3" t="s">
        <v>87</v>
      </c>
      <c r="H335" s="3" t="s">
        <v>9</v>
      </c>
      <c r="I335" s="3" t="s">
        <v>7</v>
      </c>
      <c r="J335" s="1">
        <v>0</v>
      </c>
      <c r="K335" s="12">
        <v>0</v>
      </c>
      <c r="L335" s="1">
        <v>2492.172</v>
      </c>
      <c r="M335" s="12">
        <v>346.13600000000002</v>
      </c>
      <c r="N335" t="s">
        <v>53</v>
      </c>
      <c r="O335"/>
      <c r="P335" s="2" t="str">
        <f>IF(BD_Receitas[[#This Row],[TIPO DE COBRANÇA]]="Operação Normal",
_xlfn.XLOOKUP(BD_Receitas[[#This Row],[ID]],TabCondicoesComerciais[ID],TabCondicoesComerciais[Volume mínimo 
(m3)],0),"")</f>
        <v/>
      </c>
      <c r="Q335" s="2">
        <f>_xlfn.XLOOKUP(BD_Receitas[[#This Row],[ID]],TabCondicoesComerciais[ID],TabCondicoesComerciais[Vol. 1ºGiro],0)</f>
        <v>1070</v>
      </c>
      <c r="R3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335" s="1">
        <f xml:space="preserve"> IF(BD_Receitas[[#This Row],[TIPO DE COBRANÇA]]="Operação Normal",
_xlfn.XLOOKUP(BD_Receitas[[#This Row],[ID]],TabCondicoesComerciais[ID],TabCondicoesComerciais[Tarifa 2º Giro],0),0)</f>
        <v>0</v>
      </c>
      <c r="T33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6" spans="1:24" hidden="1" x14ac:dyDescent="0.35">
      <c r="A336" s="3" t="s">
        <v>177</v>
      </c>
      <c r="B336" s="11">
        <v>45809</v>
      </c>
      <c r="C336" t="s">
        <v>31</v>
      </c>
      <c r="D336" t="s">
        <v>62</v>
      </c>
      <c r="E336" t="s">
        <v>33</v>
      </c>
      <c r="F336" s="10" t="s">
        <v>46</v>
      </c>
      <c r="G336" s="3" t="s">
        <v>87</v>
      </c>
      <c r="H336" s="3" t="s">
        <v>9</v>
      </c>
      <c r="I336" s="3" t="s">
        <v>8</v>
      </c>
      <c r="J336" s="1">
        <v>0</v>
      </c>
      <c r="K336" s="12">
        <v>0</v>
      </c>
      <c r="L336" s="1">
        <v>569.13599999999997</v>
      </c>
      <c r="M336" s="12">
        <v>79.046000000000006</v>
      </c>
      <c r="N336" t="s">
        <v>53</v>
      </c>
      <c r="O336"/>
      <c r="P336" s="2" t="str">
        <f>IF(BD_Receitas[[#This Row],[TIPO DE COBRANÇA]]="Operação Normal",
_xlfn.XLOOKUP(BD_Receitas[[#This Row],[ID]],TabCondicoesComerciais[ID],TabCondicoesComerciais[Volume mínimo 
(m3)],0),"")</f>
        <v/>
      </c>
      <c r="Q336" s="2">
        <f>_xlfn.XLOOKUP(BD_Receitas[[#This Row],[ID]],TabCondicoesComerciais[ID],TabCondicoesComerciais[Vol. 1ºGiro],0)</f>
        <v>1070</v>
      </c>
      <c r="R3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336" s="1">
        <f xml:space="preserve"> IF(BD_Receitas[[#This Row],[TIPO DE COBRANÇA]]="Operação Normal",
_xlfn.XLOOKUP(BD_Receitas[[#This Row],[ID]],TabCondicoesComerciais[ID],TabCondicoesComerciais[Tarifa 2º Giro],0),0)</f>
        <v>0</v>
      </c>
      <c r="T3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7" spans="1:24" hidden="1" x14ac:dyDescent="0.35">
      <c r="A337" s="3" t="s">
        <v>177</v>
      </c>
      <c r="B337" s="11">
        <v>45809</v>
      </c>
      <c r="C337" t="s">
        <v>31</v>
      </c>
      <c r="D337" t="s">
        <v>62</v>
      </c>
      <c r="E337" t="s">
        <v>33</v>
      </c>
      <c r="F337" s="10" t="s">
        <v>46</v>
      </c>
      <c r="G337" s="3" t="s">
        <v>87</v>
      </c>
      <c r="H337" s="3" t="s">
        <v>9</v>
      </c>
      <c r="I337" s="3" t="s">
        <v>15</v>
      </c>
      <c r="J337" s="1">
        <v>65348.32</v>
      </c>
      <c r="K337" s="12">
        <v>1926</v>
      </c>
      <c r="L337" s="1">
        <v>57780</v>
      </c>
      <c r="M337" s="12">
        <v>1079.865</v>
      </c>
      <c r="N337" t="s">
        <v>53</v>
      </c>
      <c r="O337"/>
      <c r="P337" s="2">
        <f>IF(BD_Receitas[[#This Row],[TIPO DE COBRANÇA]]="Operação Normal",
_xlfn.XLOOKUP(BD_Receitas[[#This Row],[ID]],TabCondicoesComerciais[ID],TabCondicoesComerciais[Volume mínimo 
(m3)],0),"")</f>
        <v>3210</v>
      </c>
      <c r="Q337" s="2">
        <f>_xlfn.XLOOKUP(BD_Receitas[[#This Row],[ID]],TabCondicoesComerciais[ID],TabCondicoesComerciais[Vol. 1ºGiro],0)</f>
        <v>1070</v>
      </c>
      <c r="R3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337" s="1">
        <f xml:space="preserve"> IF(BD_Receitas[[#This Row],[TIPO DE COBRANÇA]]="Operação Normal",
_xlfn.XLOOKUP(BD_Receitas[[#This Row],[ID]],TabCondicoesComerciais[ID],TabCondicoesComerciais[Tarifa 2º Giro],0),0)</f>
        <v>32.64</v>
      </c>
      <c r="T337" s="5">
        <f>IFERROR(IF(BD_Receitas[[#This Row],[TIPO DE COBRANÇA]]&lt;&gt;"Operação Normal","",BD_Receitas[[#This Row],[Valor Total R$]]/ MAX(BD_Receitas[[#This Row],[Vol. Movimentado M³]],
BD_Receitas[[#This Row],[Volume Mínimo ]])
),0)</f>
        <v>18</v>
      </c>
      <c r="U33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61.047730966370786</v>
      </c>
      <c r="V33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33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35246.793600000005</v>
      </c>
      <c r="X3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38" spans="1:24" hidden="1" x14ac:dyDescent="0.35">
      <c r="A338" s="3" t="s">
        <v>177</v>
      </c>
      <c r="B338" s="11">
        <v>45809</v>
      </c>
      <c r="C338" t="s">
        <v>31</v>
      </c>
      <c r="D338" t="s">
        <v>62</v>
      </c>
      <c r="E338" t="s">
        <v>33</v>
      </c>
      <c r="F338" s="10" t="s">
        <v>46</v>
      </c>
      <c r="G338" s="3" t="s">
        <v>87</v>
      </c>
      <c r="H338" s="3" t="s">
        <v>9</v>
      </c>
      <c r="I338" s="3" t="s">
        <v>65</v>
      </c>
      <c r="J338" s="1">
        <v>0</v>
      </c>
      <c r="K338" s="12">
        <v>0</v>
      </c>
      <c r="L338" s="1">
        <v>5082</v>
      </c>
      <c r="M338" s="12">
        <v>0</v>
      </c>
      <c r="N338" t="s">
        <v>53</v>
      </c>
      <c r="O338"/>
      <c r="P338" s="2" t="str">
        <f>IF(BD_Receitas[[#This Row],[TIPO DE COBRANÇA]]="Operação Normal",
_xlfn.XLOOKUP(BD_Receitas[[#This Row],[ID]],TabCondicoesComerciais[ID],TabCondicoesComerciais[Volume mínimo 
(m3)],0),"")</f>
        <v/>
      </c>
      <c r="Q338" s="2">
        <f>_xlfn.XLOOKUP(BD_Receitas[[#This Row],[ID]],TabCondicoesComerciais[ID],TabCondicoesComerciais[Vol. 1ºGiro],0)</f>
        <v>1070</v>
      </c>
      <c r="R3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38" s="1">
        <f xml:space="preserve"> IF(BD_Receitas[[#This Row],[TIPO DE COBRANÇA]]="Operação Normal",
_xlfn.XLOOKUP(BD_Receitas[[#This Row],[ID]],TabCondicoesComerciais[ID],TabCondicoesComerciais[Tarifa 2º Giro],0),0)</f>
        <v>0</v>
      </c>
      <c r="T3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39" spans="1:24" hidden="1" x14ac:dyDescent="0.35">
      <c r="A339" s="3" t="s">
        <v>200</v>
      </c>
      <c r="B339" s="11">
        <v>45809</v>
      </c>
      <c r="C339" t="s">
        <v>31</v>
      </c>
      <c r="D339" t="s">
        <v>203</v>
      </c>
      <c r="E339" t="s">
        <v>32</v>
      </c>
      <c r="F339" s="10" t="s">
        <v>25</v>
      </c>
      <c r="G339" s="3" t="s">
        <v>12</v>
      </c>
      <c r="H339" s="3" t="s">
        <v>10</v>
      </c>
      <c r="I339" s="3" t="s">
        <v>7</v>
      </c>
      <c r="J339" s="1">
        <v>0</v>
      </c>
      <c r="K339" s="12">
        <v>0</v>
      </c>
      <c r="L339" s="1"/>
      <c r="M339" s="12"/>
      <c r="N339"/>
      <c r="O339"/>
      <c r="P339" s="2" t="str">
        <f>IF(BD_Receitas[[#This Row],[TIPO DE COBRANÇA]]="Operação Normal",
_xlfn.XLOOKUP(BD_Receitas[[#This Row],[ID]],TabCondicoesComerciais[ID],TabCondicoesComerciais[Volume mínimo 
(m3)],0),"")</f>
        <v/>
      </c>
      <c r="Q339" s="2">
        <f>_xlfn.XLOOKUP(BD_Receitas[[#This Row],[ID]],TabCondicoesComerciais[ID],TabCondicoesComerciais[Vol. 1ºGiro],0)</f>
        <v>2000</v>
      </c>
      <c r="R3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39" s="1">
        <f xml:space="preserve"> IF(BD_Receitas[[#This Row],[TIPO DE COBRANÇA]]="Operação Normal",
_xlfn.XLOOKUP(BD_Receitas[[#This Row],[ID]],TabCondicoesComerciais[ID],TabCondicoesComerciais[Tarifa 2º Giro],0),0)</f>
        <v>0</v>
      </c>
      <c r="T33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3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3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3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0" spans="1:24" hidden="1" x14ac:dyDescent="0.35">
      <c r="A340" s="3" t="s">
        <v>200</v>
      </c>
      <c r="B340" s="11">
        <v>45809</v>
      </c>
      <c r="C340" t="s">
        <v>31</v>
      </c>
      <c r="D340" t="s">
        <v>203</v>
      </c>
      <c r="E340" t="s">
        <v>32</v>
      </c>
      <c r="F340" s="10" t="s">
        <v>25</v>
      </c>
      <c r="G340" s="3" t="s">
        <v>12</v>
      </c>
      <c r="H340" s="3" t="s">
        <v>10</v>
      </c>
      <c r="I340" s="3" t="s">
        <v>8</v>
      </c>
      <c r="J340" s="1">
        <v>0</v>
      </c>
      <c r="K340" s="12">
        <v>0</v>
      </c>
      <c r="L340" s="1"/>
      <c r="M340" s="12"/>
      <c r="N340"/>
      <c r="O340"/>
      <c r="P340" s="2" t="str">
        <f>IF(BD_Receitas[[#This Row],[TIPO DE COBRANÇA]]="Operação Normal",
_xlfn.XLOOKUP(BD_Receitas[[#This Row],[ID]],TabCondicoesComerciais[ID],TabCondicoesComerciais[Volume mínimo 
(m3)],0),"")</f>
        <v/>
      </c>
      <c r="Q340" s="2">
        <f>_xlfn.XLOOKUP(BD_Receitas[[#This Row],[ID]],TabCondicoesComerciais[ID],TabCondicoesComerciais[Vol. 1ºGiro],0)</f>
        <v>2000</v>
      </c>
      <c r="R3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40" s="1">
        <f xml:space="preserve"> IF(BD_Receitas[[#This Row],[TIPO DE COBRANÇA]]="Operação Normal",
_xlfn.XLOOKUP(BD_Receitas[[#This Row],[ID]],TabCondicoesComerciais[ID],TabCondicoesComerciais[Tarifa 2º Giro],0),0)</f>
        <v>0</v>
      </c>
      <c r="T3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1" spans="1:24" hidden="1" x14ac:dyDescent="0.35">
      <c r="A341" s="3" t="s">
        <v>200</v>
      </c>
      <c r="B341" s="11">
        <v>45809</v>
      </c>
      <c r="C341" t="s">
        <v>31</v>
      </c>
      <c r="D341" t="s">
        <v>203</v>
      </c>
      <c r="E341" t="s">
        <v>32</v>
      </c>
      <c r="F341" s="10" t="s">
        <v>25</v>
      </c>
      <c r="G341" s="3" t="s">
        <v>12</v>
      </c>
      <c r="H341" s="3" t="s">
        <v>10</v>
      </c>
      <c r="I341" s="3" t="s">
        <v>15</v>
      </c>
      <c r="J341" s="1">
        <v>0</v>
      </c>
      <c r="K341" s="12">
        <v>0</v>
      </c>
      <c r="L341" s="1">
        <v>86053.7</v>
      </c>
      <c r="M341" s="12">
        <v>4302.6850000000004</v>
      </c>
      <c r="N341" t="s">
        <v>137</v>
      </c>
      <c r="O341" t="s">
        <v>155</v>
      </c>
      <c r="P341" s="2">
        <f>IF(BD_Receitas[[#This Row],[TIPO DE COBRANÇA]]="Operação Normal",
_xlfn.XLOOKUP(BD_Receitas[[#This Row],[ID]],TabCondicoesComerciais[ID],TabCondicoesComerciais[Volume mínimo 
(m3)],0),"")</f>
        <v>8000</v>
      </c>
      <c r="Q341" s="2">
        <f>_xlfn.XLOOKUP(BD_Receitas[[#This Row],[ID]],TabCondicoesComerciais[ID],TabCondicoesComerciais[Vol. 1ºGiro],0)</f>
        <v>2000</v>
      </c>
      <c r="R3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341" s="1">
        <f xml:space="preserve"> IF(BD_Receitas[[#This Row],[TIPO DE COBRANÇA]]="Operação Normal",
_xlfn.XLOOKUP(BD_Receitas[[#This Row],[ID]],TabCondicoesComerciais[ID],TabCondicoesComerciais[Tarifa 2º Giro],0),0)</f>
        <v>20</v>
      </c>
      <c r="T341" s="5">
        <f>IFERROR(IF(BD_Receitas[[#This Row],[TIPO DE COBRANÇA]]&lt;&gt;"Operação Normal","",BD_Receitas[[#This Row],[Valor Total R$]]/ MAX(BD_Receitas[[#This Row],[Vol. Movimentado M³]],
BD_Receitas[[#This Row],[Volume Mínimo ]])
),0)</f>
        <v>10.756712499999999</v>
      </c>
      <c r="U34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59.999999999999986</v>
      </c>
      <c r="V34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34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86053.700000000012</v>
      </c>
      <c r="X3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42" spans="1:24" hidden="1" x14ac:dyDescent="0.35">
      <c r="A342" s="3" t="s">
        <v>200</v>
      </c>
      <c r="B342" s="11">
        <v>45809</v>
      </c>
      <c r="C342" t="s">
        <v>31</v>
      </c>
      <c r="D342" t="s">
        <v>203</v>
      </c>
      <c r="E342" t="s">
        <v>32</v>
      </c>
      <c r="F342" s="10" t="s">
        <v>25</v>
      </c>
      <c r="G342" s="3" t="s">
        <v>12</v>
      </c>
      <c r="H342" s="3" t="s">
        <v>10</v>
      </c>
      <c r="I342" s="3" t="s">
        <v>15</v>
      </c>
      <c r="J342" s="1">
        <v>0</v>
      </c>
      <c r="K342" s="12">
        <v>0</v>
      </c>
      <c r="L342" s="1">
        <v>86053.7</v>
      </c>
      <c r="M342" s="12">
        <v>4302.6850000000004</v>
      </c>
      <c r="N342" t="s">
        <v>137</v>
      </c>
      <c r="O342" t="s">
        <v>155</v>
      </c>
      <c r="P342" s="2">
        <f>IF(BD_Receitas[[#This Row],[TIPO DE COBRANÇA]]="Operação Normal",
_xlfn.XLOOKUP(BD_Receitas[[#This Row],[ID]],TabCondicoesComerciais[ID],TabCondicoesComerciais[Volume mínimo 
(m3)],0),"")</f>
        <v>8000</v>
      </c>
      <c r="Q342" s="2">
        <f>_xlfn.XLOOKUP(BD_Receitas[[#This Row],[ID]],TabCondicoesComerciais[ID],TabCondicoesComerciais[Vol. 1ºGiro],0)</f>
        <v>2000</v>
      </c>
      <c r="R3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342" s="1">
        <f xml:space="preserve"> IF(BD_Receitas[[#This Row],[TIPO DE COBRANÇA]]="Operação Normal",
_xlfn.XLOOKUP(BD_Receitas[[#This Row],[ID]],TabCondicoesComerciais[ID],TabCondicoesComerciais[Tarifa 2º Giro],0),0)</f>
        <v>20</v>
      </c>
      <c r="T342" s="5">
        <f>IFERROR(IF(BD_Receitas[[#This Row],[TIPO DE COBRANÇA]]&lt;&gt;"Operação Normal","",BD_Receitas[[#This Row],[Valor Total R$]]/ MAX(BD_Receitas[[#This Row],[Vol. Movimentado M³]],
BD_Receitas[[#This Row],[Volume Mínimo ]])
),0)</f>
        <v>10.756712499999999</v>
      </c>
      <c r="U34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59.999999999999986</v>
      </c>
      <c r="V34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34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86053.700000000012</v>
      </c>
      <c r="X3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43" spans="1:24" hidden="1" x14ac:dyDescent="0.35">
      <c r="A343" s="3" t="s">
        <v>200</v>
      </c>
      <c r="B343" s="11">
        <v>45809</v>
      </c>
      <c r="C343" t="s">
        <v>31</v>
      </c>
      <c r="D343" t="s">
        <v>203</v>
      </c>
      <c r="E343" t="s">
        <v>32</v>
      </c>
      <c r="F343" s="10" t="s">
        <v>25</v>
      </c>
      <c r="G343" s="3" t="s">
        <v>12</v>
      </c>
      <c r="H343" s="3" t="s">
        <v>10</v>
      </c>
      <c r="I343" s="3" t="s">
        <v>15</v>
      </c>
      <c r="J343" s="1">
        <v>0</v>
      </c>
      <c r="K343" s="12">
        <v>0</v>
      </c>
      <c r="L343" s="1">
        <v>86053.7</v>
      </c>
      <c r="M343" s="12">
        <v>4302.6850000000004</v>
      </c>
      <c r="N343" t="s">
        <v>137</v>
      </c>
      <c r="O343" t="s">
        <v>155</v>
      </c>
      <c r="P343" s="2">
        <f>IF(BD_Receitas[[#This Row],[TIPO DE COBRANÇA]]="Operação Normal",
_xlfn.XLOOKUP(BD_Receitas[[#This Row],[ID]],TabCondicoesComerciais[ID],TabCondicoesComerciais[Volume mínimo 
(m3)],0),"")</f>
        <v>8000</v>
      </c>
      <c r="Q343" s="2">
        <f>_xlfn.XLOOKUP(BD_Receitas[[#This Row],[ID]],TabCondicoesComerciais[ID],TabCondicoesComerciais[Vol. 1ºGiro],0)</f>
        <v>2000</v>
      </c>
      <c r="R3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343" s="1">
        <f xml:space="preserve"> IF(BD_Receitas[[#This Row],[TIPO DE COBRANÇA]]="Operação Normal",
_xlfn.XLOOKUP(BD_Receitas[[#This Row],[ID]],TabCondicoesComerciais[ID],TabCondicoesComerciais[Tarifa 2º Giro],0),0)</f>
        <v>20</v>
      </c>
      <c r="T343" s="5">
        <f>IFERROR(IF(BD_Receitas[[#This Row],[TIPO DE COBRANÇA]]&lt;&gt;"Operação Normal","",BD_Receitas[[#This Row],[Valor Total R$]]/ MAX(BD_Receitas[[#This Row],[Vol. Movimentado M³]],
BD_Receitas[[#This Row],[Volume Mínimo ]])
),0)</f>
        <v>10.756712499999999</v>
      </c>
      <c r="U3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59.999999999999986</v>
      </c>
      <c r="V3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3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86053.700000000012</v>
      </c>
      <c r="X3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44" spans="1:24" hidden="1" x14ac:dyDescent="0.35">
      <c r="A344" s="3" t="s">
        <v>200</v>
      </c>
      <c r="B344" s="11">
        <v>45809</v>
      </c>
      <c r="C344" t="s">
        <v>31</v>
      </c>
      <c r="D344" t="s">
        <v>203</v>
      </c>
      <c r="E344" t="s">
        <v>32</v>
      </c>
      <c r="F344" s="10" t="s">
        <v>25</v>
      </c>
      <c r="G344" s="3" t="s">
        <v>12</v>
      </c>
      <c r="H344" s="3" t="s">
        <v>10</v>
      </c>
      <c r="I344" s="3" t="s">
        <v>65</v>
      </c>
      <c r="J344" s="1">
        <v>0</v>
      </c>
      <c r="K344" s="12">
        <v>0</v>
      </c>
      <c r="L344" s="1"/>
      <c r="M344" s="12"/>
      <c r="N344"/>
      <c r="O344"/>
      <c r="P344" s="2" t="str">
        <f>IF(BD_Receitas[[#This Row],[TIPO DE COBRANÇA]]="Operação Normal",
_xlfn.XLOOKUP(BD_Receitas[[#This Row],[ID]],TabCondicoesComerciais[ID],TabCondicoesComerciais[Volume mínimo 
(m3)],0),"")</f>
        <v/>
      </c>
      <c r="Q344" s="2">
        <f>_xlfn.XLOOKUP(BD_Receitas[[#This Row],[ID]],TabCondicoesComerciais[ID],TabCondicoesComerciais[Vol. 1ºGiro],0)</f>
        <v>2000</v>
      </c>
      <c r="R3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44" s="1">
        <f xml:space="preserve"> IF(BD_Receitas[[#This Row],[TIPO DE COBRANÇA]]="Operação Normal",
_xlfn.XLOOKUP(BD_Receitas[[#This Row],[ID]],TabCondicoesComerciais[ID],TabCondicoesComerciais[Tarifa 2º Giro],0),0)</f>
        <v>0</v>
      </c>
      <c r="T3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5" spans="1:24" hidden="1" x14ac:dyDescent="0.35">
      <c r="A345" s="3" t="s">
        <v>264</v>
      </c>
      <c r="B345" s="11">
        <v>45809</v>
      </c>
      <c r="C345" t="s">
        <v>31</v>
      </c>
      <c r="D345" t="s">
        <v>203</v>
      </c>
      <c r="E345" t="s">
        <v>32</v>
      </c>
      <c r="F345" s="10" t="s">
        <v>25</v>
      </c>
      <c r="G345" s="3" t="s">
        <v>12</v>
      </c>
      <c r="H345" s="3" t="s">
        <v>9</v>
      </c>
      <c r="I345" s="3" t="s">
        <v>7</v>
      </c>
      <c r="J345" s="1">
        <v>0</v>
      </c>
      <c r="K345" s="12">
        <v>0</v>
      </c>
      <c r="L345" s="1"/>
      <c r="M345" s="12"/>
      <c r="N345"/>
      <c r="O345"/>
      <c r="P345" s="2" t="str">
        <f>IF(BD_Receitas[[#This Row],[TIPO DE COBRANÇA]]="Operação Normal",
_xlfn.XLOOKUP(BD_Receitas[[#This Row],[ID]],TabCondicoesComerciais[ID],TabCondicoesComerciais[Volume mínimo 
(m3)],0),"")</f>
        <v/>
      </c>
      <c r="Q345" s="2">
        <f>_xlfn.XLOOKUP(BD_Receitas[[#This Row],[ID]],TabCondicoesComerciais[ID],TabCondicoesComerciais[Vol. 1ºGiro],0)</f>
        <v>1125</v>
      </c>
      <c r="R3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345" s="1">
        <f xml:space="preserve"> IF(BD_Receitas[[#This Row],[TIPO DE COBRANÇA]]="Operação Normal",
_xlfn.XLOOKUP(BD_Receitas[[#This Row],[ID]],TabCondicoesComerciais[ID],TabCondicoesComerciais[Tarifa 2º Giro],0),0)</f>
        <v>0</v>
      </c>
      <c r="T3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6" spans="1:24" hidden="1" x14ac:dyDescent="0.35">
      <c r="A346" s="3" t="s">
        <v>264</v>
      </c>
      <c r="B346" s="11">
        <v>45809</v>
      </c>
      <c r="C346" t="s">
        <v>31</v>
      </c>
      <c r="D346" t="s">
        <v>203</v>
      </c>
      <c r="E346" t="s">
        <v>32</v>
      </c>
      <c r="F346" s="10" t="s">
        <v>25</v>
      </c>
      <c r="G346" s="3" t="s">
        <v>12</v>
      </c>
      <c r="H346" s="3" t="s">
        <v>9</v>
      </c>
      <c r="I346" s="3" t="s">
        <v>8</v>
      </c>
      <c r="J346" s="1">
        <v>0</v>
      </c>
      <c r="K346" s="12">
        <v>0</v>
      </c>
      <c r="L346" s="1"/>
      <c r="M346" s="12"/>
      <c r="N346"/>
      <c r="O346"/>
      <c r="P346" s="2" t="str">
        <f>IF(BD_Receitas[[#This Row],[TIPO DE COBRANÇA]]="Operação Normal",
_xlfn.XLOOKUP(BD_Receitas[[#This Row],[ID]],TabCondicoesComerciais[ID],TabCondicoesComerciais[Volume mínimo 
(m3)],0),"")</f>
        <v/>
      </c>
      <c r="Q346" s="2">
        <f>_xlfn.XLOOKUP(BD_Receitas[[#This Row],[ID]],TabCondicoesComerciais[ID],TabCondicoesComerciais[Vol. 1ºGiro],0)</f>
        <v>1125</v>
      </c>
      <c r="R3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346" s="1">
        <f xml:space="preserve"> IF(BD_Receitas[[#This Row],[TIPO DE COBRANÇA]]="Operação Normal",
_xlfn.XLOOKUP(BD_Receitas[[#This Row],[ID]],TabCondicoesComerciais[ID],TabCondicoesComerciais[Tarifa 2º Giro],0),0)</f>
        <v>0</v>
      </c>
      <c r="T3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47" spans="1:24" hidden="1" x14ac:dyDescent="0.35">
      <c r="A347" s="3" t="s">
        <v>264</v>
      </c>
      <c r="B347" s="11">
        <v>45809</v>
      </c>
      <c r="C347" t="s">
        <v>31</v>
      </c>
      <c r="D347" t="s">
        <v>203</v>
      </c>
      <c r="E347" t="s">
        <v>32</v>
      </c>
      <c r="F347" s="10" t="s">
        <v>25</v>
      </c>
      <c r="G347" s="3" t="s">
        <v>12</v>
      </c>
      <c r="H347" s="3" t="s">
        <v>9</v>
      </c>
      <c r="I347" s="3" t="s">
        <v>15</v>
      </c>
      <c r="J347" s="1">
        <v>179058.61</v>
      </c>
      <c r="K347" s="12">
        <v>6100</v>
      </c>
      <c r="L347" s="1">
        <v>165859</v>
      </c>
      <c r="M347" s="12">
        <v>6100</v>
      </c>
      <c r="N347" t="s">
        <v>143</v>
      </c>
      <c r="O347" t="s">
        <v>155</v>
      </c>
      <c r="P347" s="2">
        <f>IF(BD_Receitas[[#This Row],[TIPO DE COBRANÇA]]="Operação Normal",
_xlfn.XLOOKUP(BD_Receitas[[#This Row],[ID]],TabCondicoesComerciais[ID],TabCondicoesComerciais[Volume mínimo 
(m3)],0),"")</f>
        <v>5625</v>
      </c>
      <c r="Q347" s="2">
        <f>_xlfn.XLOOKUP(BD_Receitas[[#This Row],[ID]],TabCondicoesComerciais[ID],TabCondicoesComerciais[Vol. 1ºGiro],0)</f>
        <v>1125</v>
      </c>
      <c r="R3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347" s="1">
        <f xml:space="preserve"> IF(BD_Receitas[[#This Row],[TIPO DE COBRANÇA]]="Operação Normal",
_xlfn.XLOOKUP(BD_Receitas[[#This Row],[ID]],TabCondicoesComerciais[ID],TabCondicoesComerciais[Tarifa 2º Giro],0),0)</f>
        <v>27.19</v>
      </c>
      <c r="T347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3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81.569999999999993</v>
      </c>
      <c r="V3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3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3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348" spans="1:24" hidden="1" x14ac:dyDescent="0.35">
      <c r="A348" s="3" t="s">
        <v>264</v>
      </c>
      <c r="B348" s="11">
        <v>45809</v>
      </c>
      <c r="C348" t="s">
        <v>31</v>
      </c>
      <c r="D348" t="s">
        <v>203</v>
      </c>
      <c r="E348" t="s">
        <v>32</v>
      </c>
      <c r="F348" s="10" t="s">
        <v>25</v>
      </c>
      <c r="G348" s="3" t="s">
        <v>12</v>
      </c>
      <c r="H348" s="3" t="s">
        <v>9</v>
      </c>
      <c r="I348" s="3" t="s">
        <v>15</v>
      </c>
      <c r="J348" s="1">
        <v>179058.61</v>
      </c>
      <c r="K348" s="12">
        <v>6100</v>
      </c>
      <c r="L348" s="1">
        <v>165859</v>
      </c>
      <c r="M348" s="12">
        <v>6100</v>
      </c>
      <c r="N348" t="s">
        <v>143</v>
      </c>
      <c r="O348" t="s">
        <v>155</v>
      </c>
      <c r="P348" s="2">
        <f>IF(BD_Receitas[[#This Row],[TIPO DE COBRANÇA]]="Operação Normal",
_xlfn.XLOOKUP(BD_Receitas[[#This Row],[ID]],TabCondicoesComerciais[ID],TabCondicoesComerciais[Volume mínimo 
(m3)],0),"")</f>
        <v>5625</v>
      </c>
      <c r="Q348" s="2">
        <f>_xlfn.XLOOKUP(BD_Receitas[[#This Row],[ID]],TabCondicoesComerciais[ID],TabCondicoesComerciais[Vol. 1ºGiro],0)</f>
        <v>1125</v>
      </c>
      <c r="R3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348" s="1">
        <f xml:space="preserve"> IF(BD_Receitas[[#This Row],[TIPO DE COBRANÇA]]="Operação Normal",
_xlfn.XLOOKUP(BD_Receitas[[#This Row],[ID]],TabCondicoesComerciais[ID],TabCondicoesComerciais[Tarifa 2º Giro],0),0)</f>
        <v>27.19</v>
      </c>
      <c r="T348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34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81.569999999999993</v>
      </c>
      <c r="V34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34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3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349" spans="1:24" hidden="1" x14ac:dyDescent="0.35">
      <c r="A349" s="3" t="s">
        <v>264</v>
      </c>
      <c r="B349" s="11">
        <v>45809</v>
      </c>
      <c r="C349" t="s">
        <v>31</v>
      </c>
      <c r="D349" t="s">
        <v>203</v>
      </c>
      <c r="E349" t="s">
        <v>32</v>
      </c>
      <c r="F349" s="10" t="s">
        <v>25</v>
      </c>
      <c r="G349" s="3" t="s">
        <v>12</v>
      </c>
      <c r="H349" s="3" t="s">
        <v>9</v>
      </c>
      <c r="I349" s="3" t="s">
        <v>15</v>
      </c>
      <c r="J349" s="1">
        <v>179058.61</v>
      </c>
      <c r="K349" s="12">
        <v>6100</v>
      </c>
      <c r="L349" s="1">
        <v>165859</v>
      </c>
      <c r="M349" s="12">
        <v>4368.3180000000002</v>
      </c>
      <c r="N349" t="s">
        <v>143</v>
      </c>
      <c r="O349" t="s">
        <v>155</v>
      </c>
      <c r="P349" s="2">
        <f>IF(BD_Receitas[[#This Row],[TIPO DE COBRANÇA]]="Operação Normal",
_xlfn.XLOOKUP(BD_Receitas[[#This Row],[ID]],TabCondicoesComerciais[ID],TabCondicoesComerciais[Volume mínimo 
(m3)],0),"")</f>
        <v>5625</v>
      </c>
      <c r="Q349" s="2">
        <f>_xlfn.XLOOKUP(BD_Receitas[[#This Row],[ID]],TabCondicoesComerciais[ID],TabCondicoesComerciais[Vol. 1ºGiro],0)</f>
        <v>1125</v>
      </c>
      <c r="R3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349" s="1">
        <f xml:space="preserve"> IF(BD_Receitas[[#This Row],[TIPO DE COBRANÇA]]="Operação Normal",
_xlfn.XLOOKUP(BD_Receitas[[#This Row],[ID]],TabCondicoesComerciais[ID],TabCondicoesComerciais[Tarifa 2º Giro],0),0)</f>
        <v>27.19</v>
      </c>
      <c r="T349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34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113.90585575500684</v>
      </c>
      <c r="V34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34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118774.56642</v>
      </c>
      <c r="X3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50" spans="1:24" hidden="1" x14ac:dyDescent="0.35">
      <c r="A350" s="3" t="s">
        <v>264</v>
      </c>
      <c r="B350" s="11">
        <v>45809</v>
      </c>
      <c r="C350" t="s">
        <v>31</v>
      </c>
      <c r="D350" t="s">
        <v>203</v>
      </c>
      <c r="E350" t="s">
        <v>32</v>
      </c>
      <c r="F350" s="10" t="s">
        <v>25</v>
      </c>
      <c r="G350" s="3" t="s">
        <v>12</v>
      </c>
      <c r="H350" s="3" t="s">
        <v>9</v>
      </c>
      <c r="I350" s="3" t="s">
        <v>65</v>
      </c>
      <c r="J350" s="1">
        <v>0</v>
      </c>
      <c r="K350" s="12">
        <v>0</v>
      </c>
      <c r="L350" s="1"/>
      <c r="M350" s="12"/>
      <c r="N350"/>
      <c r="O350"/>
      <c r="P350" s="2" t="str">
        <f>IF(BD_Receitas[[#This Row],[TIPO DE COBRANÇA]]="Operação Normal",
_xlfn.XLOOKUP(BD_Receitas[[#This Row],[ID]],TabCondicoesComerciais[ID],TabCondicoesComerciais[Volume mínimo 
(m3)],0),"")</f>
        <v/>
      </c>
      <c r="Q350" s="2">
        <f>_xlfn.XLOOKUP(BD_Receitas[[#This Row],[ID]],TabCondicoesComerciais[ID],TabCondicoesComerciais[Vol. 1ºGiro],0)</f>
        <v>1125</v>
      </c>
      <c r="R3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50" s="1">
        <f xml:space="preserve"> IF(BD_Receitas[[#This Row],[TIPO DE COBRANÇA]]="Operação Normal",
_xlfn.XLOOKUP(BD_Receitas[[#This Row],[ID]],TabCondicoesComerciais[ID],TabCondicoesComerciais[Tarifa 2º Giro],0),0)</f>
        <v>0</v>
      </c>
      <c r="T3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1" spans="1:24" hidden="1" x14ac:dyDescent="0.35">
      <c r="A351" s="3" t="s">
        <v>169</v>
      </c>
      <c r="B351" s="11">
        <v>45809</v>
      </c>
      <c r="C351" t="s">
        <v>31</v>
      </c>
      <c r="D351" t="s">
        <v>203</v>
      </c>
      <c r="E351" t="s">
        <v>32</v>
      </c>
      <c r="F351" s="10" t="s">
        <v>25</v>
      </c>
      <c r="G351" s="3" t="s">
        <v>12</v>
      </c>
      <c r="H351" s="3" t="s">
        <v>170</v>
      </c>
      <c r="I351" s="3" t="s">
        <v>7</v>
      </c>
      <c r="J351" s="1">
        <v>0</v>
      </c>
      <c r="K351" s="12">
        <v>0</v>
      </c>
      <c r="L351" s="1"/>
      <c r="M351" s="12"/>
      <c r="N351"/>
      <c r="O351"/>
      <c r="P351" s="2" t="str">
        <f>IF(BD_Receitas[[#This Row],[TIPO DE COBRANÇA]]="Operação Normal",
_xlfn.XLOOKUP(BD_Receitas[[#This Row],[ID]],TabCondicoesComerciais[ID],TabCondicoesComerciais[Volume mínimo 
(m3)],0),"")</f>
        <v/>
      </c>
      <c r="Q351" s="2">
        <f>_xlfn.XLOOKUP(BD_Receitas[[#This Row],[ID]],TabCondicoesComerciais[ID],TabCondicoesComerciais[Vol. 1ºGiro],0)</f>
        <v>1040</v>
      </c>
      <c r="R3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351" s="1">
        <f xml:space="preserve"> IF(BD_Receitas[[#This Row],[TIPO DE COBRANÇA]]="Operação Normal",
_xlfn.XLOOKUP(BD_Receitas[[#This Row],[ID]],TabCondicoesComerciais[ID],TabCondicoesComerciais[Tarifa 2º Giro],0),0)</f>
        <v>0</v>
      </c>
      <c r="T35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2" spans="1:24" hidden="1" x14ac:dyDescent="0.35">
      <c r="A352" s="3" t="s">
        <v>169</v>
      </c>
      <c r="B352" s="11">
        <v>45809</v>
      </c>
      <c r="C352" t="s">
        <v>31</v>
      </c>
      <c r="D352" t="s">
        <v>203</v>
      </c>
      <c r="E352" t="s">
        <v>32</v>
      </c>
      <c r="F352" s="10" t="s">
        <v>25</v>
      </c>
      <c r="G352" s="3" t="s">
        <v>12</v>
      </c>
      <c r="H352" s="3" t="s">
        <v>170</v>
      </c>
      <c r="I352" s="3" t="s">
        <v>8</v>
      </c>
      <c r="J352" s="1">
        <v>0</v>
      </c>
      <c r="K352" s="12">
        <v>0</v>
      </c>
      <c r="L352" s="1"/>
      <c r="M352" s="12"/>
      <c r="N352"/>
      <c r="O352"/>
      <c r="P352" s="2" t="str">
        <f>IF(BD_Receitas[[#This Row],[TIPO DE COBRANÇA]]="Operação Normal",
_xlfn.XLOOKUP(BD_Receitas[[#This Row],[ID]],TabCondicoesComerciais[ID],TabCondicoesComerciais[Volume mínimo 
(m3)],0),"")</f>
        <v/>
      </c>
      <c r="Q352" s="2">
        <f>_xlfn.XLOOKUP(BD_Receitas[[#This Row],[ID]],TabCondicoesComerciais[ID],TabCondicoesComerciais[Vol. 1ºGiro],0)</f>
        <v>1040</v>
      </c>
      <c r="R3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352" s="1">
        <f xml:space="preserve"> IF(BD_Receitas[[#This Row],[TIPO DE COBRANÇA]]="Operação Normal",
_xlfn.XLOOKUP(BD_Receitas[[#This Row],[ID]],TabCondicoesComerciais[ID],TabCondicoesComerciais[Tarifa 2º Giro],0),0)</f>
        <v>0</v>
      </c>
      <c r="T3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3" spans="1:24" hidden="1" x14ac:dyDescent="0.35">
      <c r="A353" s="3" t="s">
        <v>169</v>
      </c>
      <c r="B353" s="11">
        <v>45809</v>
      </c>
      <c r="C353" t="s">
        <v>31</v>
      </c>
      <c r="D353" t="s">
        <v>203</v>
      </c>
      <c r="E353" t="s">
        <v>32</v>
      </c>
      <c r="F353" s="10" t="s">
        <v>25</v>
      </c>
      <c r="G353" s="3" t="s">
        <v>12</v>
      </c>
      <c r="H353" s="3" t="s">
        <v>170</v>
      </c>
      <c r="I353" s="3" t="s">
        <v>15</v>
      </c>
      <c r="J353" s="1">
        <v>123240</v>
      </c>
      <c r="K353" s="12">
        <v>4160</v>
      </c>
      <c r="L353" s="1">
        <v>118310.39999999999</v>
      </c>
      <c r="M353" s="12">
        <v>233.959</v>
      </c>
      <c r="N353" t="s">
        <v>140</v>
      </c>
      <c r="O353" t="s">
        <v>155</v>
      </c>
      <c r="P353" s="2">
        <f>IF(BD_Receitas[[#This Row],[TIPO DE COBRANÇA]]="Operação Normal",
_xlfn.XLOOKUP(BD_Receitas[[#This Row],[ID]],TabCondicoesComerciais[ID],TabCondicoesComerciais[Volume mínimo 
(m3)],0),"")</f>
        <v>4160</v>
      </c>
      <c r="Q353" s="2">
        <f>_xlfn.XLOOKUP(BD_Receitas[[#This Row],[ID]],TabCondicoesComerciais[ID],TabCondicoesComerciais[Vol. 1ºGiro],0)</f>
        <v>1040</v>
      </c>
      <c r="R3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353" s="1">
        <f xml:space="preserve"> IF(BD_Receitas[[#This Row],[TIPO DE COBRANÇA]]="Operação Normal",
_xlfn.XLOOKUP(BD_Receitas[[#This Row],[ID]],TabCondicoesComerciais[ID],TabCondicoesComerciais[Tarifa 2º Giro],0),0)</f>
        <v>28.44</v>
      </c>
      <c r="T353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35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505.68860355874318</v>
      </c>
      <c r="V35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35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6653.79396</v>
      </c>
      <c r="X3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354" spans="1:24" hidden="1" x14ac:dyDescent="0.35">
      <c r="A354" s="3" t="s">
        <v>169</v>
      </c>
      <c r="B354" s="11">
        <v>45809</v>
      </c>
      <c r="C354" t="s">
        <v>31</v>
      </c>
      <c r="D354" t="s">
        <v>203</v>
      </c>
      <c r="E354" t="s">
        <v>32</v>
      </c>
      <c r="F354" s="10" t="s">
        <v>25</v>
      </c>
      <c r="G354" s="3" t="s">
        <v>12</v>
      </c>
      <c r="H354" s="3" t="s">
        <v>170</v>
      </c>
      <c r="I354" s="3" t="s">
        <v>65</v>
      </c>
      <c r="J354" s="1">
        <v>0</v>
      </c>
      <c r="K354" s="12">
        <v>0</v>
      </c>
      <c r="L354" s="1"/>
      <c r="M354" s="12"/>
      <c r="N354"/>
      <c r="O354"/>
      <c r="P354" s="2" t="str">
        <f>IF(BD_Receitas[[#This Row],[TIPO DE COBRANÇA]]="Operação Normal",
_xlfn.XLOOKUP(BD_Receitas[[#This Row],[ID]],TabCondicoesComerciais[ID],TabCondicoesComerciais[Volume mínimo 
(m3)],0),"")</f>
        <v/>
      </c>
      <c r="Q354" s="2">
        <f>_xlfn.XLOOKUP(BD_Receitas[[#This Row],[ID]],TabCondicoesComerciais[ID],TabCondicoesComerciais[Vol. 1ºGiro],0)</f>
        <v>1040</v>
      </c>
      <c r="R3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54" s="1">
        <f xml:space="preserve"> IF(BD_Receitas[[#This Row],[TIPO DE COBRANÇA]]="Operação Normal",
_xlfn.XLOOKUP(BD_Receitas[[#This Row],[ID]],TabCondicoesComerciais[ID],TabCondicoesComerciais[Tarifa 2º Giro],0),0)</f>
        <v>0</v>
      </c>
      <c r="T3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5" spans="1:24" hidden="1" x14ac:dyDescent="0.35">
      <c r="A355" s="3" t="s">
        <v>134</v>
      </c>
      <c r="B355" s="11">
        <v>45809</v>
      </c>
      <c r="C355" t="s">
        <v>31</v>
      </c>
      <c r="D355" t="s">
        <v>62</v>
      </c>
      <c r="E355" t="s">
        <v>37</v>
      </c>
      <c r="F355" s="10" t="s">
        <v>57</v>
      </c>
      <c r="G355" s="3" t="s">
        <v>58</v>
      </c>
      <c r="H355" s="3" t="s">
        <v>10</v>
      </c>
      <c r="I355" s="3" t="s">
        <v>7</v>
      </c>
      <c r="J355" s="1">
        <v>0</v>
      </c>
      <c r="K355" s="12">
        <v>0</v>
      </c>
      <c r="L355" s="1"/>
      <c r="M355" s="12"/>
      <c r="N355"/>
      <c r="O355"/>
      <c r="P355" s="2" t="str">
        <f>IF(BD_Receitas[[#This Row],[TIPO DE COBRANÇA]]="Operação Normal",
_xlfn.XLOOKUP(BD_Receitas[[#This Row],[ID]],TabCondicoesComerciais[ID],TabCondicoesComerciais[Volume mínimo 
(m3)],0),"")</f>
        <v/>
      </c>
      <c r="Q355" s="2">
        <f>_xlfn.XLOOKUP(BD_Receitas[[#This Row],[ID]],TabCondicoesComerciais[ID],TabCondicoesComerciais[Vol. 1ºGiro],0)</f>
        <v>310</v>
      </c>
      <c r="R3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55" s="1">
        <f xml:space="preserve"> IF(BD_Receitas[[#This Row],[TIPO DE COBRANÇA]]="Operação Normal",
_xlfn.XLOOKUP(BD_Receitas[[#This Row],[ID]],TabCondicoesComerciais[ID],TabCondicoesComerciais[Tarifa 2º Giro],0),0)</f>
        <v>0</v>
      </c>
      <c r="T35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6" spans="1:24" hidden="1" x14ac:dyDescent="0.35">
      <c r="A356" s="3" t="s">
        <v>134</v>
      </c>
      <c r="B356" s="11">
        <v>45809</v>
      </c>
      <c r="C356" t="s">
        <v>31</v>
      </c>
      <c r="D356" t="s">
        <v>62</v>
      </c>
      <c r="E356" t="s">
        <v>37</v>
      </c>
      <c r="F356" s="10" t="s">
        <v>57</v>
      </c>
      <c r="G356" s="3" t="s">
        <v>58</v>
      </c>
      <c r="H356" s="3" t="s">
        <v>10</v>
      </c>
      <c r="I356" s="3" t="s">
        <v>8</v>
      </c>
      <c r="J356" s="1">
        <v>0</v>
      </c>
      <c r="K356" s="12">
        <v>0</v>
      </c>
      <c r="L356" s="1"/>
      <c r="M356" s="12"/>
      <c r="N356"/>
      <c r="O356"/>
      <c r="P356" s="2" t="str">
        <f>IF(BD_Receitas[[#This Row],[TIPO DE COBRANÇA]]="Operação Normal",
_xlfn.XLOOKUP(BD_Receitas[[#This Row],[ID]],TabCondicoesComerciais[ID],TabCondicoesComerciais[Volume mínimo 
(m3)],0),"")</f>
        <v/>
      </c>
      <c r="Q356" s="2">
        <f>_xlfn.XLOOKUP(BD_Receitas[[#This Row],[ID]],TabCondicoesComerciais[ID],TabCondicoesComerciais[Vol. 1ºGiro],0)</f>
        <v>310</v>
      </c>
      <c r="R3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356" s="1">
        <f xml:space="preserve"> IF(BD_Receitas[[#This Row],[TIPO DE COBRANÇA]]="Operação Normal",
_xlfn.XLOOKUP(BD_Receitas[[#This Row],[ID]],TabCondicoesComerciais[ID],TabCondicoesComerciais[Tarifa 2º Giro],0),0)</f>
        <v>0</v>
      </c>
      <c r="T3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7" spans="1:24" hidden="1" x14ac:dyDescent="0.35">
      <c r="A357" s="3" t="s">
        <v>134</v>
      </c>
      <c r="B357" s="11">
        <v>45809</v>
      </c>
      <c r="C357" t="s">
        <v>31</v>
      </c>
      <c r="D357" t="s">
        <v>62</v>
      </c>
      <c r="E357" t="s">
        <v>37</v>
      </c>
      <c r="F357" s="10" t="s">
        <v>57</v>
      </c>
      <c r="G357" s="3" t="s">
        <v>58</v>
      </c>
      <c r="H357" s="3" t="s">
        <v>10</v>
      </c>
      <c r="I357" s="3" t="s">
        <v>15</v>
      </c>
      <c r="J357" s="1">
        <v>35019.49</v>
      </c>
      <c r="K357" s="12">
        <v>1100</v>
      </c>
      <c r="L357" s="1">
        <v>54744.72</v>
      </c>
      <c r="M357" s="12">
        <v>1763</v>
      </c>
      <c r="N357" t="s">
        <v>211</v>
      </c>
      <c r="O357" t="s">
        <v>212</v>
      </c>
      <c r="P357" s="2">
        <f>IF(BD_Receitas[[#This Row],[TIPO DE COBRANÇA]]="Operação Normal",
_xlfn.XLOOKUP(BD_Receitas[[#This Row],[ID]],TabCondicoesComerciais[ID],TabCondicoesComerciais[Volume mínimo 
(m3)],0),"")</f>
        <v>1100</v>
      </c>
      <c r="Q357" s="2">
        <f>_xlfn.XLOOKUP(BD_Receitas[[#This Row],[ID]],TabCondicoesComerciais[ID],TabCondicoesComerciais[Vol. 1ºGiro],0)</f>
        <v>310</v>
      </c>
      <c r="R3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357" s="1">
        <f xml:space="preserve"> IF(BD_Receitas[[#This Row],[TIPO DE COBRANÇA]]="Operação Normal",
_xlfn.XLOOKUP(BD_Receitas[[#This Row],[ID]],TabCondicoesComerciais[ID],TabCondicoesComerciais[Tarifa 2º Giro],0),0)</f>
        <v>31.04</v>
      </c>
      <c r="T357" s="5">
        <f>IFERROR(IF(BD_Receitas[[#This Row],[TIPO DE COBRANÇA]]&lt;&gt;"Operação Normal","",BD_Receitas[[#This Row],[Valor Total R$]]/ MAX(BD_Receitas[[#This Row],[Vol. Movimentado M³]],
BD_Receitas[[#This Row],[Volume Mínimo ]])
),0)</f>
        <v>31.052024957458876</v>
      </c>
      <c r="U35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31.052024957458876</v>
      </c>
      <c r="V35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35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54723.519999999997</v>
      </c>
      <c r="X3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58" spans="1:24" hidden="1" x14ac:dyDescent="0.35">
      <c r="A358" s="3" t="s">
        <v>134</v>
      </c>
      <c r="B358" s="11">
        <v>45809</v>
      </c>
      <c r="C358" t="s">
        <v>31</v>
      </c>
      <c r="D358" t="s">
        <v>62</v>
      </c>
      <c r="E358" t="s">
        <v>37</v>
      </c>
      <c r="F358" s="10" t="s">
        <v>57</v>
      </c>
      <c r="G358" s="3" t="s">
        <v>58</v>
      </c>
      <c r="H358" s="3" t="s">
        <v>10</v>
      </c>
      <c r="I358" s="3" t="s">
        <v>65</v>
      </c>
      <c r="J358" s="1">
        <v>0</v>
      </c>
      <c r="K358" s="12">
        <v>0</v>
      </c>
      <c r="L358" s="1"/>
      <c r="M358" s="12"/>
      <c r="N358"/>
      <c r="O358"/>
      <c r="P358" s="2" t="str">
        <f>IF(BD_Receitas[[#This Row],[TIPO DE COBRANÇA]]="Operação Normal",
_xlfn.XLOOKUP(BD_Receitas[[#This Row],[ID]],TabCondicoesComerciais[ID],TabCondicoesComerciais[Volume mínimo 
(m3)],0),"")</f>
        <v/>
      </c>
      <c r="Q358" s="2">
        <f>_xlfn.XLOOKUP(BD_Receitas[[#This Row],[ID]],TabCondicoesComerciais[ID],TabCondicoesComerciais[Vol. 1ºGiro],0)</f>
        <v>310</v>
      </c>
      <c r="R3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58" s="1">
        <f xml:space="preserve"> IF(BD_Receitas[[#This Row],[TIPO DE COBRANÇA]]="Operação Normal",
_xlfn.XLOOKUP(BD_Receitas[[#This Row],[ID]],TabCondicoesComerciais[ID],TabCondicoesComerciais[Tarifa 2º Giro],0),0)</f>
        <v>0</v>
      </c>
      <c r="T3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59" spans="1:24" hidden="1" x14ac:dyDescent="0.35">
      <c r="A359" s="3" t="s">
        <v>173</v>
      </c>
      <c r="B359" s="11">
        <v>45809</v>
      </c>
      <c r="C359" t="s">
        <v>31</v>
      </c>
      <c r="D359" t="s">
        <v>62</v>
      </c>
      <c r="E359" t="s">
        <v>37</v>
      </c>
      <c r="F359" s="10" t="s">
        <v>57</v>
      </c>
      <c r="G359" s="3" t="s">
        <v>58</v>
      </c>
      <c r="H359" s="3" t="s">
        <v>6</v>
      </c>
      <c r="I359" s="3" t="s">
        <v>7</v>
      </c>
      <c r="J359" s="1">
        <v>0</v>
      </c>
      <c r="K359" s="12">
        <v>0</v>
      </c>
      <c r="L359" s="1"/>
      <c r="M359" s="12"/>
      <c r="N359"/>
      <c r="O359"/>
      <c r="P359" s="2" t="str">
        <f>IF(BD_Receitas[[#This Row],[TIPO DE COBRANÇA]]="Operação Normal",
_xlfn.XLOOKUP(BD_Receitas[[#This Row],[ID]],TabCondicoesComerciais[ID],TabCondicoesComerciais[Volume mínimo 
(m3)],0),"")</f>
        <v/>
      </c>
      <c r="Q359" s="2">
        <f>_xlfn.XLOOKUP(BD_Receitas[[#This Row],[ID]],TabCondicoesComerciais[ID],TabCondicoesComerciais[Vol. 1ºGiro],0)</f>
        <v>1070</v>
      </c>
      <c r="R3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59" s="1">
        <f xml:space="preserve"> IF(BD_Receitas[[#This Row],[TIPO DE COBRANÇA]]="Operação Normal",
_xlfn.XLOOKUP(BD_Receitas[[#This Row],[ID]],TabCondicoesComerciais[ID],TabCondicoesComerciais[Tarifa 2º Giro],0),0)</f>
        <v>0</v>
      </c>
      <c r="T35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5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5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5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0" spans="1:24" hidden="1" x14ac:dyDescent="0.35">
      <c r="A360" s="3" t="s">
        <v>173</v>
      </c>
      <c r="B360" s="11">
        <v>45809</v>
      </c>
      <c r="C360" t="s">
        <v>31</v>
      </c>
      <c r="D360" t="s">
        <v>62</v>
      </c>
      <c r="E360" t="s">
        <v>37</v>
      </c>
      <c r="F360" s="10" t="s">
        <v>57</v>
      </c>
      <c r="G360" s="3" t="s">
        <v>58</v>
      </c>
      <c r="H360" s="3" t="s">
        <v>6</v>
      </c>
      <c r="I360" s="3" t="s">
        <v>8</v>
      </c>
      <c r="J360" s="1">
        <v>0</v>
      </c>
      <c r="K360" s="12">
        <v>0</v>
      </c>
      <c r="L360" s="1"/>
      <c r="M360" s="12"/>
      <c r="N360"/>
      <c r="O360"/>
      <c r="P360" s="2" t="str">
        <f>IF(BD_Receitas[[#This Row],[TIPO DE COBRANÇA]]="Operação Normal",
_xlfn.XLOOKUP(BD_Receitas[[#This Row],[ID]],TabCondicoesComerciais[ID],TabCondicoesComerciais[Volume mínimo 
(m3)],0),"")</f>
        <v/>
      </c>
      <c r="Q360" s="2">
        <f>_xlfn.XLOOKUP(BD_Receitas[[#This Row],[ID]],TabCondicoesComerciais[ID],TabCondicoesComerciais[Vol. 1ºGiro],0)</f>
        <v>1070</v>
      </c>
      <c r="R3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60" s="1">
        <f xml:space="preserve"> IF(BD_Receitas[[#This Row],[TIPO DE COBRANÇA]]="Operação Normal",
_xlfn.XLOOKUP(BD_Receitas[[#This Row],[ID]],TabCondicoesComerciais[ID],TabCondicoesComerciais[Tarifa 2º Giro],0),0)</f>
        <v>0</v>
      </c>
      <c r="T3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1" spans="1:24" hidden="1" x14ac:dyDescent="0.35">
      <c r="A361" s="3" t="s">
        <v>173</v>
      </c>
      <c r="B361" s="11">
        <v>45809</v>
      </c>
      <c r="C361" t="s">
        <v>31</v>
      </c>
      <c r="D361" t="s">
        <v>62</v>
      </c>
      <c r="E361" t="s">
        <v>37</v>
      </c>
      <c r="F361" s="10" t="s">
        <v>57</v>
      </c>
      <c r="G361" s="3" t="s">
        <v>58</v>
      </c>
      <c r="H361" s="3" t="s">
        <v>6</v>
      </c>
      <c r="I361" s="3" t="s">
        <v>15</v>
      </c>
      <c r="J361" s="1">
        <v>82153.039999999994</v>
      </c>
      <c r="K361" s="12">
        <v>3300</v>
      </c>
      <c r="L361" s="1">
        <v>123635.43</v>
      </c>
      <c r="M361" s="12">
        <v>5279</v>
      </c>
      <c r="N361" t="s">
        <v>213</v>
      </c>
      <c r="O361" t="s">
        <v>212</v>
      </c>
      <c r="P361" s="2">
        <f>IF(BD_Receitas[[#This Row],[TIPO DE COBRANÇA]]="Operação Normal",
_xlfn.XLOOKUP(BD_Receitas[[#This Row],[ID]],TabCondicoesComerciais[ID],TabCondicoesComerciais[Volume mínimo 
(m3)],0),"")</f>
        <v>3300</v>
      </c>
      <c r="Q361" s="2">
        <f>_xlfn.XLOOKUP(BD_Receitas[[#This Row],[ID]],TabCondicoesComerciais[ID],TabCondicoesComerciais[Vol. 1ºGiro],0)</f>
        <v>1070</v>
      </c>
      <c r="R3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361" s="1">
        <f xml:space="preserve"> IF(BD_Receitas[[#This Row],[TIPO DE COBRANÇA]]="Operação Normal",
_xlfn.XLOOKUP(BD_Receitas[[#This Row],[ID]],TabCondicoesComerciais[ID],TabCondicoesComerciais[Tarifa 2º Giro],0),0)</f>
        <v>23.42</v>
      </c>
      <c r="T361" s="5">
        <f>IFERROR(IF(BD_Receitas[[#This Row],[TIPO DE COBRANÇA]]&lt;&gt;"Operação Normal","",BD_Receitas[[#This Row],[Valor Total R$]]/ MAX(BD_Receitas[[#This Row],[Vol. Movimentado M³]],
BD_Receitas[[#This Row],[Volume Mínimo ]])
),0)</f>
        <v>23.420236787270316</v>
      </c>
      <c r="U36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23.420236787270316</v>
      </c>
      <c r="V36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36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123634.18000000002</v>
      </c>
      <c r="X3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362" spans="1:24" hidden="1" x14ac:dyDescent="0.35">
      <c r="A362" s="3" t="s">
        <v>173</v>
      </c>
      <c r="B362" s="11">
        <v>45809</v>
      </c>
      <c r="C362" t="s">
        <v>31</v>
      </c>
      <c r="D362" t="s">
        <v>62</v>
      </c>
      <c r="E362" t="s">
        <v>37</v>
      </c>
      <c r="F362" s="10" t="s">
        <v>57</v>
      </c>
      <c r="G362" s="3" t="s">
        <v>58</v>
      </c>
      <c r="H362" s="3" t="s">
        <v>6</v>
      </c>
      <c r="I362" s="3" t="s">
        <v>65</v>
      </c>
      <c r="J362" s="1">
        <v>0</v>
      </c>
      <c r="K362" s="12">
        <v>0</v>
      </c>
      <c r="L362" s="1"/>
      <c r="M362" s="12"/>
      <c r="N362"/>
      <c r="O362"/>
      <c r="P362" s="2" t="str">
        <f>IF(BD_Receitas[[#This Row],[TIPO DE COBRANÇA]]="Operação Normal",
_xlfn.XLOOKUP(BD_Receitas[[#This Row],[ID]],TabCondicoesComerciais[ID],TabCondicoesComerciais[Volume mínimo 
(m3)],0),"")</f>
        <v/>
      </c>
      <c r="Q362" s="2">
        <f>_xlfn.XLOOKUP(BD_Receitas[[#This Row],[ID]],TabCondicoesComerciais[ID],TabCondicoesComerciais[Vol. 1ºGiro],0)</f>
        <v>1070</v>
      </c>
      <c r="R3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62" s="1">
        <f xml:space="preserve"> IF(BD_Receitas[[#This Row],[TIPO DE COBRANÇA]]="Operação Normal",
_xlfn.XLOOKUP(BD_Receitas[[#This Row],[ID]],TabCondicoesComerciais[ID],TabCondicoesComerciais[Tarifa 2º Giro],0),0)</f>
        <v>0</v>
      </c>
      <c r="T3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3" spans="1:24" hidden="1" x14ac:dyDescent="0.35">
      <c r="A363" s="3" t="s">
        <v>184</v>
      </c>
      <c r="B363" s="11">
        <v>45809</v>
      </c>
      <c r="C363" t="s">
        <v>31</v>
      </c>
      <c r="D363" t="s">
        <v>203</v>
      </c>
      <c r="E363" t="s">
        <v>34</v>
      </c>
      <c r="F363" s="10" t="s">
        <v>26</v>
      </c>
      <c r="G363" s="3" t="s">
        <v>19</v>
      </c>
      <c r="H363" s="3" t="s">
        <v>13</v>
      </c>
      <c r="I363" s="3" t="s">
        <v>7</v>
      </c>
      <c r="J363" s="1">
        <v>0</v>
      </c>
      <c r="K363" s="12">
        <v>0</v>
      </c>
      <c r="L363" s="1"/>
      <c r="M363" s="12"/>
      <c r="N363"/>
      <c r="O363"/>
      <c r="P363" s="2" t="str">
        <f>IF(BD_Receitas[[#This Row],[TIPO DE COBRANÇA]]="Operação Normal",
_xlfn.XLOOKUP(BD_Receitas[[#This Row],[ID]],TabCondicoesComerciais[ID],TabCondicoesComerciais[Volume mínimo 
(m3)],0),"")</f>
        <v/>
      </c>
      <c r="Q363" s="2">
        <f>_xlfn.XLOOKUP(BD_Receitas[[#This Row],[ID]],TabCondicoesComerciais[ID],TabCondicoesComerciais[Vol. 1ºGiro],0)</f>
        <v>340</v>
      </c>
      <c r="R3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63" s="1">
        <f xml:space="preserve"> IF(BD_Receitas[[#This Row],[TIPO DE COBRANÇA]]="Operação Normal",
_xlfn.XLOOKUP(BD_Receitas[[#This Row],[ID]],TabCondicoesComerciais[ID],TabCondicoesComerciais[Tarifa 2º Giro],0),0)</f>
        <v>0</v>
      </c>
      <c r="T36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4" spans="1:24" hidden="1" x14ac:dyDescent="0.35">
      <c r="A364" s="3" t="s">
        <v>184</v>
      </c>
      <c r="B364" s="11">
        <v>45809</v>
      </c>
      <c r="C364" t="s">
        <v>31</v>
      </c>
      <c r="D364" t="s">
        <v>203</v>
      </c>
      <c r="E364" t="s">
        <v>34</v>
      </c>
      <c r="F364" s="10" t="s">
        <v>26</v>
      </c>
      <c r="G364" s="3" t="s">
        <v>19</v>
      </c>
      <c r="H364" s="3" t="s">
        <v>13</v>
      </c>
      <c r="I364" s="3" t="s">
        <v>8</v>
      </c>
      <c r="J364" s="1">
        <v>0</v>
      </c>
      <c r="K364" s="12">
        <v>0</v>
      </c>
      <c r="L364" s="1"/>
      <c r="M364" s="12"/>
      <c r="N364"/>
      <c r="O364"/>
      <c r="P364" s="2" t="str">
        <f>IF(BD_Receitas[[#This Row],[TIPO DE COBRANÇA]]="Operação Normal",
_xlfn.XLOOKUP(BD_Receitas[[#This Row],[ID]],TabCondicoesComerciais[ID],TabCondicoesComerciais[Volume mínimo 
(m3)],0),"")</f>
        <v/>
      </c>
      <c r="Q364" s="2">
        <f>_xlfn.XLOOKUP(BD_Receitas[[#This Row],[ID]],TabCondicoesComerciais[ID],TabCondicoesComerciais[Vol. 1ºGiro],0)</f>
        <v>340</v>
      </c>
      <c r="R3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364" s="1">
        <f xml:space="preserve"> IF(BD_Receitas[[#This Row],[TIPO DE COBRANÇA]]="Operação Normal",
_xlfn.XLOOKUP(BD_Receitas[[#This Row],[ID]],TabCondicoesComerciais[ID],TabCondicoesComerciais[Tarifa 2º Giro],0),0)</f>
        <v>0</v>
      </c>
      <c r="T3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5" spans="1:24" hidden="1" x14ac:dyDescent="0.35">
      <c r="A365" s="3" t="s">
        <v>184</v>
      </c>
      <c r="B365" s="11">
        <v>45809</v>
      </c>
      <c r="C365" t="s">
        <v>31</v>
      </c>
      <c r="D365" t="s">
        <v>203</v>
      </c>
      <c r="E365" t="s">
        <v>34</v>
      </c>
      <c r="F365" s="10" t="s">
        <v>26</v>
      </c>
      <c r="G365" s="3" t="s">
        <v>19</v>
      </c>
      <c r="H365" s="3" t="s">
        <v>13</v>
      </c>
      <c r="I365" s="3" t="s">
        <v>15</v>
      </c>
      <c r="J365" s="1">
        <v>15310.52</v>
      </c>
      <c r="K365" s="12">
        <v>510</v>
      </c>
      <c r="L365" s="1">
        <v>14280</v>
      </c>
      <c r="M365" s="12">
        <v>748.92700000000002</v>
      </c>
      <c r="N365" t="s">
        <v>205</v>
      </c>
      <c r="O365" t="s">
        <v>199</v>
      </c>
      <c r="P365" s="2">
        <f>IF(BD_Receitas[[#This Row],[TIPO DE COBRANÇA]]="Operação Normal",
_xlfn.XLOOKUP(BD_Receitas[[#This Row],[ID]],TabCondicoesComerciais[ID],TabCondicoesComerciais[Volume mínimo 
(m3)],0),"")</f>
        <v>1020</v>
      </c>
      <c r="Q365" s="2">
        <f>_xlfn.XLOOKUP(BD_Receitas[[#This Row],[ID]],TabCondicoesComerciais[ID],TabCondicoesComerciais[Vol. 1ºGiro],0)</f>
        <v>340</v>
      </c>
      <c r="R3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365" s="1">
        <f xml:space="preserve"> IF(BD_Receitas[[#This Row],[TIPO DE COBRANÇA]]="Operação Normal",
_xlfn.XLOOKUP(BD_Receitas[[#This Row],[ID]],TabCondicoesComerciais[ID],TabCondicoesComerciais[Tarifa 2º Giro],0),0)</f>
        <v>28</v>
      </c>
      <c r="T365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36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19.067278920375415</v>
      </c>
      <c r="V36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36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20969.955999999998</v>
      </c>
      <c r="X3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66" spans="1:24" hidden="1" x14ac:dyDescent="0.35">
      <c r="A366" s="3" t="s">
        <v>184</v>
      </c>
      <c r="B366" s="11">
        <v>45809</v>
      </c>
      <c r="C366" t="s">
        <v>31</v>
      </c>
      <c r="D366" t="s">
        <v>203</v>
      </c>
      <c r="E366" t="s">
        <v>34</v>
      </c>
      <c r="F366" s="10" t="s">
        <v>26</v>
      </c>
      <c r="G366" s="3" t="s">
        <v>19</v>
      </c>
      <c r="H366" s="3" t="s">
        <v>13</v>
      </c>
      <c r="I366" s="3" t="s">
        <v>65</v>
      </c>
      <c r="J366" s="1">
        <v>0</v>
      </c>
      <c r="K366" s="12">
        <v>0</v>
      </c>
      <c r="L366" s="1"/>
      <c r="M366" s="12"/>
      <c r="N366"/>
      <c r="O366"/>
      <c r="P366" s="2" t="str">
        <f>IF(BD_Receitas[[#This Row],[TIPO DE COBRANÇA]]="Operação Normal",
_xlfn.XLOOKUP(BD_Receitas[[#This Row],[ID]],TabCondicoesComerciais[ID],TabCondicoesComerciais[Volume mínimo 
(m3)],0),"")</f>
        <v/>
      </c>
      <c r="Q366" s="2">
        <f>_xlfn.XLOOKUP(BD_Receitas[[#This Row],[ID]],TabCondicoesComerciais[ID],TabCondicoesComerciais[Vol. 1ºGiro],0)</f>
        <v>340</v>
      </c>
      <c r="R3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66" s="1">
        <f xml:space="preserve"> IF(BD_Receitas[[#This Row],[TIPO DE COBRANÇA]]="Operação Normal",
_xlfn.XLOOKUP(BD_Receitas[[#This Row],[ID]],TabCondicoesComerciais[ID],TabCondicoesComerciais[Tarifa 2º Giro],0),0)</f>
        <v>0</v>
      </c>
      <c r="T3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7" spans="1:24" hidden="1" x14ac:dyDescent="0.35">
      <c r="A367" s="3" t="s">
        <v>142</v>
      </c>
      <c r="B367" s="11">
        <v>45839</v>
      </c>
      <c r="C367" t="s">
        <v>31</v>
      </c>
      <c r="D367" t="s">
        <v>202</v>
      </c>
      <c r="E367" t="s">
        <v>36</v>
      </c>
      <c r="F367" s="10" t="s">
        <v>48</v>
      </c>
      <c r="G367" s="3" t="s">
        <v>49</v>
      </c>
      <c r="H367" s="3" t="s">
        <v>52</v>
      </c>
      <c r="I367" s="3" t="s">
        <v>7</v>
      </c>
      <c r="J367" s="1">
        <v>0</v>
      </c>
      <c r="K367" s="12">
        <v>0</v>
      </c>
      <c r="L367" s="1"/>
      <c r="M367" s="12"/>
      <c r="N367"/>
      <c r="O367"/>
      <c r="P367" s="2" t="str">
        <f>IF(BD_Receitas[[#This Row],[TIPO DE COBRANÇA]]="Operação Normal",
_xlfn.XLOOKUP(BD_Receitas[[#This Row],[ID]],TabCondicoesComerciais[ID],TabCondicoesComerciais[Volume mínimo 
(m3)],0),"")</f>
        <v/>
      </c>
      <c r="Q367" s="2">
        <f>_xlfn.XLOOKUP(BD_Receitas[[#This Row],[ID]],TabCondicoesComerciais[ID],TabCondicoesComerciais[Vol. 1ºGiro],0)</f>
        <v>360</v>
      </c>
      <c r="R3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367" s="1">
        <f xml:space="preserve"> IF(BD_Receitas[[#This Row],[TIPO DE COBRANÇA]]="Operação Normal",
_xlfn.XLOOKUP(BD_Receitas[[#This Row],[ID]],TabCondicoesComerciais[ID],TabCondicoesComerciais[Tarifa 2º Giro],0),0)</f>
        <v>0</v>
      </c>
      <c r="T36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8" spans="1:24" hidden="1" x14ac:dyDescent="0.35">
      <c r="A368" s="3" t="s">
        <v>142</v>
      </c>
      <c r="B368" s="11">
        <v>45839</v>
      </c>
      <c r="C368" t="s">
        <v>31</v>
      </c>
      <c r="D368" t="s">
        <v>202</v>
      </c>
      <c r="E368" t="s">
        <v>36</v>
      </c>
      <c r="F368" s="10" t="s">
        <v>48</v>
      </c>
      <c r="G368" s="3" t="s">
        <v>49</v>
      </c>
      <c r="H368" s="3" t="s">
        <v>52</v>
      </c>
      <c r="I368" s="3" t="s">
        <v>8</v>
      </c>
      <c r="J368" s="1">
        <v>0</v>
      </c>
      <c r="K368" s="12">
        <v>0</v>
      </c>
      <c r="L368" s="1">
        <v>0</v>
      </c>
      <c r="M368" s="12">
        <v>109.52800000000001</v>
      </c>
      <c r="N368"/>
      <c r="O368"/>
      <c r="P368" s="2" t="str">
        <f>IF(BD_Receitas[[#This Row],[TIPO DE COBRANÇA]]="Operação Normal",
_xlfn.XLOOKUP(BD_Receitas[[#This Row],[ID]],TabCondicoesComerciais[ID],TabCondicoesComerciais[Volume mínimo 
(m3)],0),"")</f>
        <v/>
      </c>
      <c r="Q368" s="2">
        <f>_xlfn.XLOOKUP(BD_Receitas[[#This Row],[ID]],TabCondicoesComerciais[ID],TabCondicoesComerciais[Vol. 1ºGiro],0)</f>
        <v>360</v>
      </c>
      <c r="R3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368" s="1">
        <f xml:space="preserve"> IF(BD_Receitas[[#This Row],[TIPO DE COBRANÇA]]="Operação Normal",
_xlfn.XLOOKUP(BD_Receitas[[#This Row],[ID]],TabCondicoesComerciais[ID],TabCondicoesComerciais[Tarifa 2º Giro],0),0)</f>
        <v>0</v>
      </c>
      <c r="T3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69" spans="1:24" hidden="1" x14ac:dyDescent="0.35">
      <c r="A369" s="3" t="s">
        <v>142</v>
      </c>
      <c r="B369" s="11">
        <v>45839</v>
      </c>
      <c r="C369" t="s">
        <v>31</v>
      </c>
      <c r="D369" t="s">
        <v>202</v>
      </c>
      <c r="E369" t="s">
        <v>36</v>
      </c>
      <c r="F369" s="10" t="s">
        <v>48</v>
      </c>
      <c r="G369" s="3" t="s">
        <v>49</v>
      </c>
      <c r="H369" s="3" t="s">
        <v>52</v>
      </c>
      <c r="I369" s="3" t="s">
        <v>15</v>
      </c>
      <c r="J369" s="1">
        <v>89789.3701</v>
      </c>
      <c r="K369" s="12">
        <v>2040</v>
      </c>
      <c r="L369" s="1">
        <v>86985.600000000006</v>
      </c>
      <c r="M369" s="12">
        <v>692.45699999999999</v>
      </c>
      <c r="N369" t="s">
        <v>223</v>
      </c>
      <c r="O369"/>
      <c r="P369" s="2">
        <f>IF(BD_Receitas[[#This Row],[TIPO DE COBRANÇA]]="Operação Normal",
_xlfn.XLOOKUP(BD_Receitas[[#This Row],[ID]],TabCondicoesComerciais[ID],TabCondicoesComerciais[Volume mínimo 
(m3)],0),"")</f>
        <v>2040</v>
      </c>
      <c r="Q369" s="2">
        <f>_xlfn.XLOOKUP(BD_Receitas[[#This Row],[ID]],TabCondicoesComerciais[ID],TabCondicoesComerciais[Vol. 1ºGiro],0)</f>
        <v>360</v>
      </c>
      <c r="R3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369" s="1">
        <f xml:space="preserve"> IF(BD_Receitas[[#This Row],[TIPO DE COBRANÇA]]="Operação Normal",
_xlfn.XLOOKUP(BD_Receitas[[#This Row],[ID]],TabCondicoesComerciais[ID],TabCondicoesComerciais[Tarifa 2º Giro],0),0)</f>
        <v>42.64</v>
      </c>
      <c r="T369" s="5">
        <f>IFERROR(IF(BD_Receitas[[#This Row],[TIPO DE COBRANÇA]]&lt;&gt;"Operação Normal","",BD_Receitas[[#This Row],[Valor Total R$]]/ MAX(BD_Receitas[[#This Row],[Vol. Movimentado M³]],
BD_Receitas[[#This Row],[Volume Mínimo ]])
),0)</f>
        <v>42.64</v>
      </c>
      <c r="U36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125.61877488421665</v>
      </c>
      <c r="V36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36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29526.366479999997</v>
      </c>
      <c r="X3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370" spans="1:24" hidden="1" x14ac:dyDescent="0.35">
      <c r="A370" s="3" t="s">
        <v>142</v>
      </c>
      <c r="B370" s="11">
        <v>45839</v>
      </c>
      <c r="C370" t="s">
        <v>31</v>
      </c>
      <c r="D370" t="s">
        <v>202</v>
      </c>
      <c r="E370" t="s">
        <v>36</v>
      </c>
      <c r="F370" s="10" t="s">
        <v>48</v>
      </c>
      <c r="G370" s="3" t="s">
        <v>49</v>
      </c>
      <c r="H370" s="3" t="s">
        <v>52</v>
      </c>
      <c r="I370" s="3" t="s">
        <v>65</v>
      </c>
      <c r="J370" s="1">
        <v>0</v>
      </c>
      <c r="K370" s="12">
        <v>0</v>
      </c>
      <c r="L370" s="1"/>
      <c r="M370" s="12"/>
      <c r="N370"/>
      <c r="O370"/>
      <c r="P370" s="2" t="str">
        <f>IF(BD_Receitas[[#This Row],[TIPO DE COBRANÇA]]="Operação Normal",
_xlfn.XLOOKUP(BD_Receitas[[#This Row],[ID]],TabCondicoesComerciais[ID],TabCondicoesComerciais[Volume mínimo 
(m3)],0),"")</f>
        <v/>
      </c>
      <c r="Q370" s="2">
        <f>_xlfn.XLOOKUP(BD_Receitas[[#This Row],[ID]],TabCondicoesComerciais[ID],TabCondicoesComerciais[Vol. 1ºGiro],0)</f>
        <v>360</v>
      </c>
      <c r="R3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0" s="1">
        <f xml:space="preserve"> IF(BD_Receitas[[#This Row],[TIPO DE COBRANÇA]]="Operação Normal",
_xlfn.XLOOKUP(BD_Receitas[[#This Row],[ID]],TabCondicoesComerciais[ID],TabCondicoesComerciais[Tarifa 2º Giro],0),0)</f>
        <v>0</v>
      </c>
      <c r="T3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1" spans="1:24" hidden="1" x14ac:dyDescent="0.35">
      <c r="A371" s="3" t="s">
        <v>139</v>
      </c>
      <c r="B371" s="11">
        <v>45839</v>
      </c>
      <c r="C371" t="s">
        <v>31</v>
      </c>
      <c r="D371" t="s">
        <v>202</v>
      </c>
      <c r="E371" t="s">
        <v>36</v>
      </c>
      <c r="F371" s="10" t="s">
        <v>48</v>
      </c>
      <c r="G371" s="3" t="s">
        <v>49</v>
      </c>
      <c r="H371" s="3" t="s">
        <v>14</v>
      </c>
      <c r="I371" s="3" t="s">
        <v>7</v>
      </c>
      <c r="J371" s="1">
        <v>0</v>
      </c>
      <c r="K371" s="12">
        <v>0</v>
      </c>
      <c r="L371" s="1"/>
      <c r="M371" s="12"/>
      <c r="N371"/>
      <c r="O371"/>
      <c r="P371" s="2" t="str">
        <f>IF(BD_Receitas[[#This Row],[TIPO DE COBRANÇA]]="Operação Normal",
_xlfn.XLOOKUP(BD_Receitas[[#This Row],[ID]],TabCondicoesComerciais[ID],TabCondicoesComerciais[Volume mínimo 
(m3)],0),"")</f>
        <v/>
      </c>
      <c r="Q371" s="2">
        <f>_xlfn.XLOOKUP(BD_Receitas[[#This Row],[ID]],TabCondicoesComerciais[ID],TabCondicoesComerciais[Vol. 1ºGiro],0)</f>
        <v>365</v>
      </c>
      <c r="R3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1" s="1">
        <f xml:space="preserve"> IF(BD_Receitas[[#This Row],[TIPO DE COBRANÇA]]="Operação Normal",
_xlfn.XLOOKUP(BD_Receitas[[#This Row],[ID]],TabCondicoesComerciais[ID],TabCondicoesComerciais[Tarifa 2º Giro],0),0)</f>
        <v>0</v>
      </c>
      <c r="T37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2" spans="1:24" hidden="1" x14ac:dyDescent="0.35">
      <c r="A372" s="3" t="s">
        <v>139</v>
      </c>
      <c r="B372" s="11">
        <v>45839</v>
      </c>
      <c r="C372" t="s">
        <v>31</v>
      </c>
      <c r="D372" t="s">
        <v>202</v>
      </c>
      <c r="E372" t="s">
        <v>36</v>
      </c>
      <c r="F372" s="10" t="s">
        <v>48</v>
      </c>
      <c r="G372" s="3" t="s">
        <v>49</v>
      </c>
      <c r="H372" s="3" t="s">
        <v>14</v>
      </c>
      <c r="I372" s="3" t="s">
        <v>8</v>
      </c>
      <c r="J372" s="1">
        <v>0</v>
      </c>
      <c r="K372" s="12">
        <v>0</v>
      </c>
      <c r="L372" s="1">
        <v>0</v>
      </c>
      <c r="M372" s="12">
        <v>104.399</v>
      </c>
      <c r="N372"/>
      <c r="O372"/>
      <c r="P372" s="2" t="str">
        <f>IF(BD_Receitas[[#This Row],[TIPO DE COBRANÇA]]="Operação Normal",
_xlfn.XLOOKUP(BD_Receitas[[#This Row],[ID]],TabCondicoesComerciais[ID],TabCondicoesComerciais[Volume mínimo 
(m3)],0),"")</f>
        <v/>
      </c>
      <c r="Q372" s="2">
        <f>_xlfn.XLOOKUP(BD_Receitas[[#This Row],[ID]],TabCondicoesComerciais[ID],TabCondicoesComerciais[Vol. 1ºGiro],0)</f>
        <v>365</v>
      </c>
      <c r="R3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2" s="1">
        <f xml:space="preserve"> IF(BD_Receitas[[#This Row],[TIPO DE COBRANÇA]]="Operação Normal",
_xlfn.XLOOKUP(BD_Receitas[[#This Row],[ID]],TabCondicoesComerciais[ID],TabCondicoesComerciais[Tarifa 2º Giro],0),0)</f>
        <v>0</v>
      </c>
      <c r="T3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3" spans="1:24" hidden="1" x14ac:dyDescent="0.35">
      <c r="A373" s="3" t="s">
        <v>139</v>
      </c>
      <c r="B373" s="11">
        <v>45839</v>
      </c>
      <c r="C373" t="s">
        <v>31</v>
      </c>
      <c r="D373" t="s">
        <v>202</v>
      </c>
      <c r="E373" t="s">
        <v>36</v>
      </c>
      <c r="F373" s="10" t="s">
        <v>48</v>
      </c>
      <c r="G373" s="3" t="s">
        <v>49</v>
      </c>
      <c r="H373" s="3" t="s">
        <v>14</v>
      </c>
      <c r="I373" s="3" t="s">
        <v>15</v>
      </c>
      <c r="J373" s="1">
        <v>17995.57</v>
      </c>
      <c r="K373" s="12">
        <v>936</v>
      </c>
      <c r="L373" s="1">
        <v>16726.32</v>
      </c>
      <c r="M373" s="12">
        <v>688.77700000000004</v>
      </c>
      <c r="N373" t="s">
        <v>221</v>
      </c>
      <c r="O373"/>
      <c r="P373" s="2">
        <f>IF(BD_Receitas[[#This Row],[TIPO DE COBRANÇA]]="Operação Normal",
_xlfn.XLOOKUP(BD_Receitas[[#This Row],[ID]],TabCondicoesComerciais[ID],TabCondicoesComerciais[Volume mínimo 
(m3)],0),"")</f>
        <v>936</v>
      </c>
      <c r="Q373" s="2">
        <f>_xlfn.XLOOKUP(BD_Receitas[[#This Row],[ID]],TabCondicoesComerciais[ID],TabCondicoesComerciais[Vol. 1ºGiro],0)</f>
        <v>365</v>
      </c>
      <c r="R3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373" s="1">
        <f xml:space="preserve"> IF(BD_Receitas[[#This Row],[TIPO DE COBRANÇA]]="Operação Normal",
_xlfn.XLOOKUP(BD_Receitas[[#This Row],[ID]],TabCondicoesComerciais[ID],TabCondicoesComerciais[Tarifa 2º Giro],0),0)</f>
        <v>17.87</v>
      </c>
      <c r="T373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37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24.284086141087752</v>
      </c>
      <c r="V37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37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12308.44499</v>
      </c>
      <c r="X3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374" spans="1:24" hidden="1" x14ac:dyDescent="0.35">
      <c r="A374" s="3" t="s">
        <v>139</v>
      </c>
      <c r="B374" s="11">
        <v>45839</v>
      </c>
      <c r="C374" t="s">
        <v>31</v>
      </c>
      <c r="D374" t="s">
        <v>202</v>
      </c>
      <c r="E374" t="s">
        <v>36</v>
      </c>
      <c r="F374" s="10" t="s">
        <v>48</v>
      </c>
      <c r="G374" s="3" t="s">
        <v>49</v>
      </c>
      <c r="H374" s="3" t="s">
        <v>14</v>
      </c>
      <c r="I374" s="3" t="s">
        <v>65</v>
      </c>
      <c r="J374" s="1">
        <v>0</v>
      </c>
      <c r="K374" s="12">
        <v>0</v>
      </c>
      <c r="L374" s="1"/>
      <c r="M374" s="12"/>
      <c r="N374"/>
      <c r="O374"/>
      <c r="P374" s="2" t="str">
        <f>IF(BD_Receitas[[#This Row],[TIPO DE COBRANÇA]]="Operação Normal",
_xlfn.XLOOKUP(BD_Receitas[[#This Row],[ID]],TabCondicoesComerciais[ID],TabCondicoesComerciais[Volume mínimo 
(m3)],0),"")</f>
        <v/>
      </c>
      <c r="Q374" s="2">
        <f>_xlfn.XLOOKUP(BD_Receitas[[#This Row],[ID]],TabCondicoesComerciais[ID],TabCondicoesComerciais[Vol. 1ºGiro],0)</f>
        <v>365</v>
      </c>
      <c r="R3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4" s="1">
        <f xml:space="preserve"> IF(BD_Receitas[[#This Row],[TIPO DE COBRANÇA]]="Operação Normal",
_xlfn.XLOOKUP(BD_Receitas[[#This Row],[ID]],TabCondicoesComerciais[ID],TabCondicoesComerciais[Tarifa 2º Giro],0),0)</f>
        <v>0</v>
      </c>
      <c r="T3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5" spans="1:24" hidden="1" x14ac:dyDescent="0.35">
      <c r="A375" s="3" t="s">
        <v>25</v>
      </c>
      <c r="B375" s="11">
        <v>45839</v>
      </c>
      <c r="C375" t="s">
        <v>31</v>
      </c>
      <c r="D375" t="s">
        <v>202</v>
      </c>
      <c r="E375" t="s">
        <v>36</v>
      </c>
      <c r="F375" s="10" t="s">
        <v>48</v>
      </c>
      <c r="G375" s="3" t="s">
        <v>49</v>
      </c>
      <c r="H375" s="3" t="s">
        <v>116</v>
      </c>
      <c r="I375" s="3" t="s">
        <v>7</v>
      </c>
      <c r="J375" s="1">
        <v>0</v>
      </c>
      <c r="K375" s="12">
        <v>0</v>
      </c>
      <c r="L375" s="1"/>
      <c r="M375" s="12"/>
      <c r="N375"/>
      <c r="O375"/>
      <c r="P375" s="2" t="str">
        <f>IF(BD_Receitas[[#This Row],[TIPO DE COBRANÇA]]="Operação Normal",
_xlfn.XLOOKUP(BD_Receitas[[#This Row],[ID]],TabCondicoesComerciais[ID],TabCondicoesComerciais[Volume mínimo 
(m3)],0),"")</f>
        <v/>
      </c>
      <c r="Q375" s="2">
        <f>_xlfn.XLOOKUP(BD_Receitas[[#This Row],[ID]],TabCondicoesComerciais[ID],TabCondicoesComerciais[Vol. 1ºGiro],0)</f>
        <v>100</v>
      </c>
      <c r="R3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5" s="1">
        <f xml:space="preserve"> IF(BD_Receitas[[#This Row],[TIPO DE COBRANÇA]]="Operação Normal",
_xlfn.XLOOKUP(BD_Receitas[[#This Row],[ID]],TabCondicoesComerciais[ID],TabCondicoesComerciais[Tarifa 2º Giro],0),0)</f>
        <v>0</v>
      </c>
      <c r="T37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6" spans="1:24" hidden="1" x14ac:dyDescent="0.35">
      <c r="A376" s="3" t="s">
        <v>25</v>
      </c>
      <c r="B376" s="11">
        <v>45839</v>
      </c>
      <c r="C376" t="s">
        <v>31</v>
      </c>
      <c r="D376" t="s">
        <v>202</v>
      </c>
      <c r="E376" t="s">
        <v>36</v>
      </c>
      <c r="F376" s="10" t="s">
        <v>48</v>
      </c>
      <c r="G376" s="3" t="s">
        <v>49</v>
      </c>
      <c r="H376" s="3" t="s">
        <v>116</v>
      </c>
      <c r="I376" s="3" t="s">
        <v>8</v>
      </c>
      <c r="J376" s="1">
        <v>0</v>
      </c>
      <c r="K376" s="12">
        <v>0</v>
      </c>
      <c r="L376" s="1"/>
      <c r="M376" s="12"/>
      <c r="N376"/>
      <c r="O376"/>
      <c r="P376" s="2" t="str">
        <f>IF(BD_Receitas[[#This Row],[TIPO DE COBRANÇA]]="Operação Normal",
_xlfn.XLOOKUP(BD_Receitas[[#This Row],[ID]],TabCondicoesComerciais[ID],TabCondicoesComerciais[Volume mínimo 
(m3)],0),"")</f>
        <v/>
      </c>
      <c r="Q376" s="2">
        <f>_xlfn.XLOOKUP(BD_Receitas[[#This Row],[ID]],TabCondicoesComerciais[ID],TabCondicoesComerciais[Vol. 1ºGiro],0)</f>
        <v>100</v>
      </c>
      <c r="R3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6" s="1">
        <f xml:space="preserve"> IF(BD_Receitas[[#This Row],[TIPO DE COBRANÇA]]="Operação Normal",
_xlfn.XLOOKUP(BD_Receitas[[#This Row],[ID]],TabCondicoesComerciais[ID],TabCondicoesComerciais[Tarifa 2º Giro],0),0)</f>
        <v>0</v>
      </c>
      <c r="T3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7" spans="1:24" hidden="1" x14ac:dyDescent="0.35">
      <c r="A377" s="3" t="s">
        <v>25</v>
      </c>
      <c r="B377" s="11">
        <v>45839</v>
      </c>
      <c r="C377" t="s">
        <v>31</v>
      </c>
      <c r="D377" t="s">
        <v>202</v>
      </c>
      <c r="E377" t="s">
        <v>36</v>
      </c>
      <c r="F377" s="10" t="s">
        <v>48</v>
      </c>
      <c r="G377" s="3" t="s">
        <v>49</v>
      </c>
      <c r="H377" s="3" t="s">
        <v>116</v>
      </c>
      <c r="I377" s="3" t="s">
        <v>15</v>
      </c>
      <c r="J377" s="1">
        <v>0</v>
      </c>
      <c r="K377" s="12">
        <v>0</v>
      </c>
      <c r="L377" s="1"/>
      <c r="M377" s="12"/>
      <c r="N377"/>
      <c r="O377"/>
      <c r="P377" s="2">
        <f>IF(BD_Receitas[[#This Row],[TIPO DE COBRANÇA]]="Operação Normal",
_xlfn.XLOOKUP(BD_Receitas[[#This Row],[ID]],TabCondicoesComerciais[ID],TabCondicoesComerciais[Volume mínimo 
(m3)],0),"")</f>
        <v>300</v>
      </c>
      <c r="Q377" s="2">
        <f>_xlfn.XLOOKUP(BD_Receitas[[#This Row],[ID]],TabCondicoesComerciais[ID],TabCondicoesComerciais[Vol. 1ºGiro],0)</f>
        <v>100</v>
      </c>
      <c r="R3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377" s="1">
        <f xml:space="preserve"> IF(BD_Receitas[[#This Row],[TIPO DE COBRANÇA]]="Operação Normal",
_xlfn.XLOOKUP(BD_Receitas[[#This Row],[ID]],TabCondicoesComerciais[ID],TabCondicoesComerciais[Tarifa 2º Giro],0),0)</f>
        <v>30</v>
      </c>
      <c r="T37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7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7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37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78" spans="1:24" hidden="1" x14ac:dyDescent="0.35">
      <c r="A378" s="3" t="s">
        <v>25</v>
      </c>
      <c r="B378" s="11">
        <v>45839</v>
      </c>
      <c r="C378" t="s">
        <v>31</v>
      </c>
      <c r="D378" t="s">
        <v>202</v>
      </c>
      <c r="E378" t="s">
        <v>36</v>
      </c>
      <c r="F378" s="10" t="s">
        <v>48</v>
      </c>
      <c r="G378" s="3" t="s">
        <v>49</v>
      </c>
      <c r="H378" s="3" t="s">
        <v>116</v>
      </c>
      <c r="I378" s="3" t="s">
        <v>65</v>
      </c>
      <c r="J378" s="1">
        <v>0</v>
      </c>
      <c r="K378" s="12">
        <v>0</v>
      </c>
      <c r="L378" s="1"/>
      <c r="M378" s="12"/>
      <c r="N378"/>
      <c r="O378"/>
      <c r="P378" s="2" t="str">
        <f>IF(BD_Receitas[[#This Row],[TIPO DE COBRANÇA]]="Operação Normal",
_xlfn.XLOOKUP(BD_Receitas[[#This Row],[ID]],TabCondicoesComerciais[ID],TabCondicoesComerciais[Volume mínimo 
(m3)],0),"")</f>
        <v/>
      </c>
      <c r="Q378" s="2">
        <f>_xlfn.XLOOKUP(BD_Receitas[[#This Row],[ID]],TabCondicoesComerciais[ID],TabCondicoesComerciais[Vol. 1ºGiro],0)</f>
        <v>100</v>
      </c>
      <c r="R3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78" s="1">
        <f xml:space="preserve"> IF(BD_Receitas[[#This Row],[TIPO DE COBRANÇA]]="Operação Normal",
_xlfn.XLOOKUP(BD_Receitas[[#This Row],[ID]],TabCondicoesComerciais[ID],TabCondicoesComerciais[Tarifa 2º Giro],0),0)</f>
        <v>0</v>
      </c>
      <c r="T3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79" spans="1:24" hidden="1" x14ac:dyDescent="0.35">
      <c r="A379" s="3" t="s">
        <v>102</v>
      </c>
      <c r="B379" s="11">
        <v>45839</v>
      </c>
      <c r="C379" t="s">
        <v>31</v>
      </c>
      <c r="D379" t="s">
        <v>202</v>
      </c>
      <c r="E379" t="s">
        <v>36</v>
      </c>
      <c r="F379" s="10" t="s">
        <v>48</v>
      </c>
      <c r="G379" s="3" t="s">
        <v>49</v>
      </c>
      <c r="H379" s="3" t="s">
        <v>51</v>
      </c>
      <c r="I379" s="3" t="s">
        <v>7</v>
      </c>
      <c r="J379" s="1">
        <v>0</v>
      </c>
      <c r="K379" s="12">
        <v>0</v>
      </c>
      <c r="L379" s="1"/>
      <c r="M379" s="12"/>
      <c r="N379"/>
      <c r="O379"/>
      <c r="P379" s="2" t="str">
        <f>IF(BD_Receitas[[#This Row],[TIPO DE COBRANÇA]]="Operação Normal",
_xlfn.XLOOKUP(BD_Receitas[[#This Row],[ID]],TabCondicoesComerciais[ID],TabCondicoesComerciais[Volume mínimo 
(m3)],0),"")</f>
        <v/>
      </c>
      <c r="Q379" s="2">
        <f>_xlfn.XLOOKUP(BD_Receitas[[#This Row],[ID]],TabCondicoesComerciais[ID],TabCondicoesComerciais[Vol. 1ºGiro],0)</f>
        <v>750</v>
      </c>
      <c r="R3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379" s="1">
        <f xml:space="preserve"> IF(BD_Receitas[[#This Row],[TIPO DE COBRANÇA]]="Operação Normal",
_xlfn.XLOOKUP(BD_Receitas[[#This Row],[ID]],TabCondicoesComerciais[ID],TabCondicoesComerciais[Tarifa 2º Giro],0),0)</f>
        <v>0</v>
      </c>
      <c r="T3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0" spans="1:24" hidden="1" x14ac:dyDescent="0.35">
      <c r="A380" s="3" t="s">
        <v>102</v>
      </c>
      <c r="B380" s="11">
        <v>45839</v>
      </c>
      <c r="C380" t="s">
        <v>31</v>
      </c>
      <c r="D380" t="s">
        <v>202</v>
      </c>
      <c r="E380" t="s">
        <v>36</v>
      </c>
      <c r="F380" s="10" t="s">
        <v>48</v>
      </c>
      <c r="G380" s="3" t="s">
        <v>49</v>
      </c>
      <c r="H380" s="3" t="s">
        <v>51</v>
      </c>
      <c r="I380" s="3" t="s">
        <v>8</v>
      </c>
      <c r="J380" s="1">
        <v>0</v>
      </c>
      <c r="K380" s="12">
        <v>0</v>
      </c>
      <c r="L380" s="1"/>
      <c r="M380" s="12"/>
      <c r="N380"/>
      <c r="O380"/>
      <c r="P380" s="2" t="str">
        <f>IF(BD_Receitas[[#This Row],[TIPO DE COBRANÇA]]="Operação Normal",
_xlfn.XLOOKUP(BD_Receitas[[#This Row],[ID]],TabCondicoesComerciais[ID],TabCondicoesComerciais[Volume mínimo 
(m3)],0),"")</f>
        <v/>
      </c>
      <c r="Q380" s="2">
        <f>_xlfn.XLOOKUP(BD_Receitas[[#This Row],[ID]],TabCondicoesComerciais[ID],TabCondicoesComerciais[Vol. 1ºGiro],0)</f>
        <v>750</v>
      </c>
      <c r="R3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380" s="1">
        <f xml:space="preserve"> IF(BD_Receitas[[#This Row],[TIPO DE COBRANÇA]]="Operação Normal",
_xlfn.XLOOKUP(BD_Receitas[[#This Row],[ID]],TabCondicoesComerciais[ID],TabCondicoesComerciais[Tarifa 2º Giro],0),0)</f>
        <v>0</v>
      </c>
      <c r="T3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1" spans="1:24" hidden="1" x14ac:dyDescent="0.35">
      <c r="A381" s="3" t="s">
        <v>102</v>
      </c>
      <c r="B381" s="11">
        <v>45839</v>
      </c>
      <c r="C381" t="s">
        <v>31</v>
      </c>
      <c r="D381" t="s">
        <v>202</v>
      </c>
      <c r="E381" t="s">
        <v>36</v>
      </c>
      <c r="F381" s="10" t="s">
        <v>48</v>
      </c>
      <c r="G381" s="3" t="s">
        <v>49</v>
      </c>
      <c r="H381" s="3" t="s">
        <v>51</v>
      </c>
      <c r="I381" s="3" t="s">
        <v>15</v>
      </c>
      <c r="J381" s="1">
        <v>0</v>
      </c>
      <c r="K381" s="12">
        <v>0</v>
      </c>
      <c r="L381" s="1"/>
      <c r="M381" s="12"/>
      <c r="N381"/>
      <c r="O381"/>
      <c r="P381" s="2">
        <f>IF(BD_Receitas[[#This Row],[TIPO DE COBRANÇA]]="Operação Normal",
_xlfn.XLOOKUP(BD_Receitas[[#This Row],[ID]],TabCondicoesComerciais[ID],TabCondicoesComerciais[Volume mínimo 
(m3)],0),"")</f>
        <v>6500</v>
      </c>
      <c r="Q381" s="2">
        <f>_xlfn.XLOOKUP(BD_Receitas[[#This Row],[ID]],TabCondicoesComerciais[ID],TabCondicoesComerciais[Vol. 1ºGiro],0)</f>
        <v>750</v>
      </c>
      <c r="R3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381" s="1">
        <f xml:space="preserve"> IF(BD_Receitas[[#This Row],[TIPO DE COBRANÇA]]="Operação Normal",
_xlfn.XLOOKUP(BD_Receitas[[#This Row],[ID]],TabCondicoesComerciais[ID],TabCondicoesComerciais[Tarifa 2º Giro],0),0)</f>
        <v>32.42</v>
      </c>
      <c r="T38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8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8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38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82" spans="1:24" hidden="1" x14ac:dyDescent="0.35">
      <c r="A382" s="3" t="s">
        <v>102</v>
      </c>
      <c r="B382" s="11">
        <v>45839</v>
      </c>
      <c r="C382" t="s">
        <v>31</v>
      </c>
      <c r="D382" t="s">
        <v>202</v>
      </c>
      <c r="E382" t="s">
        <v>36</v>
      </c>
      <c r="F382" s="10" t="s">
        <v>48</v>
      </c>
      <c r="G382" s="3" t="s">
        <v>49</v>
      </c>
      <c r="H382" s="3" t="s">
        <v>51</v>
      </c>
      <c r="I382" s="3" t="s">
        <v>65</v>
      </c>
      <c r="J382" s="1">
        <v>0</v>
      </c>
      <c r="K382" s="12">
        <v>0</v>
      </c>
      <c r="L382" s="1"/>
      <c r="M382" s="12"/>
      <c r="N382"/>
      <c r="O382"/>
      <c r="P382" s="2" t="str">
        <f>IF(BD_Receitas[[#This Row],[TIPO DE COBRANÇA]]="Operação Normal",
_xlfn.XLOOKUP(BD_Receitas[[#This Row],[ID]],TabCondicoesComerciais[ID],TabCondicoesComerciais[Volume mínimo 
(m3)],0),"")</f>
        <v/>
      </c>
      <c r="Q382" s="2">
        <f>_xlfn.XLOOKUP(BD_Receitas[[#This Row],[ID]],TabCondicoesComerciais[ID],TabCondicoesComerciais[Vol. 1ºGiro],0)</f>
        <v>750</v>
      </c>
      <c r="R3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82" s="1">
        <f xml:space="preserve"> IF(BD_Receitas[[#This Row],[TIPO DE COBRANÇA]]="Operação Normal",
_xlfn.XLOOKUP(BD_Receitas[[#This Row],[ID]],TabCondicoesComerciais[ID],TabCondicoesComerciais[Tarifa 2º Giro],0),0)</f>
        <v>0</v>
      </c>
      <c r="T3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3" spans="1:24" hidden="1" x14ac:dyDescent="0.35">
      <c r="A383" s="3" t="s">
        <v>208</v>
      </c>
      <c r="B383" s="11">
        <v>45839</v>
      </c>
      <c r="C383" t="s">
        <v>31</v>
      </c>
      <c r="D383" t="s">
        <v>202</v>
      </c>
      <c r="E383" t="s">
        <v>35</v>
      </c>
      <c r="F383" s="10" t="s">
        <v>22</v>
      </c>
      <c r="G383" s="3" t="s">
        <v>11</v>
      </c>
      <c r="H383" s="3" t="s">
        <v>207</v>
      </c>
      <c r="I383" s="3" t="s">
        <v>7</v>
      </c>
      <c r="J383" s="1">
        <v>0</v>
      </c>
      <c r="K383" s="12">
        <v>0</v>
      </c>
      <c r="L383" s="1">
        <v>3102.68</v>
      </c>
      <c r="M383" s="12">
        <v>354</v>
      </c>
      <c r="N383" t="s">
        <v>224</v>
      </c>
      <c r="O383"/>
      <c r="P383" s="2" t="str">
        <f>IF(BD_Receitas[[#This Row],[TIPO DE COBRANÇA]]="Operação Normal",
_xlfn.XLOOKUP(BD_Receitas[[#This Row],[ID]],TabCondicoesComerciais[ID],TabCondicoesComerciais[Volume mínimo 
(m3)],0),"")</f>
        <v/>
      </c>
      <c r="Q383" s="2">
        <f>_xlfn.XLOOKUP(BD_Receitas[[#This Row],[ID]],TabCondicoesComerciais[ID],TabCondicoesComerciais[Vol. 1ºGiro],0)</f>
        <v>625</v>
      </c>
      <c r="R3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383" s="1">
        <f xml:space="preserve"> IF(BD_Receitas[[#This Row],[TIPO DE COBRANÇA]]="Operação Normal",
_xlfn.XLOOKUP(BD_Receitas[[#This Row],[ID]],TabCondicoesComerciais[ID],TabCondicoesComerciais[Tarifa 2º Giro],0),0)</f>
        <v>0</v>
      </c>
      <c r="T38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4" spans="1:24" hidden="1" x14ac:dyDescent="0.35">
      <c r="A384" s="3" t="s">
        <v>208</v>
      </c>
      <c r="B384" s="11">
        <v>45839</v>
      </c>
      <c r="C384" t="s">
        <v>31</v>
      </c>
      <c r="D384" t="s">
        <v>202</v>
      </c>
      <c r="E384" t="s">
        <v>35</v>
      </c>
      <c r="F384" s="10" t="s">
        <v>22</v>
      </c>
      <c r="G384" s="3" t="s">
        <v>11</v>
      </c>
      <c r="H384" s="3" t="s">
        <v>207</v>
      </c>
      <c r="I384" s="3" t="s">
        <v>8</v>
      </c>
      <c r="J384" s="1">
        <v>0</v>
      </c>
      <c r="K384" s="12">
        <v>0</v>
      </c>
      <c r="L384" s="1">
        <v>911.94299999999998</v>
      </c>
      <c r="M384" s="12">
        <v>95.010999999999996</v>
      </c>
      <c r="N384" t="s">
        <v>224</v>
      </c>
      <c r="O384"/>
      <c r="P384" s="2" t="str">
        <f>IF(BD_Receitas[[#This Row],[TIPO DE COBRANÇA]]="Operação Normal",
_xlfn.XLOOKUP(BD_Receitas[[#This Row],[ID]],TabCondicoesComerciais[ID],TabCondicoesComerciais[Volume mínimo 
(m3)],0),"")</f>
        <v/>
      </c>
      <c r="Q384" s="2">
        <f>_xlfn.XLOOKUP(BD_Receitas[[#This Row],[ID]],TabCondicoesComerciais[ID],TabCondicoesComerciais[Vol. 1ºGiro],0)</f>
        <v>625</v>
      </c>
      <c r="R3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384" s="1">
        <f xml:space="preserve"> IF(BD_Receitas[[#This Row],[TIPO DE COBRANÇA]]="Operação Normal",
_xlfn.XLOOKUP(BD_Receitas[[#This Row],[ID]],TabCondicoesComerciais[ID],TabCondicoesComerciais[Tarifa 2º Giro],0),0)</f>
        <v>0</v>
      </c>
      <c r="T3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5" spans="1:24" hidden="1" x14ac:dyDescent="0.35">
      <c r="A385" s="3" t="s">
        <v>208</v>
      </c>
      <c r="B385" s="11">
        <v>45839</v>
      </c>
      <c r="C385" t="s">
        <v>31</v>
      </c>
      <c r="D385" t="s">
        <v>202</v>
      </c>
      <c r="E385" t="s">
        <v>35</v>
      </c>
      <c r="F385" s="10" t="s">
        <v>22</v>
      </c>
      <c r="G385" s="3" t="s">
        <v>11</v>
      </c>
      <c r="H385" s="3" t="s">
        <v>207</v>
      </c>
      <c r="I385" s="3" t="s">
        <v>15</v>
      </c>
      <c r="J385" s="1">
        <v>47210.53</v>
      </c>
      <c r="K385" s="12">
        <v>1875</v>
      </c>
      <c r="L385" s="1">
        <v>40968.75</v>
      </c>
      <c r="M385" s="12">
        <v>1670.8489999999999</v>
      </c>
      <c r="N385" t="s">
        <v>224</v>
      </c>
      <c r="O385"/>
      <c r="P385" s="2">
        <f>IF(BD_Receitas[[#This Row],[TIPO DE COBRANÇA]]="Operação Normal",
_xlfn.XLOOKUP(BD_Receitas[[#This Row],[ID]],TabCondicoesComerciais[ID],TabCondicoesComerciais[Volume mínimo 
(m3)],0),"")</f>
        <v>1875</v>
      </c>
      <c r="Q385" s="2">
        <f>_xlfn.XLOOKUP(BD_Receitas[[#This Row],[ID]],TabCondicoesComerciais[ID],TabCondicoesComerciais[Vol. 1ºGiro],0)</f>
        <v>625</v>
      </c>
      <c r="R3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385" s="1">
        <f xml:space="preserve"> IF(BD_Receitas[[#This Row],[TIPO DE COBRANÇA]]="Operação Normal",
_xlfn.XLOOKUP(BD_Receitas[[#This Row],[ID]],TabCondicoesComerciais[ID],TabCondicoesComerciais[Tarifa 2º Giro],0),0)</f>
        <v>33</v>
      </c>
      <c r="T385" s="5">
        <f>IFERROR(IF(BD_Receitas[[#This Row],[TIPO DE COBRANÇA]]&lt;&gt;"Operação Normal","",BD_Receitas[[#This Row],[Valor Total R$]]/ MAX(BD_Receitas[[#This Row],[Vol. Movimentado M³]],
BD_Receitas[[#This Row],[Volume Mínimo ]])
),0)</f>
        <v>21.85</v>
      </c>
      <c r="U38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26.922464567414529</v>
      </c>
      <c r="V38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38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55138.017</v>
      </c>
      <c r="X3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86" spans="1:24" hidden="1" x14ac:dyDescent="0.35">
      <c r="A386" s="3" t="s">
        <v>208</v>
      </c>
      <c r="B386" s="11">
        <v>45839</v>
      </c>
      <c r="C386" t="s">
        <v>31</v>
      </c>
      <c r="D386" t="s">
        <v>202</v>
      </c>
      <c r="E386" t="s">
        <v>35</v>
      </c>
      <c r="F386" s="10" t="s">
        <v>22</v>
      </c>
      <c r="G386" s="3" t="s">
        <v>11</v>
      </c>
      <c r="H386" s="3" t="s">
        <v>207</v>
      </c>
      <c r="I386" s="3" t="s">
        <v>65</v>
      </c>
      <c r="J386" s="1">
        <v>0</v>
      </c>
      <c r="K386" s="12">
        <v>0</v>
      </c>
      <c r="L386" s="1"/>
      <c r="M386" s="12"/>
      <c r="N386"/>
      <c r="O386"/>
      <c r="P386" s="2" t="str">
        <f>IF(BD_Receitas[[#This Row],[TIPO DE COBRANÇA]]="Operação Normal",
_xlfn.XLOOKUP(BD_Receitas[[#This Row],[ID]],TabCondicoesComerciais[ID],TabCondicoesComerciais[Volume mínimo 
(m3)],0),"")</f>
        <v/>
      </c>
      <c r="Q386" s="2">
        <f>_xlfn.XLOOKUP(BD_Receitas[[#This Row],[ID]],TabCondicoesComerciais[ID],TabCondicoesComerciais[Vol. 1ºGiro],0)</f>
        <v>625</v>
      </c>
      <c r="R3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86" s="1">
        <f xml:space="preserve"> IF(BD_Receitas[[#This Row],[TIPO DE COBRANÇA]]="Operação Normal",
_xlfn.XLOOKUP(BD_Receitas[[#This Row],[ID]],TabCondicoesComerciais[ID],TabCondicoesComerciais[Tarifa 2º Giro],0),0)</f>
        <v>0</v>
      </c>
      <c r="T3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7" spans="1:24" hidden="1" x14ac:dyDescent="0.35">
      <c r="A387" s="3" t="s">
        <v>190</v>
      </c>
      <c r="B387" s="11">
        <v>45839</v>
      </c>
      <c r="C387" t="s">
        <v>31</v>
      </c>
      <c r="D387" t="s">
        <v>202</v>
      </c>
      <c r="E387" t="s">
        <v>35</v>
      </c>
      <c r="F387" s="10" t="s">
        <v>22</v>
      </c>
      <c r="G387" s="3" t="s">
        <v>11</v>
      </c>
      <c r="H387" s="3" t="s">
        <v>116</v>
      </c>
      <c r="I387" s="3" t="s">
        <v>7</v>
      </c>
      <c r="J387" s="1">
        <v>0</v>
      </c>
      <c r="K387" s="12">
        <v>0</v>
      </c>
      <c r="L387" s="1"/>
      <c r="M387" s="12"/>
      <c r="N387"/>
      <c r="O387"/>
      <c r="P387" s="2" t="str">
        <f>IF(BD_Receitas[[#This Row],[TIPO DE COBRANÇA]]="Operação Normal",
_xlfn.XLOOKUP(BD_Receitas[[#This Row],[ID]],TabCondicoesComerciais[ID],TabCondicoesComerciais[Volume mínimo 
(m3)],0),"")</f>
        <v/>
      </c>
      <c r="Q387" s="2">
        <f>_xlfn.XLOOKUP(BD_Receitas[[#This Row],[ID]],TabCondicoesComerciais[ID],TabCondicoesComerciais[Vol. 1ºGiro],0)</f>
        <v>580</v>
      </c>
      <c r="R3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87" s="1">
        <f xml:space="preserve"> IF(BD_Receitas[[#This Row],[TIPO DE COBRANÇA]]="Operação Normal",
_xlfn.XLOOKUP(BD_Receitas[[#This Row],[ID]],TabCondicoesComerciais[ID],TabCondicoesComerciais[Tarifa 2º Giro],0),0)</f>
        <v>0</v>
      </c>
      <c r="T3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8" spans="1:24" hidden="1" x14ac:dyDescent="0.35">
      <c r="A388" s="3" t="s">
        <v>190</v>
      </c>
      <c r="B388" s="11">
        <v>45839</v>
      </c>
      <c r="C388" t="s">
        <v>31</v>
      </c>
      <c r="D388" t="s">
        <v>202</v>
      </c>
      <c r="E388" t="s">
        <v>35</v>
      </c>
      <c r="F388" s="10" t="s">
        <v>22</v>
      </c>
      <c r="G388" s="3" t="s">
        <v>11</v>
      </c>
      <c r="H388" s="3" t="s">
        <v>116</v>
      </c>
      <c r="I388" s="3" t="s">
        <v>8</v>
      </c>
      <c r="J388" s="1">
        <v>0</v>
      </c>
      <c r="K388" s="12">
        <v>0</v>
      </c>
      <c r="L388" s="1"/>
      <c r="M388" s="12"/>
      <c r="N388"/>
      <c r="O388"/>
      <c r="P388" s="2" t="str">
        <f>IF(BD_Receitas[[#This Row],[TIPO DE COBRANÇA]]="Operação Normal",
_xlfn.XLOOKUP(BD_Receitas[[#This Row],[ID]],TabCondicoesComerciais[ID],TabCondicoesComerciais[Volume mínimo 
(m3)],0),"")</f>
        <v/>
      </c>
      <c r="Q388" s="2">
        <f>_xlfn.XLOOKUP(BD_Receitas[[#This Row],[ID]],TabCondicoesComerciais[ID],TabCondicoesComerciais[Vol. 1ºGiro],0)</f>
        <v>580</v>
      </c>
      <c r="R3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88" s="1">
        <f xml:space="preserve"> IF(BD_Receitas[[#This Row],[TIPO DE COBRANÇA]]="Operação Normal",
_xlfn.XLOOKUP(BD_Receitas[[#This Row],[ID]],TabCondicoesComerciais[ID],TabCondicoesComerciais[Tarifa 2º Giro],0),0)</f>
        <v>0</v>
      </c>
      <c r="T3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89" spans="1:24" hidden="1" x14ac:dyDescent="0.35">
      <c r="A389" s="3" t="s">
        <v>190</v>
      </c>
      <c r="B389" s="11">
        <v>45839</v>
      </c>
      <c r="C389" t="s">
        <v>31</v>
      </c>
      <c r="D389" t="s">
        <v>202</v>
      </c>
      <c r="E389" t="s">
        <v>35</v>
      </c>
      <c r="F389" s="10" t="s">
        <v>22</v>
      </c>
      <c r="G389" s="3" t="s">
        <v>11</v>
      </c>
      <c r="H389" s="3" t="s">
        <v>116</v>
      </c>
      <c r="I389" s="3" t="s">
        <v>15</v>
      </c>
      <c r="J389" s="1">
        <v>0</v>
      </c>
      <c r="K389" s="12">
        <v>0</v>
      </c>
      <c r="L389" s="1"/>
      <c r="M389" s="12"/>
      <c r="N389"/>
      <c r="O389"/>
      <c r="P389" s="2">
        <f>IF(BD_Receitas[[#This Row],[TIPO DE COBRANÇA]]="Operação Normal",
_xlfn.XLOOKUP(BD_Receitas[[#This Row],[ID]],TabCondicoesComerciais[ID],TabCondicoesComerciais[Volume mínimo 
(m3)],0),"")</f>
        <v>2000</v>
      </c>
      <c r="Q389" s="2">
        <f>_xlfn.XLOOKUP(BD_Receitas[[#This Row],[ID]],TabCondicoesComerciais[ID],TabCondicoesComerciais[Vol. 1ºGiro],0)</f>
        <v>580</v>
      </c>
      <c r="R3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389" s="1">
        <f xml:space="preserve"> IF(BD_Receitas[[#This Row],[TIPO DE COBRANÇA]]="Operação Normal",
_xlfn.XLOOKUP(BD_Receitas[[#This Row],[ID]],TabCondicoesComerciais[ID],TabCondicoesComerciais[Tarifa 2º Giro],0),0)</f>
        <v>27</v>
      </c>
      <c r="T38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8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8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38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90" spans="1:24" hidden="1" x14ac:dyDescent="0.35">
      <c r="A390" s="3" t="s">
        <v>190</v>
      </c>
      <c r="B390" s="11">
        <v>45839</v>
      </c>
      <c r="C390" t="s">
        <v>31</v>
      </c>
      <c r="D390" t="s">
        <v>202</v>
      </c>
      <c r="E390" t="s">
        <v>35</v>
      </c>
      <c r="F390" s="10" t="s">
        <v>22</v>
      </c>
      <c r="G390" s="3" t="s">
        <v>11</v>
      </c>
      <c r="H390" s="3" t="s">
        <v>116</v>
      </c>
      <c r="I390" s="3" t="s">
        <v>65</v>
      </c>
      <c r="J390" s="1">
        <v>0</v>
      </c>
      <c r="K390" s="12">
        <v>0</v>
      </c>
      <c r="L390" s="1"/>
      <c r="M390" s="12"/>
      <c r="N390"/>
      <c r="O390"/>
      <c r="P390" s="2" t="str">
        <f>IF(BD_Receitas[[#This Row],[TIPO DE COBRANÇA]]="Operação Normal",
_xlfn.XLOOKUP(BD_Receitas[[#This Row],[ID]],TabCondicoesComerciais[ID],TabCondicoesComerciais[Volume mínimo 
(m3)],0),"")</f>
        <v/>
      </c>
      <c r="Q390" s="2">
        <f>_xlfn.XLOOKUP(BD_Receitas[[#This Row],[ID]],TabCondicoesComerciais[ID],TabCondicoesComerciais[Vol. 1ºGiro],0)</f>
        <v>580</v>
      </c>
      <c r="R3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90" s="1">
        <f xml:space="preserve"> IF(BD_Receitas[[#This Row],[TIPO DE COBRANÇA]]="Operação Normal",
_xlfn.XLOOKUP(BD_Receitas[[#This Row],[ID]],TabCondicoesComerciais[ID],TabCondicoesComerciais[Tarifa 2º Giro],0),0)</f>
        <v>0</v>
      </c>
      <c r="T3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1" spans="1:24" hidden="1" x14ac:dyDescent="0.35">
      <c r="A391" s="3" t="s">
        <v>172</v>
      </c>
      <c r="B391" s="11">
        <v>45839</v>
      </c>
      <c r="C391" t="s">
        <v>31</v>
      </c>
      <c r="D391" t="s">
        <v>202</v>
      </c>
      <c r="E391" t="s">
        <v>35</v>
      </c>
      <c r="F391" s="10" t="s">
        <v>22</v>
      </c>
      <c r="G391" s="3" t="s">
        <v>11</v>
      </c>
      <c r="H391" s="3" t="s">
        <v>13</v>
      </c>
      <c r="I391" s="3" t="s">
        <v>7</v>
      </c>
      <c r="J391" s="1">
        <v>0</v>
      </c>
      <c r="K391" s="12">
        <v>0</v>
      </c>
      <c r="L391" s="1">
        <v>4481.7865000000002</v>
      </c>
      <c r="M391" s="12">
        <v>517.476</v>
      </c>
      <c r="N391" t="s">
        <v>225</v>
      </c>
      <c r="O391"/>
      <c r="P391" s="2" t="str">
        <f>IF(BD_Receitas[[#This Row],[TIPO DE COBRANÇA]]="Operação Normal",
_xlfn.XLOOKUP(BD_Receitas[[#This Row],[ID]],TabCondicoesComerciais[ID],TabCondicoesComerciais[Volume mínimo 
(m3)],0),"")</f>
        <v/>
      </c>
      <c r="Q391" s="2">
        <f>_xlfn.XLOOKUP(BD_Receitas[[#This Row],[ID]],TabCondicoesComerciais[ID],TabCondicoesComerciais[Vol. 1ºGiro],0)</f>
        <v>750</v>
      </c>
      <c r="R3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391" s="1">
        <f xml:space="preserve"> IF(BD_Receitas[[#This Row],[TIPO DE COBRANÇA]]="Operação Normal",
_xlfn.XLOOKUP(BD_Receitas[[#This Row],[ID]],TabCondicoesComerciais[ID],TabCondicoesComerciais[Tarifa 2º Giro],0),0)</f>
        <v>0</v>
      </c>
      <c r="T39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2" spans="1:24" hidden="1" x14ac:dyDescent="0.35">
      <c r="A392" s="3" t="s">
        <v>172</v>
      </c>
      <c r="B392" s="11">
        <v>45839</v>
      </c>
      <c r="C392" t="s">
        <v>31</v>
      </c>
      <c r="D392" t="s">
        <v>202</v>
      </c>
      <c r="E392" t="s">
        <v>35</v>
      </c>
      <c r="F392" s="10" t="s">
        <v>22</v>
      </c>
      <c r="G392" s="3" t="s">
        <v>11</v>
      </c>
      <c r="H392" s="3" t="s">
        <v>13</v>
      </c>
      <c r="I392" s="3" t="s">
        <v>8</v>
      </c>
      <c r="J392" s="1">
        <v>0</v>
      </c>
      <c r="K392" s="12">
        <v>0</v>
      </c>
      <c r="L392" s="1"/>
      <c r="M392" s="12"/>
      <c r="N392"/>
      <c r="O392"/>
      <c r="P392" s="2" t="str">
        <f>IF(BD_Receitas[[#This Row],[TIPO DE COBRANÇA]]="Operação Normal",
_xlfn.XLOOKUP(BD_Receitas[[#This Row],[ID]],TabCondicoesComerciais[ID],TabCondicoesComerciais[Volume mínimo 
(m3)],0),"")</f>
        <v/>
      </c>
      <c r="Q392" s="2">
        <f>_xlfn.XLOOKUP(BD_Receitas[[#This Row],[ID]],TabCondicoesComerciais[ID],TabCondicoesComerciais[Vol. 1ºGiro],0)</f>
        <v>750</v>
      </c>
      <c r="R3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392" s="1">
        <f xml:space="preserve"> IF(BD_Receitas[[#This Row],[TIPO DE COBRANÇA]]="Operação Normal",
_xlfn.XLOOKUP(BD_Receitas[[#This Row],[ID]],TabCondicoesComerciais[ID],TabCondicoesComerciais[Tarifa 2º Giro],0),0)</f>
        <v>0</v>
      </c>
      <c r="T3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3" spans="1:24" hidden="1" x14ac:dyDescent="0.35">
      <c r="A393" s="3" t="s">
        <v>172</v>
      </c>
      <c r="B393" s="11">
        <v>45839</v>
      </c>
      <c r="C393" t="s">
        <v>31</v>
      </c>
      <c r="D393" t="s">
        <v>202</v>
      </c>
      <c r="E393" t="s">
        <v>35</v>
      </c>
      <c r="F393" s="10" t="s">
        <v>22</v>
      </c>
      <c r="G393" s="3" t="s">
        <v>11</v>
      </c>
      <c r="H393" s="3" t="s">
        <v>13</v>
      </c>
      <c r="I393" s="3" t="s">
        <v>15</v>
      </c>
      <c r="J393" s="1">
        <v>0</v>
      </c>
      <c r="K393" s="12">
        <v>0</v>
      </c>
      <c r="L393" s="1">
        <v>14350.3</v>
      </c>
      <c r="M393" s="12">
        <v>646.21100000000001</v>
      </c>
      <c r="N393" t="s">
        <v>225</v>
      </c>
      <c r="O393"/>
      <c r="P393" s="2">
        <f>IF(BD_Receitas[[#This Row],[TIPO DE COBRANÇA]]="Operação Normal",
_xlfn.XLOOKUP(BD_Receitas[[#This Row],[ID]],TabCondicoesComerciais[ID],TabCondicoesComerciais[Volume mínimo 
(m3)],0),"")</f>
        <v>0</v>
      </c>
      <c r="Q393" s="2">
        <f>_xlfn.XLOOKUP(BD_Receitas[[#This Row],[ID]],TabCondicoesComerciais[ID],TabCondicoesComerciais[Vol. 1ºGiro],0)</f>
        <v>750</v>
      </c>
      <c r="R3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393" s="1">
        <f xml:space="preserve"> IF(BD_Receitas[[#This Row],[TIPO DE COBRANÇA]]="Operação Normal",
_xlfn.XLOOKUP(BD_Receitas[[#This Row],[ID]],TabCondicoesComerciais[ID],TabCondicoesComerciais[Tarifa 2º Giro],0),0)</f>
        <v>22.2</v>
      </c>
      <c r="T393" s="5">
        <f>IFERROR(IF(BD_Receitas[[#This Row],[TIPO DE COBRANÇA]]&lt;&gt;"Operação Normal","",BD_Receitas[[#This Row],[Valor Total R$]]/ MAX(BD_Receitas[[#This Row],[Vol. Movimentado M³]],
BD_Receitas[[#This Row],[Volume Mínimo ]])
),0)</f>
        <v>22.206833371762471</v>
      </c>
      <c r="U39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29.142318066390075</v>
      </c>
      <c r="V39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39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14345.8842</v>
      </c>
      <c r="X3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94" spans="1:24" hidden="1" x14ac:dyDescent="0.35">
      <c r="A394" s="3" t="s">
        <v>172</v>
      </c>
      <c r="B394" s="11">
        <v>45839</v>
      </c>
      <c r="C394" t="s">
        <v>31</v>
      </c>
      <c r="D394" t="s">
        <v>202</v>
      </c>
      <c r="E394" t="s">
        <v>35</v>
      </c>
      <c r="F394" s="10" t="s">
        <v>22</v>
      </c>
      <c r="G394" s="3" t="s">
        <v>11</v>
      </c>
      <c r="H394" s="3" t="s">
        <v>13</v>
      </c>
      <c r="I394" s="3" t="s">
        <v>65</v>
      </c>
      <c r="J394" s="1">
        <v>0</v>
      </c>
      <c r="K394" s="12">
        <v>0</v>
      </c>
      <c r="L394" s="1"/>
      <c r="M394" s="12"/>
      <c r="N394"/>
      <c r="O394"/>
      <c r="P394" s="2" t="str">
        <f>IF(BD_Receitas[[#This Row],[TIPO DE COBRANÇA]]="Operação Normal",
_xlfn.XLOOKUP(BD_Receitas[[#This Row],[ID]],TabCondicoesComerciais[ID],TabCondicoesComerciais[Volume mínimo 
(m3)],0),"")</f>
        <v/>
      </c>
      <c r="Q394" s="2">
        <f>_xlfn.XLOOKUP(BD_Receitas[[#This Row],[ID]],TabCondicoesComerciais[ID],TabCondicoesComerciais[Vol. 1ºGiro],0)</f>
        <v>750</v>
      </c>
      <c r="R3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94" s="1">
        <f xml:space="preserve"> IF(BD_Receitas[[#This Row],[TIPO DE COBRANÇA]]="Operação Normal",
_xlfn.XLOOKUP(BD_Receitas[[#This Row],[ID]],TabCondicoesComerciais[ID],TabCondicoesComerciais[Tarifa 2º Giro],0),0)</f>
        <v>0</v>
      </c>
      <c r="T3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5" spans="1:24" hidden="1" x14ac:dyDescent="0.35">
      <c r="A395" s="3" t="s">
        <v>149</v>
      </c>
      <c r="B395" s="11">
        <v>45839</v>
      </c>
      <c r="C395" t="s">
        <v>31</v>
      </c>
      <c r="D395" t="s">
        <v>110</v>
      </c>
      <c r="E395" t="s">
        <v>117</v>
      </c>
      <c r="F395" s="10" t="s">
        <v>23</v>
      </c>
      <c r="G395" s="3" t="s">
        <v>112</v>
      </c>
      <c r="H395" s="3" t="s">
        <v>113</v>
      </c>
      <c r="I395" s="3" t="s">
        <v>7</v>
      </c>
      <c r="J395" s="1">
        <v>0</v>
      </c>
      <c r="K395" s="12">
        <v>0</v>
      </c>
      <c r="L395" s="1"/>
      <c r="M395" s="12"/>
      <c r="N395"/>
      <c r="O395"/>
      <c r="P395" s="2" t="str">
        <f>IF(BD_Receitas[[#This Row],[TIPO DE COBRANÇA]]="Operação Normal",
_xlfn.XLOOKUP(BD_Receitas[[#This Row],[ID]],TabCondicoesComerciais[ID],TabCondicoesComerciais[Volume mínimo 
(m3)],0),"")</f>
        <v/>
      </c>
      <c r="Q395" s="2">
        <f>_xlfn.XLOOKUP(BD_Receitas[[#This Row],[ID]],TabCondicoesComerciais[ID],TabCondicoesComerciais[Vol. 1ºGiro],0)</f>
        <v>750</v>
      </c>
      <c r="R3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395" s="1">
        <f xml:space="preserve"> IF(BD_Receitas[[#This Row],[TIPO DE COBRANÇA]]="Operação Normal",
_xlfn.XLOOKUP(BD_Receitas[[#This Row],[ID]],TabCondicoesComerciais[ID],TabCondicoesComerciais[Tarifa 2º Giro],0),0)</f>
        <v>0</v>
      </c>
      <c r="T39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6" spans="1:24" hidden="1" x14ac:dyDescent="0.35">
      <c r="A396" s="3" t="s">
        <v>149</v>
      </c>
      <c r="B396" s="11">
        <v>45839</v>
      </c>
      <c r="C396" t="s">
        <v>31</v>
      </c>
      <c r="D396" t="s">
        <v>110</v>
      </c>
      <c r="E396" t="s">
        <v>117</v>
      </c>
      <c r="F396" s="10" t="s">
        <v>23</v>
      </c>
      <c r="G396" s="3" t="s">
        <v>112</v>
      </c>
      <c r="H396" s="3" t="s">
        <v>113</v>
      </c>
      <c r="I396" s="3" t="s">
        <v>8</v>
      </c>
      <c r="J396" s="1">
        <v>0</v>
      </c>
      <c r="K396" s="12">
        <v>0</v>
      </c>
      <c r="L396" s="1"/>
      <c r="M396" s="12"/>
      <c r="N396"/>
      <c r="O396"/>
      <c r="P396" s="2" t="str">
        <f>IF(BD_Receitas[[#This Row],[TIPO DE COBRANÇA]]="Operação Normal",
_xlfn.XLOOKUP(BD_Receitas[[#This Row],[ID]],TabCondicoesComerciais[ID],TabCondicoesComerciais[Volume mínimo 
(m3)],0),"")</f>
        <v/>
      </c>
      <c r="Q396" s="2">
        <f>_xlfn.XLOOKUP(BD_Receitas[[#This Row],[ID]],TabCondicoesComerciais[ID],TabCondicoesComerciais[Vol. 1ºGiro],0)</f>
        <v>750</v>
      </c>
      <c r="R3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396" s="1">
        <f xml:space="preserve"> IF(BD_Receitas[[#This Row],[TIPO DE COBRANÇA]]="Operação Normal",
_xlfn.XLOOKUP(BD_Receitas[[#This Row],[ID]],TabCondicoesComerciais[ID],TabCondicoesComerciais[Tarifa 2º Giro],0),0)</f>
        <v>0</v>
      </c>
      <c r="T3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7" spans="1:24" hidden="1" x14ac:dyDescent="0.35">
      <c r="A397" s="3" t="s">
        <v>149</v>
      </c>
      <c r="B397" s="11">
        <v>45839</v>
      </c>
      <c r="C397" t="s">
        <v>31</v>
      </c>
      <c r="D397" t="s">
        <v>110</v>
      </c>
      <c r="E397" t="s">
        <v>117</v>
      </c>
      <c r="F397" s="10" t="s">
        <v>23</v>
      </c>
      <c r="G397" s="3" t="s">
        <v>112</v>
      </c>
      <c r="H397" s="3" t="s">
        <v>113</v>
      </c>
      <c r="I397" s="3" t="s">
        <v>15</v>
      </c>
      <c r="J397" s="1">
        <v>0</v>
      </c>
      <c r="K397" s="12">
        <v>0</v>
      </c>
      <c r="L397" s="1"/>
      <c r="M397" s="12"/>
      <c r="N397"/>
      <c r="O397"/>
      <c r="P397" s="2">
        <f>IF(BD_Receitas[[#This Row],[TIPO DE COBRANÇA]]="Operação Normal",
_xlfn.XLOOKUP(BD_Receitas[[#This Row],[ID]],TabCondicoesComerciais[ID],TabCondicoesComerciais[Volume mínimo 
(m3)],0),"")</f>
        <v>3000</v>
      </c>
      <c r="Q397" s="2">
        <f>_xlfn.XLOOKUP(BD_Receitas[[#This Row],[ID]],TabCondicoesComerciais[ID],TabCondicoesComerciais[Vol. 1ºGiro],0)</f>
        <v>750</v>
      </c>
      <c r="R3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397" s="1">
        <f xml:space="preserve"> IF(BD_Receitas[[#This Row],[TIPO DE COBRANÇA]]="Operação Normal",
_xlfn.XLOOKUP(BD_Receitas[[#This Row],[ID]],TabCondicoesComerciais[ID],TabCondicoesComerciais[Tarifa 2º Giro],0),0)</f>
        <v>19.5</v>
      </c>
      <c r="T39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39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39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39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3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398" spans="1:24" hidden="1" x14ac:dyDescent="0.35">
      <c r="A398" s="3" t="s">
        <v>149</v>
      </c>
      <c r="B398" s="11">
        <v>45839</v>
      </c>
      <c r="C398" t="s">
        <v>31</v>
      </c>
      <c r="D398" t="s">
        <v>110</v>
      </c>
      <c r="E398" t="s">
        <v>117</v>
      </c>
      <c r="F398" s="10" t="s">
        <v>23</v>
      </c>
      <c r="G398" s="3" t="s">
        <v>112</v>
      </c>
      <c r="H398" s="3" t="s">
        <v>113</v>
      </c>
      <c r="I398" s="3" t="s">
        <v>65</v>
      </c>
      <c r="J398" s="1">
        <v>0</v>
      </c>
      <c r="K398" s="12">
        <v>0</v>
      </c>
      <c r="L398" s="1"/>
      <c r="M398" s="12"/>
      <c r="N398"/>
      <c r="O398"/>
      <c r="P398" s="2" t="str">
        <f>IF(BD_Receitas[[#This Row],[TIPO DE COBRANÇA]]="Operação Normal",
_xlfn.XLOOKUP(BD_Receitas[[#This Row],[ID]],TabCondicoesComerciais[ID],TabCondicoesComerciais[Volume mínimo 
(m3)],0),"")</f>
        <v/>
      </c>
      <c r="Q398" s="2">
        <f>_xlfn.XLOOKUP(BD_Receitas[[#This Row],[ID]],TabCondicoesComerciais[ID],TabCondicoesComerciais[Vol. 1ºGiro],0)</f>
        <v>750</v>
      </c>
      <c r="R3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398" s="1">
        <f xml:space="preserve"> IF(BD_Receitas[[#This Row],[TIPO DE COBRANÇA]]="Operação Normal",
_xlfn.XLOOKUP(BD_Receitas[[#This Row],[ID]],TabCondicoesComerciais[ID],TabCondicoesComerciais[Tarifa 2º Giro],0),0)</f>
        <v>0</v>
      </c>
      <c r="T3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399" spans="1:24" hidden="1" x14ac:dyDescent="0.35">
      <c r="A399" s="3" t="s">
        <v>177</v>
      </c>
      <c r="B399" s="11">
        <v>45839</v>
      </c>
      <c r="C399" t="s">
        <v>31</v>
      </c>
      <c r="D399" t="s">
        <v>62</v>
      </c>
      <c r="E399" t="s">
        <v>33</v>
      </c>
      <c r="F399" s="10" t="s">
        <v>46</v>
      </c>
      <c r="G399" s="3" t="s">
        <v>87</v>
      </c>
      <c r="H399" s="3" t="s">
        <v>9</v>
      </c>
      <c r="I399" s="3" t="s">
        <v>7</v>
      </c>
      <c r="J399" s="1">
        <v>0</v>
      </c>
      <c r="K399" s="12">
        <v>0</v>
      </c>
      <c r="L399" s="1">
        <v>1172.1300000000001</v>
      </c>
      <c r="M399" s="12">
        <v>149.62899999999999</v>
      </c>
      <c r="N399" t="s">
        <v>118</v>
      </c>
      <c r="O399"/>
      <c r="P399" s="2" t="str">
        <f>IF(BD_Receitas[[#This Row],[TIPO DE COBRANÇA]]="Operação Normal",
_xlfn.XLOOKUP(BD_Receitas[[#This Row],[ID]],TabCondicoesComerciais[ID],TabCondicoesComerciais[Volume mínimo 
(m3)],0),"")</f>
        <v/>
      </c>
      <c r="Q399" s="2">
        <f>_xlfn.XLOOKUP(BD_Receitas[[#This Row],[ID]],TabCondicoesComerciais[ID],TabCondicoesComerciais[Vol. 1ºGiro],0)</f>
        <v>1070</v>
      </c>
      <c r="R3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399" s="1">
        <f xml:space="preserve"> IF(BD_Receitas[[#This Row],[TIPO DE COBRANÇA]]="Operação Normal",
_xlfn.XLOOKUP(BD_Receitas[[#This Row],[ID]],TabCondicoesComerciais[ID],TabCondicoesComerciais[Tarifa 2º Giro],0),0)</f>
        <v>0</v>
      </c>
      <c r="T39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39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39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39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3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0" spans="1:24" hidden="1" x14ac:dyDescent="0.35">
      <c r="A400" s="3" t="s">
        <v>177</v>
      </c>
      <c r="B400" s="11">
        <v>45839</v>
      </c>
      <c r="C400" t="s">
        <v>31</v>
      </c>
      <c r="D400" t="s">
        <v>62</v>
      </c>
      <c r="E400" t="s">
        <v>33</v>
      </c>
      <c r="F400" s="10" t="s">
        <v>46</v>
      </c>
      <c r="G400" s="3" t="s">
        <v>87</v>
      </c>
      <c r="H400" s="3" t="s">
        <v>9</v>
      </c>
      <c r="I400" s="3" t="s">
        <v>8</v>
      </c>
      <c r="J400" s="1">
        <v>0</v>
      </c>
      <c r="K400" s="12">
        <v>0</v>
      </c>
      <c r="L400" s="1">
        <v>914.16600000000005</v>
      </c>
      <c r="M400" s="12">
        <v>116.69799999999999</v>
      </c>
      <c r="N400" t="s">
        <v>118</v>
      </c>
      <c r="O400"/>
      <c r="P400" s="2" t="str">
        <f>IF(BD_Receitas[[#This Row],[TIPO DE COBRANÇA]]="Operação Normal",
_xlfn.XLOOKUP(BD_Receitas[[#This Row],[ID]],TabCondicoesComerciais[ID],TabCondicoesComerciais[Volume mínimo 
(m3)],0),"")</f>
        <v/>
      </c>
      <c r="Q400" s="2">
        <f>_xlfn.XLOOKUP(BD_Receitas[[#This Row],[ID]],TabCondicoesComerciais[ID],TabCondicoesComerciais[Vol. 1ºGiro],0)</f>
        <v>1070</v>
      </c>
      <c r="R4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400" s="1">
        <f xml:space="preserve"> IF(BD_Receitas[[#This Row],[TIPO DE COBRANÇA]]="Operação Normal",
_xlfn.XLOOKUP(BD_Receitas[[#This Row],[ID]],TabCondicoesComerciais[ID],TabCondicoesComerciais[Tarifa 2º Giro],0),0)</f>
        <v>0</v>
      </c>
      <c r="T4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1" spans="1:24" hidden="1" x14ac:dyDescent="0.35">
      <c r="A401" s="3" t="s">
        <v>177</v>
      </c>
      <c r="B401" s="11">
        <v>45839</v>
      </c>
      <c r="C401" t="s">
        <v>31</v>
      </c>
      <c r="D401" t="s">
        <v>62</v>
      </c>
      <c r="E401" t="s">
        <v>33</v>
      </c>
      <c r="F401" s="10" t="s">
        <v>46</v>
      </c>
      <c r="G401" s="3" t="s">
        <v>87</v>
      </c>
      <c r="H401" s="3" t="s">
        <v>9</v>
      </c>
      <c r="I401" s="3" t="s">
        <v>15</v>
      </c>
      <c r="J401" s="1">
        <v>65348.32</v>
      </c>
      <c r="K401" s="12">
        <v>1926</v>
      </c>
      <c r="L401" s="1">
        <v>62864.639999999999</v>
      </c>
      <c r="M401" s="12">
        <v>987.90800000000002</v>
      </c>
      <c r="N401" t="s">
        <v>118</v>
      </c>
      <c r="O401"/>
      <c r="P401" s="2">
        <f>IF(BD_Receitas[[#This Row],[TIPO DE COBRANÇA]]="Operação Normal",
_xlfn.XLOOKUP(BD_Receitas[[#This Row],[ID]],TabCondicoesComerciais[ID],TabCondicoesComerciais[Volume mínimo 
(m3)],0),"")</f>
        <v>3210</v>
      </c>
      <c r="Q401" s="2">
        <f>_xlfn.XLOOKUP(BD_Receitas[[#This Row],[ID]],TabCondicoesComerciais[ID],TabCondicoesComerciais[Vol. 1ºGiro],0)</f>
        <v>1070</v>
      </c>
      <c r="R4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401" s="1">
        <f xml:space="preserve"> IF(BD_Receitas[[#This Row],[TIPO DE COBRANÇA]]="Operação Normal",
_xlfn.XLOOKUP(BD_Receitas[[#This Row],[ID]],TabCondicoesComerciais[ID],TabCondicoesComerciais[Tarifa 2º Giro],0),0)</f>
        <v>32.64</v>
      </c>
      <c r="T401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40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65.745935856375297</v>
      </c>
      <c r="V40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40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32245.31712</v>
      </c>
      <c r="X4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02" spans="1:24" hidden="1" x14ac:dyDescent="0.35">
      <c r="A402" s="3" t="s">
        <v>177</v>
      </c>
      <c r="B402" s="11">
        <v>45839</v>
      </c>
      <c r="C402" t="s">
        <v>31</v>
      </c>
      <c r="D402" t="s">
        <v>62</v>
      </c>
      <c r="E402" t="s">
        <v>33</v>
      </c>
      <c r="F402" s="10" t="s">
        <v>46</v>
      </c>
      <c r="G402" s="3" t="s">
        <v>87</v>
      </c>
      <c r="H402" s="3" t="s">
        <v>9</v>
      </c>
      <c r="I402" s="3" t="s">
        <v>65</v>
      </c>
      <c r="J402" s="1">
        <v>0</v>
      </c>
      <c r="K402" s="12">
        <v>0</v>
      </c>
      <c r="L402" s="1"/>
      <c r="M402" s="12"/>
      <c r="N402"/>
      <c r="O402"/>
      <c r="P402" s="2" t="str">
        <f>IF(BD_Receitas[[#This Row],[TIPO DE COBRANÇA]]="Operação Normal",
_xlfn.XLOOKUP(BD_Receitas[[#This Row],[ID]],TabCondicoesComerciais[ID],TabCondicoesComerciais[Volume mínimo 
(m3)],0),"")</f>
        <v/>
      </c>
      <c r="Q402" s="2">
        <f>_xlfn.XLOOKUP(BD_Receitas[[#This Row],[ID]],TabCondicoesComerciais[ID],TabCondicoesComerciais[Vol. 1ºGiro],0)</f>
        <v>1070</v>
      </c>
      <c r="R4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02" s="1">
        <f xml:space="preserve"> IF(BD_Receitas[[#This Row],[TIPO DE COBRANÇA]]="Operação Normal",
_xlfn.XLOOKUP(BD_Receitas[[#This Row],[ID]],TabCondicoesComerciais[ID],TabCondicoesComerciais[Tarifa 2º Giro],0),0)</f>
        <v>0</v>
      </c>
      <c r="T4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3" spans="1:24" hidden="1" x14ac:dyDescent="0.35">
      <c r="A403" s="3" t="s">
        <v>200</v>
      </c>
      <c r="B403" s="11">
        <v>45839</v>
      </c>
      <c r="C403" t="s">
        <v>31</v>
      </c>
      <c r="D403" t="s">
        <v>203</v>
      </c>
      <c r="E403" t="s">
        <v>32</v>
      </c>
      <c r="F403" s="10" t="s">
        <v>25</v>
      </c>
      <c r="G403" s="3" t="s">
        <v>12</v>
      </c>
      <c r="H403" s="3" t="s">
        <v>10</v>
      </c>
      <c r="I403" s="3" t="s">
        <v>7</v>
      </c>
      <c r="J403" s="1">
        <v>0</v>
      </c>
      <c r="K403" s="12">
        <v>0</v>
      </c>
      <c r="L403" s="1">
        <v>599.29</v>
      </c>
      <c r="M403" s="12">
        <v>21.402999999999999</v>
      </c>
      <c r="N403" t="s">
        <v>157</v>
      </c>
      <c r="O403" t="s">
        <v>129</v>
      </c>
      <c r="P403" s="2" t="str">
        <f>IF(BD_Receitas[[#This Row],[TIPO DE COBRANÇA]]="Operação Normal",
_xlfn.XLOOKUP(BD_Receitas[[#This Row],[ID]],TabCondicoesComerciais[ID],TabCondicoesComerciais[Volume mínimo 
(m3)],0),"")</f>
        <v/>
      </c>
      <c r="Q403" s="2">
        <f>_xlfn.XLOOKUP(BD_Receitas[[#This Row],[ID]],TabCondicoesComerciais[ID],TabCondicoesComerciais[Vol. 1ºGiro],0)</f>
        <v>2000</v>
      </c>
      <c r="R4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03" s="1">
        <f xml:space="preserve"> IF(BD_Receitas[[#This Row],[TIPO DE COBRANÇA]]="Operação Normal",
_xlfn.XLOOKUP(BD_Receitas[[#This Row],[ID]],TabCondicoesComerciais[ID],TabCondicoesComerciais[Tarifa 2º Giro],0),0)</f>
        <v>0</v>
      </c>
      <c r="T40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4" spans="1:24" hidden="1" x14ac:dyDescent="0.35">
      <c r="A404" s="3" t="s">
        <v>200</v>
      </c>
      <c r="B404" s="11">
        <v>45839</v>
      </c>
      <c r="C404" t="s">
        <v>31</v>
      </c>
      <c r="D404" t="s">
        <v>203</v>
      </c>
      <c r="E404" t="s">
        <v>32</v>
      </c>
      <c r="F404" s="10" t="s">
        <v>25</v>
      </c>
      <c r="G404" s="3" t="s">
        <v>12</v>
      </c>
      <c r="H404" s="3" t="s">
        <v>10</v>
      </c>
      <c r="I404" s="3" t="s">
        <v>7</v>
      </c>
      <c r="J404" s="1">
        <v>0</v>
      </c>
      <c r="K404" s="12">
        <v>0</v>
      </c>
      <c r="L404" s="1">
        <v>599.29</v>
      </c>
      <c r="M404" s="12">
        <v>1330.652</v>
      </c>
      <c r="N404" t="s">
        <v>157</v>
      </c>
      <c r="O404" t="s">
        <v>237</v>
      </c>
      <c r="P404" s="2" t="str">
        <f>IF(BD_Receitas[[#This Row],[TIPO DE COBRANÇA]]="Operação Normal",
_xlfn.XLOOKUP(BD_Receitas[[#This Row],[ID]],TabCondicoesComerciais[ID],TabCondicoesComerciais[Volume mínimo 
(m3)],0),"")</f>
        <v/>
      </c>
      <c r="Q404" s="2">
        <f>_xlfn.XLOOKUP(BD_Receitas[[#This Row],[ID]],TabCondicoesComerciais[ID],TabCondicoesComerciais[Vol. 1ºGiro],0)</f>
        <v>2000</v>
      </c>
      <c r="R4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04" s="1">
        <f xml:space="preserve"> IF(BD_Receitas[[#This Row],[TIPO DE COBRANÇA]]="Operação Normal",
_xlfn.XLOOKUP(BD_Receitas[[#This Row],[ID]],TabCondicoesComerciais[ID],TabCondicoesComerciais[Tarifa 2º Giro],0),0)</f>
        <v>0</v>
      </c>
      <c r="T4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5" spans="1:24" hidden="1" x14ac:dyDescent="0.35">
      <c r="A405" s="3" t="s">
        <v>200</v>
      </c>
      <c r="B405" s="11">
        <v>45839</v>
      </c>
      <c r="C405" t="s">
        <v>31</v>
      </c>
      <c r="D405" t="s">
        <v>203</v>
      </c>
      <c r="E405" t="s">
        <v>32</v>
      </c>
      <c r="F405" s="10" t="s">
        <v>25</v>
      </c>
      <c r="G405" s="3" t="s">
        <v>12</v>
      </c>
      <c r="H405" s="3" t="s">
        <v>10</v>
      </c>
      <c r="I405" s="3" t="s">
        <v>7</v>
      </c>
      <c r="J405" s="1">
        <v>0</v>
      </c>
      <c r="K405" s="12">
        <v>0</v>
      </c>
      <c r="L405" s="1">
        <v>599.29</v>
      </c>
      <c r="M405" s="12">
        <v>21.402999999999999</v>
      </c>
      <c r="N405" t="s">
        <v>157</v>
      </c>
      <c r="O405" t="s">
        <v>129</v>
      </c>
      <c r="P405" s="2" t="str">
        <f>IF(BD_Receitas[[#This Row],[TIPO DE COBRANÇA]]="Operação Normal",
_xlfn.XLOOKUP(BD_Receitas[[#This Row],[ID]],TabCondicoesComerciais[ID],TabCondicoesComerciais[Volume mínimo 
(m3)],0),"")</f>
        <v/>
      </c>
      <c r="Q405" s="2">
        <f>_xlfn.XLOOKUP(BD_Receitas[[#This Row],[ID]],TabCondicoesComerciais[ID],TabCondicoesComerciais[Vol. 1ºGiro],0)</f>
        <v>2000</v>
      </c>
      <c r="R4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05" s="1">
        <f xml:space="preserve"> IF(BD_Receitas[[#This Row],[TIPO DE COBRANÇA]]="Operação Normal",
_xlfn.XLOOKUP(BD_Receitas[[#This Row],[ID]],TabCondicoesComerciais[ID],TabCondicoesComerciais[Tarifa 2º Giro],0),0)</f>
        <v>0</v>
      </c>
      <c r="T4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6" spans="1:24" hidden="1" x14ac:dyDescent="0.35">
      <c r="A406" s="3" t="s">
        <v>200</v>
      </c>
      <c r="B406" s="11">
        <v>45839</v>
      </c>
      <c r="C406" t="s">
        <v>31</v>
      </c>
      <c r="D406" t="s">
        <v>203</v>
      </c>
      <c r="E406" t="s">
        <v>32</v>
      </c>
      <c r="F406" s="10" t="s">
        <v>25</v>
      </c>
      <c r="G406" s="3" t="s">
        <v>12</v>
      </c>
      <c r="H406" s="3" t="s">
        <v>10</v>
      </c>
      <c r="I406" s="3" t="s">
        <v>8</v>
      </c>
      <c r="J406" s="1">
        <v>0</v>
      </c>
      <c r="K406" s="12">
        <v>0</v>
      </c>
      <c r="L406" s="1"/>
      <c r="M406" s="12"/>
      <c r="N406"/>
      <c r="O406"/>
      <c r="P406" s="2" t="str">
        <f>IF(BD_Receitas[[#This Row],[TIPO DE COBRANÇA]]="Operação Normal",
_xlfn.XLOOKUP(BD_Receitas[[#This Row],[ID]],TabCondicoesComerciais[ID],TabCondicoesComerciais[Volume mínimo 
(m3)],0),"")</f>
        <v/>
      </c>
      <c r="Q406" s="2">
        <f>_xlfn.XLOOKUP(BD_Receitas[[#This Row],[ID]],TabCondicoesComerciais[ID],TabCondicoesComerciais[Vol. 1ºGiro],0)</f>
        <v>2000</v>
      </c>
      <c r="R4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06" s="1">
        <f xml:space="preserve"> IF(BD_Receitas[[#This Row],[TIPO DE COBRANÇA]]="Operação Normal",
_xlfn.XLOOKUP(BD_Receitas[[#This Row],[ID]],TabCondicoesComerciais[ID],TabCondicoesComerciais[Tarifa 2º Giro],0),0)</f>
        <v>0</v>
      </c>
      <c r="T4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07" spans="1:24" hidden="1" x14ac:dyDescent="0.35">
      <c r="A407" s="3" t="s">
        <v>200</v>
      </c>
      <c r="B407" s="11">
        <v>45839</v>
      </c>
      <c r="C407" t="s">
        <v>31</v>
      </c>
      <c r="D407" t="s">
        <v>203</v>
      </c>
      <c r="E407" t="s">
        <v>32</v>
      </c>
      <c r="F407" s="10" t="s">
        <v>25</v>
      </c>
      <c r="G407" s="3" t="s">
        <v>12</v>
      </c>
      <c r="H407" s="3" t="s">
        <v>10</v>
      </c>
      <c r="I407" s="3" t="s">
        <v>15</v>
      </c>
      <c r="J407" s="1">
        <v>0</v>
      </c>
      <c r="K407" s="12">
        <v>0</v>
      </c>
      <c r="L407" s="1">
        <v>144337.26</v>
      </c>
      <c r="M407" s="12">
        <v>7216.8630000000003</v>
      </c>
      <c r="N407" t="s">
        <v>157</v>
      </c>
      <c r="O407" t="s">
        <v>155</v>
      </c>
      <c r="P407" s="2">
        <f>IF(BD_Receitas[[#This Row],[TIPO DE COBRANÇA]]="Operação Normal",
_xlfn.XLOOKUP(BD_Receitas[[#This Row],[ID]],TabCondicoesComerciais[ID],TabCondicoesComerciais[Volume mínimo 
(m3)],0),"")</f>
        <v>8000</v>
      </c>
      <c r="Q407" s="2">
        <f>_xlfn.XLOOKUP(BD_Receitas[[#This Row],[ID]],TabCondicoesComerciais[ID],TabCondicoesComerciais[Vol. 1ºGiro],0)</f>
        <v>2000</v>
      </c>
      <c r="R4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07" s="1">
        <f xml:space="preserve"> IF(BD_Receitas[[#This Row],[TIPO DE COBRANÇA]]="Operação Normal",
_xlfn.XLOOKUP(BD_Receitas[[#This Row],[ID]],TabCondicoesComerciais[ID],TabCondicoesComerciais[Tarifa 2º Giro],0),0)</f>
        <v>20</v>
      </c>
      <c r="T407" s="5">
        <f>IFERROR(IF(BD_Receitas[[#This Row],[TIPO DE COBRANÇA]]&lt;&gt;"Operação Normal","",BD_Receitas[[#This Row],[Valor Total R$]]/ MAX(BD_Receitas[[#This Row],[Vol. Movimentado M³]],
BD_Receitas[[#This Row],[Volume Mínimo ]])
),0)</f>
        <v>18.042157500000002</v>
      </c>
      <c r="U4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60.249120705214992</v>
      </c>
      <c r="V4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144337.26</v>
      </c>
      <c r="X4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08" spans="1:24" hidden="1" x14ac:dyDescent="0.35">
      <c r="A408" s="3" t="s">
        <v>200</v>
      </c>
      <c r="B408" s="11">
        <v>45839</v>
      </c>
      <c r="C408" t="s">
        <v>31</v>
      </c>
      <c r="D408" t="s">
        <v>203</v>
      </c>
      <c r="E408" t="s">
        <v>32</v>
      </c>
      <c r="F408" s="10" t="s">
        <v>25</v>
      </c>
      <c r="G408" s="3" t="s">
        <v>12</v>
      </c>
      <c r="H408" s="3" t="s">
        <v>10</v>
      </c>
      <c r="I408" s="3" t="s">
        <v>15</v>
      </c>
      <c r="J408" s="1">
        <v>0</v>
      </c>
      <c r="K408" s="12">
        <v>0</v>
      </c>
      <c r="L408" s="1">
        <v>144337.26</v>
      </c>
      <c r="M408" s="12">
        <v>7216.8630000000003</v>
      </c>
      <c r="N408" t="s">
        <v>157</v>
      </c>
      <c r="O408" t="s">
        <v>155</v>
      </c>
      <c r="P408" s="2">
        <f>IF(BD_Receitas[[#This Row],[TIPO DE COBRANÇA]]="Operação Normal",
_xlfn.XLOOKUP(BD_Receitas[[#This Row],[ID]],TabCondicoesComerciais[ID],TabCondicoesComerciais[Volume mínimo 
(m3)],0),"")</f>
        <v>8000</v>
      </c>
      <c r="Q408" s="2">
        <f>_xlfn.XLOOKUP(BD_Receitas[[#This Row],[ID]],TabCondicoesComerciais[ID],TabCondicoesComerciais[Vol. 1ºGiro],0)</f>
        <v>2000</v>
      </c>
      <c r="R4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08" s="1">
        <f xml:space="preserve"> IF(BD_Receitas[[#This Row],[TIPO DE COBRANÇA]]="Operação Normal",
_xlfn.XLOOKUP(BD_Receitas[[#This Row],[ID]],TabCondicoesComerciais[ID],TabCondicoesComerciais[Tarifa 2º Giro],0),0)</f>
        <v>20</v>
      </c>
      <c r="T408" s="5">
        <f>IFERROR(IF(BD_Receitas[[#This Row],[TIPO DE COBRANÇA]]&lt;&gt;"Operação Normal","",BD_Receitas[[#This Row],[Valor Total R$]]/ MAX(BD_Receitas[[#This Row],[Vol. Movimentado M³]],
BD_Receitas[[#This Row],[Volume Mínimo ]])
),0)</f>
        <v>18.042157500000002</v>
      </c>
      <c r="U40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60.249120705214992</v>
      </c>
      <c r="V40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0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144337.26</v>
      </c>
      <c r="X4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09" spans="1:24" hidden="1" x14ac:dyDescent="0.35">
      <c r="A409" s="3" t="s">
        <v>200</v>
      </c>
      <c r="B409" s="11">
        <v>45839</v>
      </c>
      <c r="C409" t="s">
        <v>31</v>
      </c>
      <c r="D409" t="s">
        <v>203</v>
      </c>
      <c r="E409" t="s">
        <v>32</v>
      </c>
      <c r="F409" s="10" t="s">
        <v>25</v>
      </c>
      <c r="G409" s="3" t="s">
        <v>12</v>
      </c>
      <c r="H409" s="3" t="s">
        <v>10</v>
      </c>
      <c r="I409" s="3" t="s">
        <v>15</v>
      </c>
      <c r="J409" s="1">
        <v>0</v>
      </c>
      <c r="K409" s="12">
        <v>0</v>
      </c>
      <c r="L409" s="1">
        <v>144337.26</v>
      </c>
      <c r="M409" s="12">
        <v>7216.8630000000003</v>
      </c>
      <c r="N409" t="s">
        <v>157</v>
      </c>
      <c r="O409" t="s">
        <v>231</v>
      </c>
      <c r="P409" s="2">
        <f>IF(BD_Receitas[[#This Row],[TIPO DE COBRANÇA]]="Operação Normal",
_xlfn.XLOOKUP(BD_Receitas[[#This Row],[ID]],TabCondicoesComerciais[ID],TabCondicoesComerciais[Volume mínimo 
(m3)],0),"")</f>
        <v>8000</v>
      </c>
      <c r="Q409" s="2">
        <f>_xlfn.XLOOKUP(BD_Receitas[[#This Row],[ID]],TabCondicoesComerciais[ID],TabCondicoesComerciais[Vol. 1ºGiro],0)</f>
        <v>2000</v>
      </c>
      <c r="R4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09" s="1">
        <f xml:space="preserve"> IF(BD_Receitas[[#This Row],[TIPO DE COBRANÇA]]="Operação Normal",
_xlfn.XLOOKUP(BD_Receitas[[#This Row],[ID]],TabCondicoesComerciais[ID],TabCondicoesComerciais[Tarifa 2º Giro],0),0)</f>
        <v>20</v>
      </c>
      <c r="T409" s="5">
        <f>IFERROR(IF(BD_Receitas[[#This Row],[TIPO DE COBRANÇA]]&lt;&gt;"Operação Normal","",BD_Receitas[[#This Row],[Valor Total R$]]/ MAX(BD_Receitas[[#This Row],[Vol. Movimentado M³]],
BD_Receitas[[#This Row],[Volume Mínimo ]])
),0)</f>
        <v>18.042157500000002</v>
      </c>
      <c r="U40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60.249120705214992</v>
      </c>
      <c r="V40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0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144337.26</v>
      </c>
      <c r="X4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10" spans="1:24" hidden="1" x14ac:dyDescent="0.35">
      <c r="A410" s="3" t="s">
        <v>200</v>
      </c>
      <c r="B410" s="11">
        <v>45839</v>
      </c>
      <c r="C410" t="s">
        <v>31</v>
      </c>
      <c r="D410" t="s">
        <v>203</v>
      </c>
      <c r="E410" t="s">
        <v>32</v>
      </c>
      <c r="F410" s="10" t="s">
        <v>25</v>
      </c>
      <c r="G410" s="3" t="s">
        <v>12</v>
      </c>
      <c r="H410" s="3" t="s">
        <v>10</v>
      </c>
      <c r="I410" s="3" t="s">
        <v>65</v>
      </c>
      <c r="J410" s="1">
        <v>0</v>
      </c>
      <c r="K410" s="12">
        <v>0</v>
      </c>
      <c r="L410" s="1"/>
      <c r="M410" s="12"/>
      <c r="N410"/>
      <c r="O410"/>
      <c r="P410" s="2" t="str">
        <f>IF(BD_Receitas[[#This Row],[TIPO DE COBRANÇA]]="Operação Normal",
_xlfn.XLOOKUP(BD_Receitas[[#This Row],[ID]],TabCondicoesComerciais[ID],TabCondicoesComerciais[Volume mínimo 
(m3)],0),"")</f>
        <v/>
      </c>
      <c r="Q410" s="2">
        <f>_xlfn.XLOOKUP(BD_Receitas[[#This Row],[ID]],TabCondicoesComerciais[ID],TabCondicoesComerciais[Vol. 1ºGiro],0)</f>
        <v>2000</v>
      </c>
      <c r="R4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10" s="1">
        <f xml:space="preserve"> IF(BD_Receitas[[#This Row],[TIPO DE COBRANÇA]]="Operação Normal",
_xlfn.XLOOKUP(BD_Receitas[[#This Row],[ID]],TabCondicoesComerciais[ID],TabCondicoesComerciais[Tarifa 2º Giro],0),0)</f>
        <v>0</v>
      </c>
      <c r="T4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1" spans="1:24" hidden="1" x14ac:dyDescent="0.35">
      <c r="A411" s="3" t="s">
        <v>264</v>
      </c>
      <c r="B411" s="11">
        <v>45839</v>
      </c>
      <c r="C411" t="s">
        <v>31</v>
      </c>
      <c r="D411" t="s">
        <v>203</v>
      </c>
      <c r="E411" t="s">
        <v>32</v>
      </c>
      <c r="F411" s="10" t="s">
        <v>25</v>
      </c>
      <c r="G411" s="3" t="s">
        <v>12</v>
      </c>
      <c r="H411" s="3" t="s">
        <v>9</v>
      </c>
      <c r="I411" s="3" t="s">
        <v>7</v>
      </c>
      <c r="J411" s="1">
        <v>0</v>
      </c>
      <c r="K411" s="12">
        <v>0</v>
      </c>
      <c r="L411" s="1">
        <v>425.82600000000002</v>
      </c>
      <c r="M411" s="12">
        <v>47.314</v>
      </c>
      <c r="N411" t="s">
        <v>145</v>
      </c>
      <c r="O411" t="s">
        <v>129</v>
      </c>
      <c r="P411" s="2" t="str">
        <f>IF(BD_Receitas[[#This Row],[TIPO DE COBRANÇA]]="Operação Normal",
_xlfn.XLOOKUP(BD_Receitas[[#This Row],[ID]],TabCondicoesComerciais[ID],TabCondicoesComerciais[Volume mínimo 
(m3)],0),"")</f>
        <v/>
      </c>
      <c r="Q411" s="2">
        <f>_xlfn.XLOOKUP(BD_Receitas[[#This Row],[ID]],TabCondicoesComerciais[ID],TabCondicoesComerciais[Vol. 1ºGiro],0)</f>
        <v>1125</v>
      </c>
      <c r="R4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11" s="1">
        <f xml:space="preserve"> IF(BD_Receitas[[#This Row],[TIPO DE COBRANÇA]]="Operação Normal",
_xlfn.XLOOKUP(BD_Receitas[[#This Row],[ID]],TabCondicoesComerciais[ID],TabCondicoesComerciais[Tarifa 2º Giro],0),0)</f>
        <v>0</v>
      </c>
      <c r="T4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2" spans="1:24" hidden="1" x14ac:dyDescent="0.35">
      <c r="A412" s="3" t="s">
        <v>264</v>
      </c>
      <c r="B412" s="11">
        <v>45839</v>
      </c>
      <c r="C412" t="s">
        <v>31</v>
      </c>
      <c r="D412" t="s">
        <v>203</v>
      </c>
      <c r="E412" t="s">
        <v>32</v>
      </c>
      <c r="F412" s="10" t="s">
        <v>25</v>
      </c>
      <c r="G412" s="3" t="s">
        <v>12</v>
      </c>
      <c r="H412" s="3" t="s">
        <v>9</v>
      </c>
      <c r="I412" s="3" t="s">
        <v>7</v>
      </c>
      <c r="J412" s="1">
        <v>0</v>
      </c>
      <c r="K412" s="12">
        <v>0</v>
      </c>
      <c r="L412" s="1">
        <v>425.82600000000002</v>
      </c>
      <c r="M412" s="12">
        <v>47.314</v>
      </c>
      <c r="N412" t="s">
        <v>145</v>
      </c>
      <c r="O412" t="s">
        <v>129</v>
      </c>
      <c r="P412" s="2" t="str">
        <f>IF(BD_Receitas[[#This Row],[TIPO DE COBRANÇA]]="Operação Normal",
_xlfn.XLOOKUP(BD_Receitas[[#This Row],[ID]],TabCondicoesComerciais[ID],TabCondicoesComerciais[Volume mínimo 
(m3)],0),"")</f>
        <v/>
      </c>
      <c r="Q412" s="2">
        <f>_xlfn.XLOOKUP(BD_Receitas[[#This Row],[ID]],TabCondicoesComerciais[ID],TabCondicoesComerciais[Vol. 1ºGiro],0)</f>
        <v>1125</v>
      </c>
      <c r="R4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12" s="1">
        <f xml:space="preserve"> IF(BD_Receitas[[#This Row],[TIPO DE COBRANÇA]]="Operação Normal",
_xlfn.XLOOKUP(BD_Receitas[[#This Row],[ID]],TabCondicoesComerciais[ID],TabCondicoesComerciais[Tarifa 2º Giro],0),0)</f>
        <v>0</v>
      </c>
      <c r="T4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3" spans="1:24" hidden="1" x14ac:dyDescent="0.35">
      <c r="A413" s="3" t="s">
        <v>264</v>
      </c>
      <c r="B413" s="11">
        <v>45839</v>
      </c>
      <c r="C413" t="s">
        <v>31</v>
      </c>
      <c r="D413" t="s">
        <v>203</v>
      </c>
      <c r="E413" t="s">
        <v>32</v>
      </c>
      <c r="F413" s="10" t="s">
        <v>25</v>
      </c>
      <c r="G413" s="3" t="s">
        <v>12</v>
      </c>
      <c r="H413" s="3" t="s">
        <v>9</v>
      </c>
      <c r="I413" s="3" t="s">
        <v>7</v>
      </c>
      <c r="J413" s="1">
        <v>0</v>
      </c>
      <c r="K413" s="12">
        <v>0</v>
      </c>
      <c r="L413" s="1">
        <v>425.82600000000002</v>
      </c>
      <c r="M413" s="12">
        <v>47.314</v>
      </c>
      <c r="N413" t="s">
        <v>145</v>
      </c>
      <c r="O413" t="s">
        <v>129</v>
      </c>
      <c r="P413" s="2" t="str">
        <f>IF(BD_Receitas[[#This Row],[TIPO DE COBRANÇA]]="Operação Normal",
_xlfn.XLOOKUP(BD_Receitas[[#This Row],[ID]],TabCondicoesComerciais[ID],TabCondicoesComerciais[Volume mínimo 
(m3)],0),"")</f>
        <v/>
      </c>
      <c r="Q413" s="2">
        <f>_xlfn.XLOOKUP(BD_Receitas[[#This Row],[ID]],TabCondicoesComerciais[ID],TabCondicoesComerciais[Vol. 1ºGiro],0)</f>
        <v>1125</v>
      </c>
      <c r="R4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13" s="1">
        <f xml:space="preserve"> IF(BD_Receitas[[#This Row],[TIPO DE COBRANÇA]]="Operação Normal",
_xlfn.XLOOKUP(BD_Receitas[[#This Row],[ID]],TabCondicoesComerciais[ID],TabCondicoesComerciais[Tarifa 2º Giro],0),0)</f>
        <v>0</v>
      </c>
      <c r="T4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4" spans="1:24" hidden="1" x14ac:dyDescent="0.35">
      <c r="A414" s="3" t="s">
        <v>264</v>
      </c>
      <c r="B414" s="11">
        <v>45839</v>
      </c>
      <c r="C414" t="s">
        <v>31</v>
      </c>
      <c r="D414" t="s">
        <v>203</v>
      </c>
      <c r="E414" t="s">
        <v>32</v>
      </c>
      <c r="F414" s="10" t="s">
        <v>25</v>
      </c>
      <c r="G414" s="3" t="s">
        <v>12</v>
      </c>
      <c r="H414" s="3" t="s">
        <v>9</v>
      </c>
      <c r="I414" s="3" t="s">
        <v>8</v>
      </c>
      <c r="J414" s="1">
        <v>0</v>
      </c>
      <c r="K414" s="12">
        <v>0</v>
      </c>
      <c r="L414" s="1"/>
      <c r="M414" s="12"/>
      <c r="N414"/>
      <c r="O414"/>
      <c r="P414" s="2" t="str">
        <f>IF(BD_Receitas[[#This Row],[TIPO DE COBRANÇA]]="Operação Normal",
_xlfn.XLOOKUP(BD_Receitas[[#This Row],[ID]],TabCondicoesComerciais[ID],TabCondicoesComerciais[Volume mínimo 
(m3)],0),"")</f>
        <v/>
      </c>
      <c r="Q414" s="2">
        <f>_xlfn.XLOOKUP(BD_Receitas[[#This Row],[ID]],TabCondicoesComerciais[ID],TabCondicoesComerciais[Vol. 1ºGiro],0)</f>
        <v>1125</v>
      </c>
      <c r="R4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14" s="1">
        <f xml:space="preserve"> IF(BD_Receitas[[#This Row],[TIPO DE COBRANÇA]]="Operação Normal",
_xlfn.XLOOKUP(BD_Receitas[[#This Row],[ID]],TabCondicoesComerciais[ID],TabCondicoesComerciais[Tarifa 2º Giro],0),0)</f>
        <v>0</v>
      </c>
      <c r="T4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5" spans="1:24" hidden="1" x14ac:dyDescent="0.35">
      <c r="A415" s="3" t="s">
        <v>264</v>
      </c>
      <c r="B415" s="11">
        <v>45839</v>
      </c>
      <c r="C415" t="s">
        <v>31</v>
      </c>
      <c r="D415" t="s">
        <v>203</v>
      </c>
      <c r="E415" t="s">
        <v>32</v>
      </c>
      <c r="F415" s="10" t="s">
        <v>25</v>
      </c>
      <c r="G415" s="3" t="s">
        <v>12</v>
      </c>
      <c r="H415" s="3" t="s">
        <v>9</v>
      </c>
      <c r="I415" s="3" t="s">
        <v>15</v>
      </c>
      <c r="J415" s="1">
        <v>165115.51999999999</v>
      </c>
      <c r="K415" s="12">
        <v>5625</v>
      </c>
      <c r="L415" s="1">
        <v>165859</v>
      </c>
      <c r="M415" s="12">
        <v>6100</v>
      </c>
      <c r="N415" t="s">
        <v>145</v>
      </c>
      <c r="O415" t="s">
        <v>155</v>
      </c>
      <c r="P415" s="2">
        <f>IF(BD_Receitas[[#This Row],[TIPO DE COBRANÇA]]="Operação Normal",
_xlfn.XLOOKUP(BD_Receitas[[#This Row],[ID]],TabCondicoesComerciais[ID],TabCondicoesComerciais[Volume mínimo 
(m3)],0),"")</f>
        <v>5625</v>
      </c>
      <c r="Q415" s="2">
        <f>_xlfn.XLOOKUP(BD_Receitas[[#This Row],[ID]],TabCondicoesComerciais[ID],TabCondicoesComerciais[Vol. 1ºGiro],0)</f>
        <v>1125</v>
      </c>
      <c r="R4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15" s="1">
        <f xml:space="preserve"> IF(BD_Receitas[[#This Row],[TIPO DE COBRANÇA]]="Operação Normal",
_xlfn.XLOOKUP(BD_Receitas[[#This Row],[ID]],TabCondicoesComerciais[ID],TabCondicoesComerciais[Tarifa 2º Giro],0),0)</f>
        <v>27.19</v>
      </c>
      <c r="T415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4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81.779422622950818</v>
      </c>
      <c r="V4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4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16" spans="1:24" hidden="1" x14ac:dyDescent="0.35">
      <c r="A416" s="3" t="s">
        <v>264</v>
      </c>
      <c r="B416" s="11">
        <v>45839</v>
      </c>
      <c r="C416" t="s">
        <v>31</v>
      </c>
      <c r="D416" t="s">
        <v>203</v>
      </c>
      <c r="E416" t="s">
        <v>32</v>
      </c>
      <c r="F416" s="10" t="s">
        <v>25</v>
      </c>
      <c r="G416" s="3" t="s">
        <v>12</v>
      </c>
      <c r="H416" s="3" t="s">
        <v>9</v>
      </c>
      <c r="I416" s="3" t="s">
        <v>15</v>
      </c>
      <c r="J416" s="1">
        <v>165115.51999999999</v>
      </c>
      <c r="K416" s="12">
        <v>5625</v>
      </c>
      <c r="L416" s="1">
        <v>165859</v>
      </c>
      <c r="M416" s="12">
        <v>6100</v>
      </c>
      <c r="N416" t="s">
        <v>145</v>
      </c>
      <c r="O416" t="s">
        <v>155</v>
      </c>
      <c r="P416" s="2">
        <f>IF(BD_Receitas[[#This Row],[TIPO DE COBRANÇA]]="Operação Normal",
_xlfn.XLOOKUP(BD_Receitas[[#This Row],[ID]],TabCondicoesComerciais[ID],TabCondicoesComerciais[Volume mínimo 
(m3)],0),"")</f>
        <v>5625</v>
      </c>
      <c r="Q416" s="2">
        <f>_xlfn.XLOOKUP(BD_Receitas[[#This Row],[ID]],TabCondicoesComerciais[ID],TabCondicoesComerciais[Vol. 1ºGiro],0)</f>
        <v>1125</v>
      </c>
      <c r="R4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16" s="1">
        <f xml:space="preserve"> IF(BD_Receitas[[#This Row],[TIPO DE COBRANÇA]]="Operação Normal",
_xlfn.XLOOKUP(BD_Receitas[[#This Row],[ID]],TabCondicoesComerciais[ID],TabCondicoesComerciais[Tarifa 2º Giro],0),0)</f>
        <v>27.19</v>
      </c>
      <c r="T416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41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81.779422622950818</v>
      </c>
      <c r="V41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1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4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17" spans="1:24" hidden="1" x14ac:dyDescent="0.35">
      <c r="A417" s="3" t="s">
        <v>264</v>
      </c>
      <c r="B417" s="11">
        <v>45839</v>
      </c>
      <c r="C417" t="s">
        <v>31</v>
      </c>
      <c r="D417" t="s">
        <v>203</v>
      </c>
      <c r="E417" t="s">
        <v>32</v>
      </c>
      <c r="F417" s="10" t="s">
        <v>25</v>
      </c>
      <c r="G417" s="3" t="s">
        <v>12</v>
      </c>
      <c r="H417" s="3" t="s">
        <v>9</v>
      </c>
      <c r="I417" s="3" t="s">
        <v>15</v>
      </c>
      <c r="J417" s="1">
        <v>165115.51999999999</v>
      </c>
      <c r="K417" s="12">
        <v>5625</v>
      </c>
      <c r="L417" s="1">
        <v>165859</v>
      </c>
      <c r="M417" s="12">
        <v>4338.3140000000003</v>
      </c>
      <c r="N417" t="s">
        <v>145</v>
      </c>
      <c r="O417" t="s">
        <v>155</v>
      </c>
      <c r="P417" s="2">
        <f>IF(BD_Receitas[[#This Row],[TIPO DE COBRANÇA]]="Operação Normal",
_xlfn.XLOOKUP(BD_Receitas[[#This Row],[ID]],TabCondicoesComerciais[ID],TabCondicoesComerciais[Volume mínimo 
(m3)],0),"")</f>
        <v>5625</v>
      </c>
      <c r="Q417" s="2">
        <f>_xlfn.XLOOKUP(BD_Receitas[[#This Row],[ID]],TabCondicoesComerciais[ID],TabCondicoesComerciais[Vol. 1ºGiro],0)</f>
        <v>1125</v>
      </c>
      <c r="R4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17" s="1">
        <f xml:space="preserve"> IF(BD_Receitas[[#This Row],[TIPO DE COBRANÇA]]="Operação Normal",
_xlfn.XLOOKUP(BD_Receitas[[#This Row],[ID]],TabCondicoesComerciais[ID],TabCondicoesComerciais[Tarifa 2º Giro],0),0)</f>
        <v>27.19</v>
      </c>
      <c r="T417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4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114.98809860236027</v>
      </c>
      <c r="V4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117958.75766000002</v>
      </c>
      <c r="X4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18" spans="1:24" hidden="1" x14ac:dyDescent="0.35">
      <c r="A418" s="3" t="s">
        <v>264</v>
      </c>
      <c r="B418" s="11">
        <v>45839</v>
      </c>
      <c r="C418" t="s">
        <v>31</v>
      </c>
      <c r="D418" t="s">
        <v>203</v>
      </c>
      <c r="E418" t="s">
        <v>32</v>
      </c>
      <c r="F418" s="10" t="s">
        <v>25</v>
      </c>
      <c r="G418" s="3" t="s">
        <v>12</v>
      </c>
      <c r="H418" s="3" t="s">
        <v>9</v>
      </c>
      <c r="I418" s="3" t="s">
        <v>65</v>
      </c>
      <c r="J418" s="1">
        <v>0</v>
      </c>
      <c r="K418" s="12">
        <v>0</v>
      </c>
      <c r="L418" s="1"/>
      <c r="M418" s="12"/>
      <c r="N418"/>
      <c r="O418"/>
      <c r="P418" s="2" t="str">
        <f>IF(BD_Receitas[[#This Row],[TIPO DE COBRANÇA]]="Operação Normal",
_xlfn.XLOOKUP(BD_Receitas[[#This Row],[ID]],TabCondicoesComerciais[ID],TabCondicoesComerciais[Volume mínimo 
(m3)],0),"")</f>
        <v/>
      </c>
      <c r="Q418" s="2">
        <f>_xlfn.XLOOKUP(BD_Receitas[[#This Row],[ID]],TabCondicoesComerciais[ID],TabCondicoesComerciais[Vol. 1ºGiro],0)</f>
        <v>1125</v>
      </c>
      <c r="R4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18" s="1">
        <f xml:space="preserve"> IF(BD_Receitas[[#This Row],[TIPO DE COBRANÇA]]="Operação Normal",
_xlfn.XLOOKUP(BD_Receitas[[#This Row],[ID]],TabCondicoesComerciais[ID],TabCondicoesComerciais[Tarifa 2º Giro],0),0)</f>
        <v>0</v>
      </c>
      <c r="T4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19" spans="1:24" hidden="1" x14ac:dyDescent="0.35">
      <c r="A419" s="3" t="s">
        <v>169</v>
      </c>
      <c r="B419" s="11">
        <v>45839</v>
      </c>
      <c r="C419" t="s">
        <v>31</v>
      </c>
      <c r="D419" t="s">
        <v>203</v>
      </c>
      <c r="E419" t="s">
        <v>32</v>
      </c>
      <c r="F419" s="10" t="s">
        <v>25</v>
      </c>
      <c r="G419" s="3" t="s">
        <v>12</v>
      </c>
      <c r="H419" s="3" t="s">
        <v>170</v>
      </c>
      <c r="I419" s="3" t="s">
        <v>7</v>
      </c>
      <c r="J419" s="1">
        <v>0</v>
      </c>
      <c r="K419" s="12">
        <v>0</v>
      </c>
      <c r="L419" s="1"/>
      <c r="M419" s="12"/>
      <c r="N419"/>
      <c r="O419"/>
      <c r="P419" s="2" t="str">
        <f>IF(BD_Receitas[[#This Row],[TIPO DE COBRANÇA]]="Operação Normal",
_xlfn.XLOOKUP(BD_Receitas[[#This Row],[ID]],TabCondicoesComerciais[ID],TabCondicoesComerciais[Volume mínimo 
(m3)],0),"")</f>
        <v/>
      </c>
      <c r="Q419" s="2">
        <f>_xlfn.XLOOKUP(BD_Receitas[[#This Row],[ID]],TabCondicoesComerciais[ID],TabCondicoesComerciais[Vol. 1ºGiro],0)</f>
        <v>1040</v>
      </c>
      <c r="R4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419" s="1">
        <f xml:space="preserve"> IF(BD_Receitas[[#This Row],[TIPO DE COBRANÇA]]="Operação Normal",
_xlfn.XLOOKUP(BD_Receitas[[#This Row],[ID]],TabCondicoesComerciais[ID],TabCondicoesComerciais[Tarifa 2º Giro],0),0)</f>
        <v>0</v>
      </c>
      <c r="T41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1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1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1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0" spans="1:24" hidden="1" x14ac:dyDescent="0.35">
      <c r="A420" s="3" t="s">
        <v>169</v>
      </c>
      <c r="B420" s="11">
        <v>45839</v>
      </c>
      <c r="C420" t="s">
        <v>31</v>
      </c>
      <c r="D420" t="s">
        <v>203</v>
      </c>
      <c r="E420" t="s">
        <v>32</v>
      </c>
      <c r="F420" s="10" t="s">
        <v>25</v>
      </c>
      <c r="G420" s="3" t="s">
        <v>12</v>
      </c>
      <c r="H420" s="3" t="s">
        <v>170</v>
      </c>
      <c r="I420" s="3" t="s">
        <v>8</v>
      </c>
      <c r="J420" s="1">
        <v>0</v>
      </c>
      <c r="K420" s="12">
        <v>0</v>
      </c>
      <c r="L420" s="1"/>
      <c r="M420" s="12"/>
      <c r="N420"/>
      <c r="O420"/>
      <c r="P420" s="2" t="str">
        <f>IF(BD_Receitas[[#This Row],[TIPO DE COBRANÇA]]="Operação Normal",
_xlfn.XLOOKUP(BD_Receitas[[#This Row],[ID]],TabCondicoesComerciais[ID],TabCondicoesComerciais[Volume mínimo 
(m3)],0),"")</f>
        <v/>
      </c>
      <c r="Q420" s="2">
        <f>_xlfn.XLOOKUP(BD_Receitas[[#This Row],[ID]],TabCondicoesComerciais[ID],TabCondicoesComerciais[Vol. 1ºGiro],0)</f>
        <v>1040</v>
      </c>
      <c r="R4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420" s="1">
        <f xml:space="preserve"> IF(BD_Receitas[[#This Row],[TIPO DE COBRANÇA]]="Operação Normal",
_xlfn.XLOOKUP(BD_Receitas[[#This Row],[ID]],TabCondicoesComerciais[ID],TabCondicoesComerciais[Tarifa 2º Giro],0),0)</f>
        <v>0</v>
      </c>
      <c r="T4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1" spans="1:24" hidden="1" x14ac:dyDescent="0.35">
      <c r="A421" s="3" t="s">
        <v>169</v>
      </c>
      <c r="B421" s="11">
        <v>45839</v>
      </c>
      <c r="C421" t="s">
        <v>31</v>
      </c>
      <c r="D421" t="s">
        <v>203</v>
      </c>
      <c r="E421" t="s">
        <v>32</v>
      </c>
      <c r="F421" s="10" t="s">
        <v>25</v>
      </c>
      <c r="G421" s="3" t="s">
        <v>12</v>
      </c>
      <c r="H421" s="3" t="s">
        <v>170</v>
      </c>
      <c r="I421" s="3" t="s">
        <v>15</v>
      </c>
      <c r="J421" s="1">
        <v>123240</v>
      </c>
      <c r="K421" s="12">
        <v>4160</v>
      </c>
      <c r="L421" s="1">
        <v>118310.39999999999</v>
      </c>
      <c r="M421" s="12">
        <v>34.363</v>
      </c>
      <c r="N421" t="s">
        <v>147</v>
      </c>
      <c r="O421" t="s">
        <v>155</v>
      </c>
      <c r="P421" s="2">
        <f>IF(BD_Receitas[[#This Row],[TIPO DE COBRANÇA]]="Operação Normal",
_xlfn.XLOOKUP(BD_Receitas[[#This Row],[ID]],TabCondicoesComerciais[ID],TabCondicoesComerciais[Volume mínimo 
(m3)],0),"")</f>
        <v>4160</v>
      </c>
      <c r="Q421" s="2">
        <f>_xlfn.XLOOKUP(BD_Receitas[[#This Row],[ID]],TabCondicoesComerciais[ID],TabCondicoesComerciais[Vol. 1ºGiro],0)</f>
        <v>1040</v>
      </c>
      <c r="R4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421" s="1">
        <f xml:space="preserve"> IF(BD_Receitas[[#This Row],[TIPO DE COBRANÇA]]="Operação Normal",
_xlfn.XLOOKUP(BD_Receitas[[#This Row],[ID]],TabCondicoesComerciais[ID],TabCondicoesComerciais[Tarifa 2º Giro],0),0)</f>
        <v>28.44</v>
      </c>
      <c r="T421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42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3442.958996595175</v>
      </c>
      <c r="V42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42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977.28372000000002</v>
      </c>
      <c r="X4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422" spans="1:24" hidden="1" x14ac:dyDescent="0.35">
      <c r="A422" s="3" t="s">
        <v>169</v>
      </c>
      <c r="B422" s="11">
        <v>45839</v>
      </c>
      <c r="C422" t="s">
        <v>31</v>
      </c>
      <c r="D422" t="s">
        <v>203</v>
      </c>
      <c r="E422" t="s">
        <v>32</v>
      </c>
      <c r="F422" s="10" t="s">
        <v>25</v>
      </c>
      <c r="G422" s="3" t="s">
        <v>12</v>
      </c>
      <c r="H422" s="3" t="s">
        <v>170</v>
      </c>
      <c r="I422" s="3" t="s">
        <v>65</v>
      </c>
      <c r="J422" s="1">
        <v>0</v>
      </c>
      <c r="K422" s="12">
        <v>0</v>
      </c>
      <c r="L422" s="1"/>
      <c r="M422" s="12"/>
      <c r="N422"/>
      <c r="O422"/>
      <c r="P422" s="2" t="str">
        <f>IF(BD_Receitas[[#This Row],[TIPO DE COBRANÇA]]="Operação Normal",
_xlfn.XLOOKUP(BD_Receitas[[#This Row],[ID]],TabCondicoesComerciais[ID],TabCondicoesComerciais[Volume mínimo 
(m3)],0),"")</f>
        <v/>
      </c>
      <c r="Q422" s="2">
        <f>_xlfn.XLOOKUP(BD_Receitas[[#This Row],[ID]],TabCondicoesComerciais[ID],TabCondicoesComerciais[Vol. 1ºGiro],0)</f>
        <v>1040</v>
      </c>
      <c r="R4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2" s="1">
        <f xml:space="preserve"> IF(BD_Receitas[[#This Row],[TIPO DE COBRANÇA]]="Operação Normal",
_xlfn.XLOOKUP(BD_Receitas[[#This Row],[ID]],TabCondicoesComerciais[ID],TabCondicoesComerciais[Tarifa 2º Giro],0),0)</f>
        <v>0</v>
      </c>
      <c r="T4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3" spans="1:24" hidden="1" x14ac:dyDescent="0.35">
      <c r="A423" s="3" t="s">
        <v>134</v>
      </c>
      <c r="B423" s="11">
        <v>45839</v>
      </c>
      <c r="C423" t="s">
        <v>31</v>
      </c>
      <c r="D423" t="s">
        <v>62</v>
      </c>
      <c r="E423" t="s">
        <v>37</v>
      </c>
      <c r="F423" s="10" t="s">
        <v>57</v>
      </c>
      <c r="G423" s="3" t="s">
        <v>58</v>
      </c>
      <c r="H423" s="3" t="s">
        <v>10</v>
      </c>
      <c r="I423" s="3" t="s">
        <v>7</v>
      </c>
      <c r="J423" s="1">
        <v>0</v>
      </c>
      <c r="K423" s="12">
        <v>0</v>
      </c>
      <c r="L423" s="1"/>
      <c r="M423" s="12"/>
      <c r="N423"/>
      <c r="O423"/>
      <c r="P423" s="2" t="str">
        <f>IF(BD_Receitas[[#This Row],[TIPO DE COBRANÇA]]="Operação Normal",
_xlfn.XLOOKUP(BD_Receitas[[#This Row],[ID]],TabCondicoesComerciais[ID],TabCondicoesComerciais[Volume mínimo 
(m3)],0),"")</f>
        <v/>
      </c>
      <c r="Q423" s="2">
        <f>_xlfn.XLOOKUP(BD_Receitas[[#This Row],[ID]],TabCondicoesComerciais[ID],TabCondicoesComerciais[Vol. 1ºGiro],0)</f>
        <v>310</v>
      </c>
      <c r="R4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3" s="1">
        <f xml:space="preserve"> IF(BD_Receitas[[#This Row],[TIPO DE COBRANÇA]]="Operação Normal",
_xlfn.XLOOKUP(BD_Receitas[[#This Row],[ID]],TabCondicoesComerciais[ID],TabCondicoesComerciais[Tarifa 2º Giro],0),0)</f>
        <v>0</v>
      </c>
      <c r="T42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4" spans="1:24" hidden="1" x14ac:dyDescent="0.35">
      <c r="A424" s="3" t="s">
        <v>134</v>
      </c>
      <c r="B424" s="11">
        <v>45839</v>
      </c>
      <c r="C424" t="s">
        <v>31</v>
      </c>
      <c r="D424" t="s">
        <v>62</v>
      </c>
      <c r="E424" t="s">
        <v>37</v>
      </c>
      <c r="F424" s="10" t="s">
        <v>57</v>
      </c>
      <c r="G424" s="3" t="s">
        <v>58</v>
      </c>
      <c r="H424" s="3" t="s">
        <v>10</v>
      </c>
      <c r="I424" s="3" t="s">
        <v>8</v>
      </c>
      <c r="J424" s="1">
        <v>0</v>
      </c>
      <c r="K424" s="12">
        <v>0</v>
      </c>
      <c r="L424" s="1"/>
      <c r="M424" s="12"/>
      <c r="N424"/>
      <c r="O424"/>
      <c r="P424" s="2" t="str">
        <f>IF(BD_Receitas[[#This Row],[TIPO DE COBRANÇA]]="Operação Normal",
_xlfn.XLOOKUP(BD_Receitas[[#This Row],[ID]],TabCondicoesComerciais[ID],TabCondicoesComerciais[Volume mínimo 
(m3)],0),"")</f>
        <v/>
      </c>
      <c r="Q424" s="2">
        <f>_xlfn.XLOOKUP(BD_Receitas[[#This Row],[ID]],TabCondicoesComerciais[ID],TabCondicoesComerciais[Vol. 1ºGiro],0)</f>
        <v>310</v>
      </c>
      <c r="R4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424" s="1">
        <f xml:space="preserve"> IF(BD_Receitas[[#This Row],[TIPO DE COBRANÇA]]="Operação Normal",
_xlfn.XLOOKUP(BD_Receitas[[#This Row],[ID]],TabCondicoesComerciais[ID],TabCondicoesComerciais[Tarifa 2º Giro],0),0)</f>
        <v>0</v>
      </c>
      <c r="T4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5" spans="1:24" hidden="1" x14ac:dyDescent="0.35">
      <c r="A425" s="3" t="s">
        <v>134</v>
      </c>
      <c r="B425" s="11">
        <v>45839</v>
      </c>
      <c r="C425" t="s">
        <v>31</v>
      </c>
      <c r="D425" t="s">
        <v>62</v>
      </c>
      <c r="E425" t="s">
        <v>37</v>
      </c>
      <c r="F425" s="10" t="s">
        <v>57</v>
      </c>
      <c r="G425" s="3" t="s">
        <v>58</v>
      </c>
      <c r="H425" s="3" t="s">
        <v>10</v>
      </c>
      <c r="I425" s="3" t="s">
        <v>15</v>
      </c>
      <c r="J425" s="1">
        <v>35019.49</v>
      </c>
      <c r="K425" s="12">
        <v>1100</v>
      </c>
      <c r="L425" s="1">
        <v>59716.85</v>
      </c>
      <c r="M425" s="12">
        <v>2253.3919999999998</v>
      </c>
      <c r="N425" t="s">
        <v>228</v>
      </c>
      <c r="O425" t="s">
        <v>229</v>
      </c>
      <c r="P425" s="2">
        <f>IF(BD_Receitas[[#This Row],[TIPO DE COBRANÇA]]="Operação Normal",
_xlfn.XLOOKUP(BD_Receitas[[#This Row],[ID]],TabCondicoesComerciais[ID],TabCondicoesComerciais[Volume mínimo 
(m3)],0),"")</f>
        <v>1100</v>
      </c>
      <c r="Q425" s="2">
        <f>_xlfn.XLOOKUP(BD_Receitas[[#This Row],[ID]],TabCondicoesComerciais[ID],TabCondicoesComerciais[Vol. 1ºGiro],0)</f>
        <v>310</v>
      </c>
      <c r="R4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425" s="1">
        <f xml:space="preserve"> IF(BD_Receitas[[#This Row],[TIPO DE COBRANÇA]]="Operação Normal",
_xlfn.XLOOKUP(BD_Receitas[[#This Row],[ID]],TabCondicoesComerciais[ID],TabCondicoesComerciais[Tarifa 2º Giro],0),0)</f>
        <v>31.04</v>
      </c>
      <c r="T425" s="5">
        <f>IFERROR(IF(BD_Receitas[[#This Row],[TIPO DE COBRANÇA]]&lt;&gt;"Operação Normal","",BD_Receitas[[#This Row],[Valor Total R$]]/ MAX(BD_Receitas[[#This Row],[Vol. Movimentado M³]],
BD_Receitas[[#This Row],[Volume Mínimo ]])
),0)</f>
        <v>26.500870687390389</v>
      </c>
      <c r="U42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26.500870687390389</v>
      </c>
      <c r="V42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42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69945.287679999994</v>
      </c>
      <c r="X4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26" spans="1:24" hidden="1" x14ac:dyDescent="0.35">
      <c r="A426" s="3" t="s">
        <v>134</v>
      </c>
      <c r="B426" s="11">
        <v>45839</v>
      </c>
      <c r="C426" t="s">
        <v>31</v>
      </c>
      <c r="D426" t="s">
        <v>62</v>
      </c>
      <c r="E426" t="s">
        <v>37</v>
      </c>
      <c r="F426" s="10" t="s">
        <v>57</v>
      </c>
      <c r="G426" s="3" t="s">
        <v>58</v>
      </c>
      <c r="H426" s="3" t="s">
        <v>10</v>
      </c>
      <c r="I426" s="3" t="s">
        <v>65</v>
      </c>
      <c r="J426" s="1">
        <v>0</v>
      </c>
      <c r="K426" s="12">
        <v>0</v>
      </c>
      <c r="L426" s="1"/>
      <c r="M426" s="12"/>
      <c r="N426"/>
      <c r="O426"/>
      <c r="P426" s="2" t="str">
        <f>IF(BD_Receitas[[#This Row],[TIPO DE COBRANÇA]]="Operação Normal",
_xlfn.XLOOKUP(BD_Receitas[[#This Row],[ID]],TabCondicoesComerciais[ID],TabCondicoesComerciais[Volume mínimo 
(m3)],0),"")</f>
        <v/>
      </c>
      <c r="Q426" s="2">
        <f>_xlfn.XLOOKUP(BD_Receitas[[#This Row],[ID]],TabCondicoesComerciais[ID],TabCondicoesComerciais[Vol. 1ºGiro],0)</f>
        <v>310</v>
      </c>
      <c r="R4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6" s="1">
        <f xml:space="preserve"> IF(BD_Receitas[[#This Row],[TIPO DE COBRANÇA]]="Operação Normal",
_xlfn.XLOOKUP(BD_Receitas[[#This Row],[ID]],TabCondicoesComerciais[ID],TabCondicoesComerciais[Tarifa 2º Giro],0),0)</f>
        <v>0</v>
      </c>
      <c r="T4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7" spans="1:24" hidden="1" x14ac:dyDescent="0.35">
      <c r="A427" s="3" t="s">
        <v>173</v>
      </c>
      <c r="B427" s="11">
        <v>45839</v>
      </c>
      <c r="C427" t="s">
        <v>31</v>
      </c>
      <c r="D427" t="s">
        <v>62</v>
      </c>
      <c r="E427" t="s">
        <v>37</v>
      </c>
      <c r="F427" s="10" t="s">
        <v>57</v>
      </c>
      <c r="G427" s="3" t="s">
        <v>58</v>
      </c>
      <c r="H427" s="3" t="s">
        <v>6</v>
      </c>
      <c r="I427" s="3" t="s">
        <v>7</v>
      </c>
      <c r="J427" s="1">
        <v>0</v>
      </c>
      <c r="K427" s="12">
        <v>0</v>
      </c>
      <c r="L427" s="1"/>
      <c r="M427" s="12"/>
      <c r="N427"/>
      <c r="O427"/>
      <c r="P427" s="2" t="str">
        <f>IF(BD_Receitas[[#This Row],[TIPO DE COBRANÇA]]="Operação Normal",
_xlfn.XLOOKUP(BD_Receitas[[#This Row],[ID]],TabCondicoesComerciais[ID],TabCondicoesComerciais[Volume mínimo 
(m3)],0),"")</f>
        <v/>
      </c>
      <c r="Q427" s="2">
        <f>_xlfn.XLOOKUP(BD_Receitas[[#This Row],[ID]],TabCondicoesComerciais[ID],TabCondicoesComerciais[Vol. 1ºGiro],0)</f>
        <v>1070</v>
      </c>
      <c r="R4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7" s="1">
        <f xml:space="preserve"> IF(BD_Receitas[[#This Row],[TIPO DE COBRANÇA]]="Operação Normal",
_xlfn.XLOOKUP(BD_Receitas[[#This Row],[ID]],TabCondicoesComerciais[ID],TabCondicoesComerciais[Tarifa 2º Giro],0),0)</f>
        <v>0</v>
      </c>
      <c r="T42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8" spans="1:24" hidden="1" x14ac:dyDescent="0.35">
      <c r="A428" s="3" t="s">
        <v>173</v>
      </c>
      <c r="B428" s="11">
        <v>45839</v>
      </c>
      <c r="C428" t="s">
        <v>31</v>
      </c>
      <c r="D428" t="s">
        <v>62</v>
      </c>
      <c r="E428" t="s">
        <v>37</v>
      </c>
      <c r="F428" s="10" t="s">
        <v>57</v>
      </c>
      <c r="G428" s="3" t="s">
        <v>58</v>
      </c>
      <c r="H428" s="3" t="s">
        <v>6</v>
      </c>
      <c r="I428" s="3" t="s">
        <v>8</v>
      </c>
      <c r="J428" s="1">
        <v>0</v>
      </c>
      <c r="K428" s="12">
        <v>0</v>
      </c>
      <c r="L428" s="1"/>
      <c r="M428" s="12"/>
      <c r="N428"/>
      <c r="O428"/>
      <c r="P428" s="2" t="str">
        <f>IF(BD_Receitas[[#This Row],[TIPO DE COBRANÇA]]="Operação Normal",
_xlfn.XLOOKUP(BD_Receitas[[#This Row],[ID]],TabCondicoesComerciais[ID],TabCondicoesComerciais[Volume mínimo 
(m3)],0),"")</f>
        <v/>
      </c>
      <c r="Q428" s="2">
        <f>_xlfn.XLOOKUP(BD_Receitas[[#This Row],[ID]],TabCondicoesComerciais[ID],TabCondicoesComerciais[Vol. 1ºGiro],0)</f>
        <v>1070</v>
      </c>
      <c r="R4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28" s="1">
        <f xml:space="preserve"> IF(BD_Receitas[[#This Row],[TIPO DE COBRANÇA]]="Operação Normal",
_xlfn.XLOOKUP(BD_Receitas[[#This Row],[ID]],TabCondicoesComerciais[ID],TabCondicoesComerciais[Tarifa 2º Giro],0),0)</f>
        <v>0</v>
      </c>
      <c r="T4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29" spans="1:24" hidden="1" x14ac:dyDescent="0.35">
      <c r="A429" s="3" t="s">
        <v>173</v>
      </c>
      <c r="B429" s="11">
        <v>45839</v>
      </c>
      <c r="C429" t="s">
        <v>31</v>
      </c>
      <c r="D429" t="s">
        <v>62</v>
      </c>
      <c r="E429" t="s">
        <v>37</v>
      </c>
      <c r="F429" s="10" t="s">
        <v>57</v>
      </c>
      <c r="G429" s="3" t="s">
        <v>58</v>
      </c>
      <c r="H429" s="3" t="s">
        <v>6</v>
      </c>
      <c r="I429" s="3" t="s">
        <v>15</v>
      </c>
      <c r="J429" s="1">
        <v>82153.039999999994</v>
      </c>
      <c r="K429" s="12">
        <v>3300</v>
      </c>
      <c r="L429" s="1">
        <v>159732.26999999999</v>
      </c>
      <c r="M429" s="12">
        <v>6820.3360000000002</v>
      </c>
      <c r="N429" t="s">
        <v>230</v>
      </c>
      <c r="O429"/>
      <c r="P429" s="2">
        <f>IF(BD_Receitas[[#This Row],[TIPO DE COBRANÇA]]="Operação Normal",
_xlfn.XLOOKUP(BD_Receitas[[#This Row],[ID]],TabCondicoesComerciais[ID],TabCondicoesComerciais[Volume mínimo 
(m3)],0),"")</f>
        <v>3300</v>
      </c>
      <c r="Q429" s="2">
        <f>_xlfn.XLOOKUP(BD_Receitas[[#This Row],[ID]],TabCondicoesComerciais[ID],TabCondicoesComerciais[Vol. 1ºGiro],0)</f>
        <v>1070</v>
      </c>
      <c r="R4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429" s="1">
        <f xml:space="preserve"> IF(BD_Receitas[[#This Row],[TIPO DE COBRANÇA]]="Operação Normal",
_xlfn.XLOOKUP(BD_Receitas[[#This Row],[ID]],TabCondicoesComerciais[ID],TabCondicoesComerciais[Tarifa 2º Giro],0),0)</f>
        <v>23.42</v>
      </c>
      <c r="T429" s="5">
        <f>IFERROR(IF(BD_Receitas[[#This Row],[TIPO DE COBRANÇA]]&lt;&gt;"Operação Normal","",BD_Receitas[[#This Row],[Valor Total R$]]/ MAX(BD_Receitas[[#This Row],[Vol. Movimentado M³]],
BD_Receitas[[#This Row],[Volume Mínimo ]])
),0)</f>
        <v>23.420000129025897</v>
      </c>
      <c r="U42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23.420000129025897</v>
      </c>
      <c r="V42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42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159732.26912000001</v>
      </c>
      <c r="X4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30" spans="1:24" hidden="1" x14ac:dyDescent="0.35">
      <c r="A430" s="3" t="s">
        <v>173</v>
      </c>
      <c r="B430" s="11">
        <v>45839</v>
      </c>
      <c r="C430" t="s">
        <v>31</v>
      </c>
      <c r="D430" t="s">
        <v>62</v>
      </c>
      <c r="E430" t="s">
        <v>37</v>
      </c>
      <c r="F430" s="10" t="s">
        <v>57</v>
      </c>
      <c r="G430" s="3" t="s">
        <v>58</v>
      </c>
      <c r="H430" s="3" t="s">
        <v>6</v>
      </c>
      <c r="I430" s="3" t="s">
        <v>65</v>
      </c>
      <c r="J430" s="1">
        <v>0</v>
      </c>
      <c r="K430" s="12">
        <v>0</v>
      </c>
      <c r="L430" s="1"/>
      <c r="M430" s="12"/>
      <c r="N430"/>
      <c r="O430"/>
      <c r="P430" s="2" t="str">
        <f>IF(BD_Receitas[[#This Row],[TIPO DE COBRANÇA]]="Operação Normal",
_xlfn.XLOOKUP(BD_Receitas[[#This Row],[ID]],TabCondicoesComerciais[ID],TabCondicoesComerciais[Volume mínimo 
(m3)],0),"")</f>
        <v/>
      </c>
      <c r="Q430" s="2">
        <f>_xlfn.XLOOKUP(BD_Receitas[[#This Row],[ID]],TabCondicoesComerciais[ID],TabCondicoesComerciais[Vol. 1ºGiro],0)</f>
        <v>1070</v>
      </c>
      <c r="R4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30" s="1">
        <f xml:space="preserve"> IF(BD_Receitas[[#This Row],[TIPO DE COBRANÇA]]="Operação Normal",
_xlfn.XLOOKUP(BD_Receitas[[#This Row],[ID]],TabCondicoesComerciais[ID],TabCondicoesComerciais[Tarifa 2º Giro],0),0)</f>
        <v>0</v>
      </c>
      <c r="T4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1" spans="1:24" hidden="1" x14ac:dyDescent="0.35">
      <c r="A431" s="3" t="s">
        <v>184</v>
      </c>
      <c r="B431" s="11">
        <v>45839</v>
      </c>
      <c r="C431" t="s">
        <v>31</v>
      </c>
      <c r="D431" t="s">
        <v>203</v>
      </c>
      <c r="E431" t="s">
        <v>34</v>
      </c>
      <c r="F431" s="10" t="s">
        <v>26</v>
      </c>
      <c r="G431" s="3" t="s">
        <v>19</v>
      </c>
      <c r="H431" s="3" t="s">
        <v>13</v>
      </c>
      <c r="I431" s="3" t="s">
        <v>7</v>
      </c>
      <c r="J431" s="1">
        <v>0</v>
      </c>
      <c r="K431" s="12">
        <v>0</v>
      </c>
      <c r="L431" s="1"/>
      <c r="M431" s="12"/>
      <c r="N431"/>
      <c r="O431"/>
      <c r="P431" s="2" t="str">
        <f>IF(BD_Receitas[[#This Row],[TIPO DE COBRANÇA]]="Operação Normal",
_xlfn.XLOOKUP(BD_Receitas[[#This Row],[ID]],TabCondicoesComerciais[ID],TabCondicoesComerciais[Volume mínimo 
(m3)],0),"")</f>
        <v/>
      </c>
      <c r="Q431" s="2">
        <f>_xlfn.XLOOKUP(BD_Receitas[[#This Row],[ID]],TabCondicoesComerciais[ID],TabCondicoesComerciais[Vol. 1ºGiro],0)</f>
        <v>340</v>
      </c>
      <c r="R4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31" s="1">
        <f xml:space="preserve"> IF(BD_Receitas[[#This Row],[TIPO DE COBRANÇA]]="Operação Normal",
_xlfn.XLOOKUP(BD_Receitas[[#This Row],[ID]],TabCondicoesComerciais[ID],TabCondicoesComerciais[Tarifa 2º Giro],0),0)</f>
        <v>0</v>
      </c>
      <c r="T43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2" spans="1:24" hidden="1" x14ac:dyDescent="0.35">
      <c r="A432" s="3" t="s">
        <v>184</v>
      </c>
      <c r="B432" s="11">
        <v>45839</v>
      </c>
      <c r="C432" t="s">
        <v>31</v>
      </c>
      <c r="D432" t="s">
        <v>203</v>
      </c>
      <c r="E432" t="s">
        <v>34</v>
      </c>
      <c r="F432" s="10" t="s">
        <v>26</v>
      </c>
      <c r="G432" s="3" t="s">
        <v>19</v>
      </c>
      <c r="H432" s="3" t="s">
        <v>13</v>
      </c>
      <c r="I432" s="3" t="s">
        <v>8</v>
      </c>
      <c r="J432" s="1">
        <v>0</v>
      </c>
      <c r="K432" s="12">
        <v>0</v>
      </c>
      <c r="L432" s="1"/>
      <c r="M432" s="12"/>
      <c r="N432"/>
      <c r="O432"/>
      <c r="P432" s="2" t="str">
        <f>IF(BD_Receitas[[#This Row],[TIPO DE COBRANÇA]]="Operação Normal",
_xlfn.XLOOKUP(BD_Receitas[[#This Row],[ID]],TabCondicoesComerciais[ID],TabCondicoesComerciais[Volume mínimo 
(m3)],0),"")</f>
        <v/>
      </c>
      <c r="Q432" s="2">
        <f>_xlfn.XLOOKUP(BD_Receitas[[#This Row],[ID]],TabCondicoesComerciais[ID],TabCondicoesComerciais[Vol. 1ºGiro],0)</f>
        <v>340</v>
      </c>
      <c r="R4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432" s="1">
        <f xml:space="preserve"> IF(BD_Receitas[[#This Row],[TIPO DE COBRANÇA]]="Operação Normal",
_xlfn.XLOOKUP(BD_Receitas[[#This Row],[ID]],TabCondicoesComerciais[ID],TabCondicoesComerciais[Tarifa 2º Giro],0),0)</f>
        <v>0</v>
      </c>
      <c r="T4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3" spans="1:24" hidden="1" x14ac:dyDescent="0.35">
      <c r="A433" s="3" t="s">
        <v>184</v>
      </c>
      <c r="B433" s="11">
        <v>45839</v>
      </c>
      <c r="C433" t="s">
        <v>31</v>
      </c>
      <c r="D433" t="s">
        <v>203</v>
      </c>
      <c r="E433" t="s">
        <v>34</v>
      </c>
      <c r="F433" s="10" t="s">
        <v>26</v>
      </c>
      <c r="G433" s="3" t="s">
        <v>19</v>
      </c>
      <c r="H433" s="3" t="s">
        <v>13</v>
      </c>
      <c r="I433" s="3" t="s">
        <v>15</v>
      </c>
      <c r="J433" s="1">
        <v>15310.52</v>
      </c>
      <c r="K433" s="12">
        <v>510</v>
      </c>
      <c r="L433" s="1">
        <v>14280</v>
      </c>
      <c r="M433" s="12">
        <v>514.16899999999998</v>
      </c>
      <c r="N433" t="s">
        <v>226</v>
      </c>
      <c r="O433" t="s">
        <v>199</v>
      </c>
      <c r="P433" s="2">
        <f>IF(BD_Receitas[[#This Row],[TIPO DE COBRANÇA]]="Operação Normal",
_xlfn.XLOOKUP(BD_Receitas[[#This Row],[ID]],TabCondicoesComerciais[ID],TabCondicoesComerciais[Volume mínimo 
(m3)],0),"")</f>
        <v>1020</v>
      </c>
      <c r="Q433" s="2">
        <f>_xlfn.XLOOKUP(BD_Receitas[[#This Row],[ID]],TabCondicoesComerciais[ID],TabCondicoesComerciais[Vol. 1ºGiro],0)</f>
        <v>340</v>
      </c>
      <c r="R4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33" s="1">
        <f xml:space="preserve"> IF(BD_Receitas[[#This Row],[TIPO DE COBRANÇA]]="Operação Normal",
_xlfn.XLOOKUP(BD_Receitas[[#This Row],[ID]],TabCondicoesComerciais[ID],TabCondicoesComerciais[Tarifa 2º Giro],0),0)</f>
        <v>28</v>
      </c>
      <c r="T433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43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27.772969587820349</v>
      </c>
      <c r="V43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43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14396.732</v>
      </c>
      <c r="X4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34" spans="1:24" hidden="1" x14ac:dyDescent="0.35">
      <c r="A434" s="3" t="s">
        <v>184</v>
      </c>
      <c r="B434" s="11">
        <v>45839</v>
      </c>
      <c r="C434" t="s">
        <v>31</v>
      </c>
      <c r="D434" t="s">
        <v>203</v>
      </c>
      <c r="E434" t="s">
        <v>34</v>
      </c>
      <c r="F434" s="10" t="s">
        <v>26</v>
      </c>
      <c r="G434" s="3" t="s">
        <v>19</v>
      </c>
      <c r="H434" s="3" t="s">
        <v>13</v>
      </c>
      <c r="I434" s="3" t="s">
        <v>65</v>
      </c>
      <c r="J434" s="1">
        <v>0</v>
      </c>
      <c r="K434" s="12">
        <v>0</v>
      </c>
      <c r="L434" s="1"/>
      <c r="M434" s="12"/>
      <c r="N434"/>
      <c r="O434"/>
      <c r="P434" s="2" t="str">
        <f>IF(BD_Receitas[[#This Row],[TIPO DE COBRANÇA]]="Operação Normal",
_xlfn.XLOOKUP(BD_Receitas[[#This Row],[ID]],TabCondicoesComerciais[ID],TabCondicoesComerciais[Volume mínimo 
(m3)],0),"")</f>
        <v/>
      </c>
      <c r="Q434" s="2">
        <f>_xlfn.XLOOKUP(BD_Receitas[[#This Row],[ID]],TabCondicoesComerciais[ID],TabCondicoesComerciais[Vol. 1ºGiro],0)</f>
        <v>340</v>
      </c>
      <c r="R4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34" s="1">
        <f xml:space="preserve"> IF(BD_Receitas[[#This Row],[TIPO DE COBRANÇA]]="Operação Normal",
_xlfn.XLOOKUP(BD_Receitas[[#This Row],[ID]],TabCondicoesComerciais[ID],TabCondicoesComerciais[Tarifa 2º Giro],0),0)</f>
        <v>0</v>
      </c>
      <c r="T4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5" spans="1:24" hidden="1" x14ac:dyDescent="0.35">
      <c r="A435" s="3" t="s">
        <v>142</v>
      </c>
      <c r="B435" s="11">
        <v>45870</v>
      </c>
      <c r="C435" t="s">
        <v>31</v>
      </c>
      <c r="D435" t="s">
        <v>202</v>
      </c>
      <c r="E435" t="s">
        <v>36</v>
      </c>
      <c r="F435" s="10" t="s">
        <v>48</v>
      </c>
      <c r="G435" s="3" t="s">
        <v>49</v>
      </c>
      <c r="H435" s="3" t="s">
        <v>52</v>
      </c>
      <c r="I435" s="3" t="s">
        <v>7</v>
      </c>
      <c r="J435" s="1">
        <v>0</v>
      </c>
      <c r="K435" s="12">
        <v>0</v>
      </c>
      <c r="L435" s="1"/>
      <c r="M435" s="12"/>
      <c r="N435"/>
      <c r="O435"/>
      <c r="P435" s="2" t="str">
        <f>IF(BD_Receitas[[#This Row],[TIPO DE COBRANÇA]]="Operação Normal",
_xlfn.XLOOKUP(BD_Receitas[[#This Row],[ID]],TabCondicoesComerciais[ID],TabCondicoesComerciais[Volume mínimo 
(m3)],0),"")</f>
        <v/>
      </c>
      <c r="Q435" s="2">
        <f>_xlfn.XLOOKUP(BD_Receitas[[#This Row],[ID]],TabCondicoesComerciais[ID],TabCondicoesComerciais[Vol. 1ºGiro],0)</f>
        <v>360</v>
      </c>
      <c r="R4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16.364000000000001</v>
      </c>
      <c r="S435" s="1">
        <f xml:space="preserve"> IF(BD_Receitas[[#This Row],[TIPO DE COBRANÇA]]="Operação Normal",
_xlfn.XLOOKUP(BD_Receitas[[#This Row],[ID]],TabCondicoesComerciais[ID],TabCondicoesComerciais[Tarifa 2º Giro],0),0)</f>
        <v>0</v>
      </c>
      <c r="T43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6" spans="1:24" hidden="1" x14ac:dyDescent="0.35">
      <c r="A436" s="3" t="s">
        <v>142</v>
      </c>
      <c r="B436" s="11">
        <v>45870</v>
      </c>
      <c r="C436" t="s">
        <v>31</v>
      </c>
      <c r="D436" t="s">
        <v>202</v>
      </c>
      <c r="E436" t="s">
        <v>36</v>
      </c>
      <c r="F436" s="10" t="s">
        <v>48</v>
      </c>
      <c r="G436" s="3" t="s">
        <v>49</v>
      </c>
      <c r="H436" s="3" t="s">
        <v>52</v>
      </c>
      <c r="I436" s="3" t="s">
        <v>8</v>
      </c>
      <c r="J436" s="1">
        <v>0</v>
      </c>
      <c r="K436" s="12">
        <v>0</v>
      </c>
      <c r="L436" s="1"/>
      <c r="M436" s="12"/>
      <c r="N436"/>
      <c r="O436"/>
      <c r="P436" s="2" t="str">
        <f>IF(BD_Receitas[[#This Row],[TIPO DE COBRANÇA]]="Operação Normal",
_xlfn.XLOOKUP(BD_Receitas[[#This Row],[ID]],TabCondicoesComerciais[ID],TabCondicoesComerciais[Volume mínimo 
(m3)],0),"")</f>
        <v/>
      </c>
      <c r="Q436" s="2">
        <f>_xlfn.XLOOKUP(BD_Receitas[[#This Row],[ID]],TabCondicoesComerciais[ID],TabCondicoesComerciais[Vol. 1ºGiro],0)</f>
        <v>360</v>
      </c>
      <c r="R4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15</v>
      </c>
      <c r="S436" s="1">
        <f xml:space="preserve"> IF(BD_Receitas[[#This Row],[TIPO DE COBRANÇA]]="Operação Normal",
_xlfn.XLOOKUP(BD_Receitas[[#This Row],[ID]],TabCondicoesComerciais[ID],TabCondicoesComerciais[Tarifa 2º Giro],0),0)</f>
        <v>0</v>
      </c>
      <c r="T4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7" spans="1:24" hidden="1" x14ac:dyDescent="0.35">
      <c r="A437" s="3" t="s">
        <v>142</v>
      </c>
      <c r="B437" s="11">
        <v>45870</v>
      </c>
      <c r="C437" t="s">
        <v>31</v>
      </c>
      <c r="D437" t="s">
        <v>202</v>
      </c>
      <c r="E437" t="s">
        <v>36</v>
      </c>
      <c r="F437" s="10" t="s">
        <v>48</v>
      </c>
      <c r="G437" s="3" t="s">
        <v>49</v>
      </c>
      <c r="H437" s="3" t="s">
        <v>52</v>
      </c>
      <c r="I437" s="3" t="s">
        <v>15</v>
      </c>
      <c r="J437" s="1">
        <v>89789.3701</v>
      </c>
      <c r="K437" s="12">
        <v>2040</v>
      </c>
      <c r="L437" s="1">
        <v>86985.600000000006</v>
      </c>
      <c r="M437" s="12">
        <v>665.94200000000001</v>
      </c>
      <c r="N437" t="s">
        <v>238</v>
      </c>
      <c r="O437" t="s">
        <v>239</v>
      </c>
      <c r="P437" s="2">
        <f>IF(BD_Receitas[[#This Row],[TIPO DE COBRANÇA]]="Operação Normal",
_xlfn.XLOOKUP(BD_Receitas[[#This Row],[ID]],TabCondicoesComerciais[ID],TabCondicoesComerciais[Volume mínimo 
(m3)],0),"")</f>
        <v>2040</v>
      </c>
      <c r="Q437" s="2">
        <f>_xlfn.XLOOKUP(BD_Receitas[[#This Row],[ID]],TabCondicoesComerciais[ID],TabCondicoesComerciais[Vol. 1ºGiro],0)</f>
        <v>360</v>
      </c>
      <c r="R4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42.64</v>
      </c>
      <c r="S437" s="1">
        <f xml:space="preserve"> IF(BD_Receitas[[#This Row],[TIPO DE COBRANÇA]]="Operação Normal",
_xlfn.XLOOKUP(BD_Receitas[[#This Row],[ID]],TabCondicoesComerciais[ID],TabCondicoesComerciais[Tarifa 2º Giro],0),0)</f>
        <v>42.64</v>
      </c>
      <c r="T437" s="5">
        <f>IFERROR(IF(BD_Receitas[[#This Row],[TIPO DE COBRANÇA]]&lt;&gt;"Operação Normal","",BD_Receitas[[#This Row],[Valor Total R$]]/ MAX(BD_Receitas[[#This Row],[Vol. Movimentado M³]],
BD_Receitas[[#This Row],[Volume Mínimo ]])
),0)</f>
        <v>42.64</v>
      </c>
      <c r="U43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130.62038435779692</v>
      </c>
      <c r="V43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86985.599999999991</v>
      </c>
      <c r="W43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28395.766879999999</v>
      </c>
      <c r="X4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438" spans="1:24" hidden="1" x14ac:dyDescent="0.35">
      <c r="A438" s="3" t="s">
        <v>142</v>
      </c>
      <c r="B438" s="11">
        <v>45870</v>
      </c>
      <c r="C438" t="s">
        <v>31</v>
      </c>
      <c r="D438" t="s">
        <v>202</v>
      </c>
      <c r="E438" t="s">
        <v>36</v>
      </c>
      <c r="F438" s="10" t="s">
        <v>48</v>
      </c>
      <c r="G438" s="3" t="s">
        <v>49</v>
      </c>
      <c r="H438" s="3" t="s">
        <v>52</v>
      </c>
      <c r="I438" s="3" t="s">
        <v>65</v>
      </c>
      <c r="J438" s="1">
        <v>0</v>
      </c>
      <c r="K438" s="12">
        <v>0</v>
      </c>
      <c r="L438" s="1"/>
      <c r="M438" s="12"/>
      <c r="N438"/>
      <c r="O438"/>
      <c r="P438" s="2" t="str">
        <f>IF(BD_Receitas[[#This Row],[TIPO DE COBRANÇA]]="Operação Normal",
_xlfn.XLOOKUP(BD_Receitas[[#This Row],[ID]],TabCondicoesComerciais[ID],TabCondicoesComerciais[Volume mínimo 
(m3)],0),"")</f>
        <v/>
      </c>
      <c r="Q438" s="2">
        <f>_xlfn.XLOOKUP(BD_Receitas[[#This Row],[ID]],TabCondicoesComerciais[ID],TabCondicoesComerciais[Vol. 1ºGiro],0)</f>
        <v>360</v>
      </c>
      <c r="R4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38" s="1">
        <f xml:space="preserve"> IF(BD_Receitas[[#This Row],[TIPO DE COBRANÇA]]="Operação Normal",
_xlfn.XLOOKUP(BD_Receitas[[#This Row],[ID]],TabCondicoesComerciais[ID],TabCondicoesComerciais[Tarifa 2º Giro],0),0)</f>
        <v>0</v>
      </c>
      <c r="T4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39" spans="1:24" hidden="1" x14ac:dyDescent="0.35">
      <c r="A439" s="3" t="s">
        <v>139</v>
      </c>
      <c r="B439" s="11">
        <v>45870</v>
      </c>
      <c r="C439" t="s">
        <v>31</v>
      </c>
      <c r="D439" t="s">
        <v>202</v>
      </c>
      <c r="E439" t="s">
        <v>36</v>
      </c>
      <c r="F439" s="10" t="s">
        <v>48</v>
      </c>
      <c r="G439" s="3" t="s">
        <v>49</v>
      </c>
      <c r="H439" s="3" t="s">
        <v>14</v>
      </c>
      <c r="I439" s="3" t="s">
        <v>7</v>
      </c>
      <c r="J439" s="1">
        <v>0</v>
      </c>
      <c r="K439" s="12">
        <v>0</v>
      </c>
      <c r="L439" s="1"/>
      <c r="M439" s="12"/>
      <c r="N439"/>
      <c r="O439"/>
      <c r="P439" s="2" t="str">
        <f>IF(BD_Receitas[[#This Row],[TIPO DE COBRANÇA]]="Operação Normal",
_xlfn.XLOOKUP(BD_Receitas[[#This Row],[ID]],TabCondicoesComerciais[ID],TabCondicoesComerciais[Volume mínimo 
(m3)],0),"")</f>
        <v/>
      </c>
      <c r="Q439" s="2">
        <f>_xlfn.XLOOKUP(BD_Receitas[[#This Row],[ID]],TabCondicoesComerciais[ID],TabCondicoesComerciais[Vol. 1ºGiro],0)</f>
        <v>365</v>
      </c>
      <c r="R4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39" s="1">
        <f xml:space="preserve"> IF(BD_Receitas[[#This Row],[TIPO DE COBRANÇA]]="Operação Normal",
_xlfn.XLOOKUP(BD_Receitas[[#This Row],[ID]],TabCondicoesComerciais[ID],TabCondicoesComerciais[Tarifa 2º Giro],0),0)</f>
        <v>0</v>
      </c>
      <c r="T43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3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3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3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0" spans="1:24" hidden="1" x14ac:dyDescent="0.35">
      <c r="A440" s="3" t="s">
        <v>139</v>
      </c>
      <c r="B440" s="11">
        <v>45870</v>
      </c>
      <c r="C440" t="s">
        <v>31</v>
      </c>
      <c r="D440" t="s">
        <v>202</v>
      </c>
      <c r="E440" t="s">
        <v>36</v>
      </c>
      <c r="F440" s="10" t="s">
        <v>48</v>
      </c>
      <c r="G440" s="3" t="s">
        <v>49</v>
      </c>
      <c r="H440" s="3" t="s">
        <v>14</v>
      </c>
      <c r="I440" s="3" t="s">
        <v>8</v>
      </c>
      <c r="J440" s="1">
        <v>0</v>
      </c>
      <c r="K440" s="12">
        <v>0</v>
      </c>
      <c r="L440" s="1"/>
      <c r="M440" s="12"/>
      <c r="N440"/>
      <c r="O440"/>
      <c r="P440" s="2" t="str">
        <f>IF(BD_Receitas[[#This Row],[TIPO DE COBRANÇA]]="Operação Normal",
_xlfn.XLOOKUP(BD_Receitas[[#This Row],[ID]],TabCondicoesComerciais[ID],TabCondicoesComerciais[Volume mínimo 
(m3)],0),"")</f>
        <v/>
      </c>
      <c r="Q440" s="2">
        <f>_xlfn.XLOOKUP(BD_Receitas[[#This Row],[ID]],TabCondicoesComerciais[ID],TabCondicoesComerciais[Vol. 1ºGiro],0)</f>
        <v>365</v>
      </c>
      <c r="R4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40" s="1">
        <f xml:space="preserve"> IF(BD_Receitas[[#This Row],[TIPO DE COBRANÇA]]="Operação Normal",
_xlfn.XLOOKUP(BD_Receitas[[#This Row],[ID]],TabCondicoesComerciais[ID],TabCondicoesComerciais[Tarifa 2º Giro],0),0)</f>
        <v>0</v>
      </c>
      <c r="T4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1" spans="1:24" hidden="1" x14ac:dyDescent="0.35">
      <c r="A441" s="3" t="s">
        <v>139</v>
      </c>
      <c r="B441" s="11">
        <v>45870</v>
      </c>
      <c r="C441" t="s">
        <v>31</v>
      </c>
      <c r="D441" t="s">
        <v>202</v>
      </c>
      <c r="E441" t="s">
        <v>36</v>
      </c>
      <c r="F441" s="10" t="s">
        <v>48</v>
      </c>
      <c r="G441" s="3" t="s">
        <v>49</v>
      </c>
      <c r="H441" s="3" t="s">
        <v>14</v>
      </c>
      <c r="I441" s="3" t="s">
        <v>15</v>
      </c>
      <c r="J441" s="1">
        <v>17995.57</v>
      </c>
      <c r="K441" s="12">
        <v>936</v>
      </c>
      <c r="L441" s="1">
        <v>16726.72</v>
      </c>
      <c r="M441" s="12">
        <v>489.24</v>
      </c>
      <c r="N441" t="s">
        <v>240</v>
      </c>
      <c r="O441" t="s">
        <v>239</v>
      </c>
      <c r="P441" s="2">
        <f>IF(BD_Receitas[[#This Row],[TIPO DE COBRANÇA]]="Operação Normal",
_xlfn.XLOOKUP(BD_Receitas[[#This Row],[ID]],TabCondicoesComerciais[ID],TabCondicoesComerciais[Volume mínimo 
(m3)],0),"")</f>
        <v>936</v>
      </c>
      <c r="Q441" s="2">
        <f>_xlfn.XLOOKUP(BD_Receitas[[#This Row],[ID]],TabCondicoesComerciais[ID],TabCondicoesComerciais[Vol. 1ºGiro],0)</f>
        <v>365</v>
      </c>
      <c r="R4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17.87</v>
      </c>
      <c r="S441" s="1">
        <f xml:space="preserve"> IF(BD_Receitas[[#This Row],[TIPO DE COBRANÇA]]="Operação Normal",
_xlfn.XLOOKUP(BD_Receitas[[#This Row],[ID]],TabCondicoesComerciais[ID],TabCondicoesComerciais[Tarifa 2º Giro],0),0)</f>
        <v>17.87</v>
      </c>
      <c r="T441" s="5">
        <f>IFERROR(IF(BD_Receitas[[#This Row],[TIPO DE COBRANÇA]]&lt;&gt;"Operação Normal","",BD_Receitas[[#This Row],[Valor Total R$]]/ MAX(BD_Receitas[[#This Row],[Vol. Movimentado M³]],
BD_Receitas[[#This Row],[Volume Mínimo ]])
),0)</f>
        <v>17.870427350427352</v>
      </c>
      <c r="U44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34.189191398904427</v>
      </c>
      <c r="V44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16726.32</v>
      </c>
      <c r="W44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8742.7188000000006</v>
      </c>
      <c r="X4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442" spans="1:24" hidden="1" x14ac:dyDescent="0.35">
      <c r="A442" s="3" t="s">
        <v>139</v>
      </c>
      <c r="B442" s="11">
        <v>45870</v>
      </c>
      <c r="C442" t="s">
        <v>31</v>
      </c>
      <c r="D442" t="s">
        <v>202</v>
      </c>
      <c r="E442" t="s">
        <v>36</v>
      </c>
      <c r="F442" s="10" t="s">
        <v>48</v>
      </c>
      <c r="G442" s="3" t="s">
        <v>49</v>
      </c>
      <c r="H442" s="3" t="s">
        <v>14</v>
      </c>
      <c r="I442" s="3" t="s">
        <v>65</v>
      </c>
      <c r="J442" s="1">
        <v>0</v>
      </c>
      <c r="K442" s="12">
        <v>0</v>
      </c>
      <c r="L442" s="1"/>
      <c r="M442" s="12"/>
      <c r="N442"/>
      <c r="O442"/>
      <c r="P442" s="2" t="str">
        <f>IF(BD_Receitas[[#This Row],[TIPO DE COBRANÇA]]="Operação Normal",
_xlfn.XLOOKUP(BD_Receitas[[#This Row],[ID]],TabCondicoesComerciais[ID],TabCondicoesComerciais[Volume mínimo 
(m3)],0),"")</f>
        <v/>
      </c>
      <c r="Q442" s="2">
        <f>_xlfn.XLOOKUP(BD_Receitas[[#This Row],[ID]],TabCondicoesComerciais[ID],TabCondicoesComerciais[Vol. 1ºGiro],0)</f>
        <v>365</v>
      </c>
      <c r="R4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42" s="1">
        <f xml:space="preserve"> IF(BD_Receitas[[#This Row],[TIPO DE COBRANÇA]]="Operação Normal",
_xlfn.XLOOKUP(BD_Receitas[[#This Row],[ID]],TabCondicoesComerciais[ID],TabCondicoesComerciais[Tarifa 2º Giro],0),0)</f>
        <v>0</v>
      </c>
      <c r="T4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3" spans="1:24" hidden="1" x14ac:dyDescent="0.35">
      <c r="A443" s="3" t="s">
        <v>25</v>
      </c>
      <c r="B443" s="11">
        <v>45870</v>
      </c>
      <c r="C443" t="s">
        <v>31</v>
      </c>
      <c r="D443" t="s">
        <v>202</v>
      </c>
      <c r="E443" t="s">
        <v>36</v>
      </c>
      <c r="F443" s="10" t="s">
        <v>48</v>
      </c>
      <c r="G443" s="3" t="s">
        <v>49</v>
      </c>
      <c r="H443" s="3" t="s">
        <v>116</v>
      </c>
      <c r="I443" s="3" t="s">
        <v>7</v>
      </c>
      <c r="J443" s="1">
        <v>0</v>
      </c>
      <c r="K443" s="12">
        <v>0</v>
      </c>
      <c r="L443" s="1"/>
      <c r="M443" s="12"/>
      <c r="N443"/>
      <c r="O443"/>
      <c r="P443" s="2" t="str">
        <f>IF(BD_Receitas[[#This Row],[TIPO DE COBRANÇA]]="Operação Normal",
_xlfn.XLOOKUP(BD_Receitas[[#This Row],[ID]],TabCondicoesComerciais[ID],TabCondicoesComerciais[Volume mínimo 
(m3)],0),"")</f>
        <v/>
      </c>
      <c r="Q443" s="2">
        <f>_xlfn.XLOOKUP(BD_Receitas[[#This Row],[ID]],TabCondicoesComerciais[ID],TabCondicoesComerciais[Vol. 1ºGiro],0)</f>
        <v>100</v>
      </c>
      <c r="R4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43" s="1">
        <f xml:space="preserve"> IF(BD_Receitas[[#This Row],[TIPO DE COBRANÇA]]="Operação Normal",
_xlfn.XLOOKUP(BD_Receitas[[#This Row],[ID]],TabCondicoesComerciais[ID],TabCondicoesComerciais[Tarifa 2º Giro],0),0)</f>
        <v>0</v>
      </c>
      <c r="T44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4" spans="1:24" hidden="1" x14ac:dyDescent="0.35">
      <c r="A444" s="3" t="s">
        <v>25</v>
      </c>
      <c r="B444" s="11">
        <v>45870</v>
      </c>
      <c r="C444" t="s">
        <v>31</v>
      </c>
      <c r="D444" t="s">
        <v>202</v>
      </c>
      <c r="E444" t="s">
        <v>36</v>
      </c>
      <c r="F444" s="10" t="s">
        <v>48</v>
      </c>
      <c r="G444" s="3" t="s">
        <v>49</v>
      </c>
      <c r="H444" s="3" t="s">
        <v>116</v>
      </c>
      <c r="I444" s="3" t="s">
        <v>8</v>
      </c>
      <c r="J444" s="1">
        <v>0</v>
      </c>
      <c r="K444" s="12">
        <v>0</v>
      </c>
      <c r="L444" s="1"/>
      <c r="M444" s="12"/>
      <c r="N444"/>
      <c r="O444"/>
      <c r="P444" s="2" t="str">
        <f>IF(BD_Receitas[[#This Row],[TIPO DE COBRANÇA]]="Operação Normal",
_xlfn.XLOOKUP(BD_Receitas[[#This Row],[ID]],TabCondicoesComerciais[ID],TabCondicoesComerciais[Volume mínimo 
(m3)],0),"")</f>
        <v/>
      </c>
      <c r="Q444" s="2">
        <f>_xlfn.XLOOKUP(BD_Receitas[[#This Row],[ID]],TabCondicoesComerciais[ID],TabCondicoesComerciais[Vol. 1ºGiro],0)</f>
        <v>100</v>
      </c>
      <c r="R4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44" s="1">
        <f xml:space="preserve"> IF(BD_Receitas[[#This Row],[TIPO DE COBRANÇA]]="Operação Normal",
_xlfn.XLOOKUP(BD_Receitas[[#This Row],[ID]],TabCondicoesComerciais[ID],TabCondicoesComerciais[Tarifa 2º Giro],0),0)</f>
        <v>0</v>
      </c>
      <c r="T4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5" spans="1:24" hidden="1" x14ac:dyDescent="0.35">
      <c r="A445" s="3" t="s">
        <v>25</v>
      </c>
      <c r="B445" s="11">
        <v>45870</v>
      </c>
      <c r="C445" t="s">
        <v>31</v>
      </c>
      <c r="D445" t="s">
        <v>202</v>
      </c>
      <c r="E445" t="s">
        <v>36</v>
      </c>
      <c r="F445" s="10" t="s">
        <v>48</v>
      </c>
      <c r="G445" s="3" t="s">
        <v>49</v>
      </c>
      <c r="H445" s="3" t="s">
        <v>116</v>
      </c>
      <c r="I445" s="3" t="s">
        <v>15</v>
      </c>
      <c r="J445" s="1">
        <v>0</v>
      </c>
      <c r="K445" s="12">
        <v>0</v>
      </c>
      <c r="L445" s="1"/>
      <c r="M445" s="12"/>
      <c r="N445"/>
      <c r="O445"/>
      <c r="P445" s="2">
        <f>IF(BD_Receitas[[#This Row],[TIPO DE COBRANÇA]]="Operação Normal",
_xlfn.XLOOKUP(BD_Receitas[[#This Row],[ID]],TabCondicoesComerciais[ID],TabCondicoesComerciais[Volume mínimo 
(m3)],0),"")</f>
        <v>300</v>
      </c>
      <c r="Q445" s="2">
        <f>_xlfn.XLOOKUP(BD_Receitas[[#This Row],[ID]],TabCondicoesComerciais[ID],TabCondicoesComerciais[Vol. 1ºGiro],0)</f>
        <v>100</v>
      </c>
      <c r="R4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445" s="1">
        <f xml:space="preserve"> IF(BD_Receitas[[#This Row],[TIPO DE COBRANÇA]]="Operação Normal",
_xlfn.XLOOKUP(BD_Receitas[[#This Row],[ID]],TabCondicoesComerciais[ID],TabCondicoesComerciais[Tarifa 2º Giro],0),0)</f>
        <v>30</v>
      </c>
      <c r="T44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44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44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44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4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46" spans="1:24" hidden="1" x14ac:dyDescent="0.35">
      <c r="A446" s="3" t="s">
        <v>25</v>
      </c>
      <c r="B446" s="11">
        <v>45870</v>
      </c>
      <c r="C446" t="s">
        <v>31</v>
      </c>
      <c r="D446" t="s">
        <v>202</v>
      </c>
      <c r="E446" t="s">
        <v>36</v>
      </c>
      <c r="F446" s="10" t="s">
        <v>48</v>
      </c>
      <c r="G446" s="3" t="s">
        <v>49</v>
      </c>
      <c r="H446" s="3" t="s">
        <v>116</v>
      </c>
      <c r="I446" s="3" t="s">
        <v>65</v>
      </c>
      <c r="J446" s="1">
        <v>0</v>
      </c>
      <c r="K446" s="12">
        <v>0</v>
      </c>
      <c r="L446" s="1"/>
      <c r="M446" s="12"/>
      <c r="N446"/>
      <c r="O446"/>
      <c r="P446" s="2" t="str">
        <f>IF(BD_Receitas[[#This Row],[TIPO DE COBRANÇA]]="Operação Normal",
_xlfn.XLOOKUP(BD_Receitas[[#This Row],[ID]],TabCondicoesComerciais[ID],TabCondicoesComerciais[Volume mínimo 
(m3)],0),"")</f>
        <v/>
      </c>
      <c r="Q446" s="2">
        <f>_xlfn.XLOOKUP(BD_Receitas[[#This Row],[ID]],TabCondicoesComerciais[ID],TabCondicoesComerciais[Vol. 1ºGiro],0)</f>
        <v>100</v>
      </c>
      <c r="R4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46" s="1">
        <f xml:space="preserve"> IF(BD_Receitas[[#This Row],[TIPO DE COBRANÇA]]="Operação Normal",
_xlfn.XLOOKUP(BD_Receitas[[#This Row],[ID]],TabCondicoesComerciais[ID],TabCondicoesComerciais[Tarifa 2º Giro],0),0)</f>
        <v>0</v>
      </c>
      <c r="T4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7" spans="1:24" hidden="1" x14ac:dyDescent="0.35">
      <c r="A447" s="3" t="s">
        <v>102</v>
      </c>
      <c r="B447" s="11">
        <v>45870</v>
      </c>
      <c r="C447" t="s">
        <v>31</v>
      </c>
      <c r="D447" t="s">
        <v>202</v>
      </c>
      <c r="E447" t="s">
        <v>36</v>
      </c>
      <c r="F447" s="10" t="s">
        <v>48</v>
      </c>
      <c r="G447" s="3" t="s">
        <v>49</v>
      </c>
      <c r="H447" s="3" t="s">
        <v>51</v>
      </c>
      <c r="I447" s="3" t="s">
        <v>7</v>
      </c>
      <c r="J447" s="1">
        <v>0</v>
      </c>
      <c r="K447" s="12">
        <v>0</v>
      </c>
      <c r="L447" s="1"/>
      <c r="M447" s="12"/>
      <c r="N447"/>
      <c r="O447"/>
      <c r="P447" s="2" t="str">
        <f>IF(BD_Receitas[[#This Row],[TIPO DE COBRANÇA]]="Operação Normal",
_xlfn.XLOOKUP(BD_Receitas[[#This Row],[ID]],TabCondicoesComerciais[ID],TabCondicoesComerciais[Volume mínimo 
(m3)],0),"")</f>
        <v/>
      </c>
      <c r="Q447" s="2">
        <f>_xlfn.XLOOKUP(BD_Receitas[[#This Row],[ID]],TabCondicoesComerciais[ID],TabCondicoesComerciais[Vol. 1ºGiro],0)</f>
        <v>750</v>
      </c>
      <c r="R4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447" s="1">
        <f xml:space="preserve"> IF(BD_Receitas[[#This Row],[TIPO DE COBRANÇA]]="Operação Normal",
_xlfn.XLOOKUP(BD_Receitas[[#This Row],[ID]],TabCondicoesComerciais[ID],TabCondicoesComerciais[Tarifa 2º Giro],0),0)</f>
        <v>0</v>
      </c>
      <c r="T44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8" spans="1:24" hidden="1" x14ac:dyDescent="0.35">
      <c r="A448" s="3" t="s">
        <v>102</v>
      </c>
      <c r="B448" s="11">
        <v>45870</v>
      </c>
      <c r="C448" t="s">
        <v>31</v>
      </c>
      <c r="D448" t="s">
        <v>202</v>
      </c>
      <c r="E448" t="s">
        <v>36</v>
      </c>
      <c r="F448" s="10" t="s">
        <v>48</v>
      </c>
      <c r="G448" s="3" t="s">
        <v>49</v>
      </c>
      <c r="H448" s="3" t="s">
        <v>51</v>
      </c>
      <c r="I448" s="3" t="s">
        <v>8</v>
      </c>
      <c r="J448" s="1">
        <v>0</v>
      </c>
      <c r="K448" s="12">
        <v>0</v>
      </c>
      <c r="L448" s="1"/>
      <c r="M448" s="12"/>
      <c r="N448"/>
      <c r="O448"/>
      <c r="P448" s="2" t="str">
        <f>IF(BD_Receitas[[#This Row],[TIPO DE COBRANÇA]]="Operação Normal",
_xlfn.XLOOKUP(BD_Receitas[[#This Row],[ID]],TabCondicoesComerciais[ID],TabCondicoesComerciais[Volume mínimo 
(m3)],0),"")</f>
        <v/>
      </c>
      <c r="Q448" s="2">
        <f>_xlfn.XLOOKUP(BD_Receitas[[#This Row],[ID]],TabCondicoesComerciais[ID],TabCondicoesComerciais[Vol. 1ºGiro],0)</f>
        <v>750</v>
      </c>
      <c r="R4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448" s="1">
        <f xml:space="preserve"> IF(BD_Receitas[[#This Row],[TIPO DE COBRANÇA]]="Operação Normal",
_xlfn.XLOOKUP(BD_Receitas[[#This Row],[ID]],TabCondicoesComerciais[ID],TabCondicoesComerciais[Tarifa 2º Giro],0),0)</f>
        <v>0</v>
      </c>
      <c r="T4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49" spans="1:24" hidden="1" x14ac:dyDescent="0.35">
      <c r="A449" s="3" t="s">
        <v>102</v>
      </c>
      <c r="B449" s="11">
        <v>45870</v>
      </c>
      <c r="C449" t="s">
        <v>31</v>
      </c>
      <c r="D449" t="s">
        <v>202</v>
      </c>
      <c r="E449" t="s">
        <v>36</v>
      </c>
      <c r="F449" s="10" t="s">
        <v>48</v>
      </c>
      <c r="G449" s="3" t="s">
        <v>49</v>
      </c>
      <c r="H449" s="3" t="s">
        <v>51</v>
      </c>
      <c r="I449" s="3" t="s">
        <v>15</v>
      </c>
      <c r="J449" s="1">
        <v>0</v>
      </c>
      <c r="K449" s="12">
        <v>0</v>
      </c>
      <c r="L449" s="1"/>
      <c r="M449" s="12"/>
      <c r="N449"/>
      <c r="O449"/>
      <c r="P449" s="2">
        <f>IF(BD_Receitas[[#This Row],[TIPO DE COBRANÇA]]="Operação Normal",
_xlfn.XLOOKUP(BD_Receitas[[#This Row],[ID]],TabCondicoesComerciais[ID],TabCondicoesComerciais[Volume mínimo 
(m3)],0),"")</f>
        <v>6500</v>
      </c>
      <c r="Q449" s="2">
        <f>_xlfn.XLOOKUP(BD_Receitas[[#This Row],[ID]],TabCondicoesComerciais[ID],TabCondicoesComerciais[Vol. 1ºGiro],0)</f>
        <v>750</v>
      </c>
      <c r="R4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449" s="1">
        <f xml:space="preserve"> IF(BD_Receitas[[#This Row],[TIPO DE COBRANÇA]]="Operação Normal",
_xlfn.XLOOKUP(BD_Receitas[[#This Row],[ID]],TabCondicoesComerciais[ID],TabCondicoesComerciais[Tarifa 2º Giro],0),0)</f>
        <v>32.42</v>
      </c>
      <c r="T44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44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44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44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4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50" spans="1:24" hidden="1" x14ac:dyDescent="0.35">
      <c r="A450" s="3" t="s">
        <v>102</v>
      </c>
      <c r="B450" s="11">
        <v>45870</v>
      </c>
      <c r="C450" t="s">
        <v>31</v>
      </c>
      <c r="D450" t="s">
        <v>202</v>
      </c>
      <c r="E450" t="s">
        <v>36</v>
      </c>
      <c r="F450" s="10" t="s">
        <v>48</v>
      </c>
      <c r="G450" s="3" t="s">
        <v>49</v>
      </c>
      <c r="H450" s="3" t="s">
        <v>51</v>
      </c>
      <c r="I450" s="3" t="s">
        <v>65</v>
      </c>
      <c r="J450" s="1">
        <v>0</v>
      </c>
      <c r="K450" s="12">
        <v>0</v>
      </c>
      <c r="L450" s="1"/>
      <c r="M450" s="12"/>
      <c r="N450"/>
      <c r="O450"/>
      <c r="P450" s="2" t="str">
        <f>IF(BD_Receitas[[#This Row],[TIPO DE COBRANÇA]]="Operação Normal",
_xlfn.XLOOKUP(BD_Receitas[[#This Row],[ID]],TabCondicoesComerciais[ID],TabCondicoesComerciais[Volume mínimo 
(m3)],0),"")</f>
        <v/>
      </c>
      <c r="Q450" s="2">
        <f>_xlfn.XLOOKUP(BD_Receitas[[#This Row],[ID]],TabCondicoesComerciais[ID],TabCondicoesComerciais[Vol. 1ºGiro],0)</f>
        <v>750</v>
      </c>
      <c r="R4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0" s="1">
        <f xml:space="preserve"> IF(BD_Receitas[[#This Row],[TIPO DE COBRANÇA]]="Operação Normal",
_xlfn.XLOOKUP(BD_Receitas[[#This Row],[ID]],TabCondicoesComerciais[ID],TabCondicoesComerciais[Tarifa 2º Giro],0),0)</f>
        <v>0</v>
      </c>
      <c r="T4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1" spans="1:24" hidden="1" x14ac:dyDescent="0.35">
      <c r="A451" s="3" t="s">
        <v>208</v>
      </c>
      <c r="B451" s="11">
        <v>45870</v>
      </c>
      <c r="C451" t="s">
        <v>31</v>
      </c>
      <c r="D451" t="s">
        <v>202</v>
      </c>
      <c r="E451" t="s">
        <v>35</v>
      </c>
      <c r="F451" s="10" t="s">
        <v>22</v>
      </c>
      <c r="G451" s="3" t="s">
        <v>11</v>
      </c>
      <c r="H451" s="3" t="s">
        <v>207</v>
      </c>
      <c r="I451" s="3" t="s">
        <v>7</v>
      </c>
      <c r="J451" s="1">
        <v>0</v>
      </c>
      <c r="K451" s="12">
        <v>0</v>
      </c>
      <c r="L451" s="1">
        <v>6140.35</v>
      </c>
      <c r="M451" s="12">
        <v>675.04399999999998</v>
      </c>
      <c r="N451" t="s">
        <v>241</v>
      </c>
      <c r="O451"/>
      <c r="P451" s="2" t="str">
        <f>IF(BD_Receitas[[#This Row],[TIPO DE COBRANÇA]]="Operação Normal",
_xlfn.XLOOKUP(BD_Receitas[[#This Row],[ID]],TabCondicoesComerciais[ID],TabCondicoesComerciais[Volume mínimo 
(m3)],0),"")</f>
        <v/>
      </c>
      <c r="Q451" s="2">
        <f>_xlfn.XLOOKUP(BD_Receitas[[#This Row],[ID]],TabCondicoesComerciais[ID],TabCondicoesComerciais[Vol. 1ºGiro],0)</f>
        <v>625</v>
      </c>
      <c r="R4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451" s="1">
        <f xml:space="preserve"> IF(BD_Receitas[[#This Row],[TIPO DE COBRANÇA]]="Operação Normal",
_xlfn.XLOOKUP(BD_Receitas[[#This Row],[ID]],TabCondicoesComerciais[ID],TabCondicoesComerciais[Tarifa 2º Giro],0),0)</f>
        <v>0</v>
      </c>
      <c r="T45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2" spans="1:24" hidden="1" x14ac:dyDescent="0.35">
      <c r="A452" s="3" t="s">
        <v>208</v>
      </c>
      <c r="B452" s="11">
        <v>45870</v>
      </c>
      <c r="C452" t="s">
        <v>31</v>
      </c>
      <c r="D452" t="s">
        <v>202</v>
      </c>
      <c r="E452" t="s">
        <v>35</v>
      </c>
      <c r="F452" s="10" t="s">
        <v>22</v>
      </c>
      <c r="G452" s="3" t="s">
        <v>11</v>
      </c>
      <c r="H452" s="3" t="s">
        <v>207</v>
      </c>
      <c r="I452" s="3" t="s">
        <v>8</v>
      </c>
      <c r="J452" s="1">
        <v>0</v>
      </c>
      <c r="K452" s="12">
        <v>0</v>
      </c>
      <c r="L452" s="1"/>
      <c r="M452" s="12"/>
      <c r="N452"/>
      <c r="O452"/>
      <c r="P452" s="2" t="str">
        <f>IF(BD_Receitas[[#This Row],[TIPO DE COBRANÇA]]="Operação Normal",
_xlfn.XLOOKUP(BD_Receitas[[#This Row],[ID]],TabCondicoesComerciais[ID],TabCondicoesComerciais[Volume mínimo 
(m3)],0),"")</f>
        <v/>
      </c>
      <c r="Q452" s="2">
        <f>_xlfn.XLOOKUP(BD_Receitas[[#This Row],[ID]],TabCondicoesComerciais[ID],TabCondicoesComerciais[Vol. 1ºGiro],0)</f>
        <v>625</v>
      </c>
      <c r="R4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452" s="1">
        <f xml:space="preserve"> IF(BD_Receitas[[#This Row],[TIPO DE COBRANÇA]]="Operação Normal",
_xlfn.XLOOKUP(BD_Receitas[[#This Row],[ID]],TabCondicoesComerciais[ID],TabCondicoesComerciais[Tarifa 2º Giro],0),0)</f>
        <v>0</v>
      </c>
      <c r="T4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3" spans="1:24" hidden="1" x14ac:dyDescent="0.35">
      <c r="A453" s="3" t="s">
        <v>208</v>
      </c>
      <c r="B453" s="11">
        <v>45870</v>
      </c>
      <c r="C453" t="s">
        <v>31</v>
      </c>
      <c r="D453" t="s">
        <v>202</v>
      </c>
      <c r="E453" t="s">
        <v>35</v>
      </c>
      <c r="F453" s="10" t="s">
        <v>22</v>
      </c>
      <c r="G453" s="3" t="s">
        <v>11</v>
      </c>
      <c r="H453" s="3" t="s">
        <v>207</v>
      </c>
      <c r="I453" s="3" t="s">
        <v>15</v>
      </c>
      <c r="J453" s="1">
        <v>47210.53</v>
      </c>
      <c r="K453" s="12">
        <v>1875</v>
      </c>
      <c r="L453" s="1">
        <v>41921.85</v>
      </c>
      <c r="M453" s="12">
        <v>1641.0609999999999</v>
      </c>
      <c r="N453" t="s">
        <v>241</v>
      </c>
      <c r="O453"/>
      <c r="P453" s="2">
        <f>IF(BD_Receitas[[#This Row],[TIPO DE COBRANÇA]]="Operação Normal",
_xlfn.XLOOKUP(BD_Receitas[[#This Row],[ID]],TabCondicoesComerciais[ID],TabCondicoesComerciais[Volume mínimo 
(m3)],0),"")</f>
        <v>1875</v>
      </c>
      <c r="Q453" s="2">
        <f>_xlfn.XLOOKUP(BD_Receitas[[#This Row],[ID]],TabCondicoesComerciais[ID],TabCondicoesComerciais[Vol. 1ºGiro],0)</f>
        <v>625</v>
      </c>
      <c r="R4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453" s="1">
        <f xml:space="preserve"> IF(BD_Receitas[[#This Row],[TIPO DE COBRANÇA]]="Operação Normal",
_xlfn.XLOOKUP(BD_Receitas[[#This Row],[ID]],TabCondicoesComerciais[ID],TabCondicoesComerciais[Tarifa 2º Giro],0),0)</f>
        <v>33</v>
      </c>
      <c r="T453" s="5">
        <f>IFERROR(IF(BD_Receitas[[#This Row],[TIPO DE COBRANÇA]]&lt;&gt;"Operação Normal","",BD_Receitas[[#This Row],[Valor Total R$]]/ MAX(BD_Receitas[[#This Row],[Vol. Movimentado M³]],
BD_Receitas[[#This Row],[Volume Mínimo ]])
),0)</f>
        <v>22.358319999999999</v>
      </c>
      <c r="U45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29.28727207580949</v>
      </c>
      <c r="V45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45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54155.012999999999</v>
      </c>
      <c r="X4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54" spans="1:24" hidden="1" x14ac:dyDescent="0.35">
      <c r="A454" s="3" t="s">
        <v>208</v>
      </c>
      <c r="B454" s="11">
        <v>45870</v>
      </c>
      <c r="C454" t="s">
        <v>31</v>
      </c>
      <c r="D454" t="s">
        <v>202</v>
      </c>
      <c r="E454" t="s">
        <v>35</v>
      </c>
      <c r="F454" s="10" t="s">
        <v>22</v>
      </c>
      <c r="G454" s="3" t="s">
        <v>11</v>
      </c>
      <c r="H454" s="3" t="s">
        <v>207</v>
      </c>
      <c r="I454" s="3" t="s">
        <v>65</v>
      </c>
      <c r="J454" s="1">
        <v>0</v>
      </c>
      <c r="K454" s="12">
        <v>0</v>
      </c>
      <c r="L454" s="1"/>
      <c r="M454" s="12"/>
      <c r="N454"/>
      <c r="O454"/>
      <c r="P454" s="2" t="str">
        <f>IF(BD_Receitas[[#This Row],[TIPO DE COBRANÇA]]="Operação Normal",
_xlfn.XLOOKUP(BD_Receitas[[#This Row],[ID]],TabCondicoesComerciais[ID],TabCondicoesComerciais[Volume mínimo 
(m3)],0),"")</f>
        <v/>
      </c>
      <c r="Q454" s="2">
        <f>_xlfn.XLOOKUP(BD_Receitas[[#This Row],[ID]],TabCondicoesComerciais[ID],TabCondicoesComerciais[Vol. 1ºGiro],0)</f>
        <v>625</v>
      </c>
      <c r="R4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4" s="1">
        <f xml:space="preserve"> IF(BD_Receitas[[#This Row],[TIPO DE COBRANÇA]]="Operação Normal",
_xlfn.XLOOKUP(BD_Receitas[[#This Row],[ID]],TabCondicoesComerciais[ID],TabCondicoesComerciais[Tarifa 2º Giro],0),0)</f>
        <v>0</v>
      </c>
      <c r="T4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5" spans="1:24" hidden="1" x14ac:dyDescent="0.35">
      <c r="A455" s="3" t="s">
        <v>190</v>
      </c>
      <c r="B455" s="11">
        <v>45870</v>
      </c>
      <c r="C455" t="s">
        <v>31</v>
      </c>
      <c r="D455" t="s">
        <v>202</v>
      </c>
      <c r="E455" t="s">
        <v>35</v>
      </c>
      <c r="F455" s="10" t="s">
        <v>22</v>
      </c>
      <c r="G455" s="3" t="s">
        <v>11</v>
      </c>
      <c r="H455" s="3" t="s">
        <v>116</v>
      </c>
      <c r="I455" s="3" t="s">
        <v>7</v>
      </c>
      <c r="J455" s="1">
        <v>0</v>
      </c>
      <c r="K455" s="12">
        <v>0</v>
      </c>
      <c r="L455" s="1"/>
      <c r="M455" s="12"/>
      <c r="N455"/>
      <c r="O455"/>
      <c r="P455" s="2" t="str">
        <f>IF(BD_Receitas[[#This Row],[TIPO DE COBRANÇA]]="Operação Normal",
_xlfn.XLOOKUP(BD_Receitas[[#This Row],[ID]],TabCondicoesComerciais[ID],TabCondicoesComerciais[Volume mínimo 
(m3)],0),"")</f>
        <v/>
      </c>
      <c r="Q455" s="2">
        <f>_xlfn.XLOOKUP(BD_Receitas[[#This Row],[ID]],TabCondicoesComerciais[ID],TabCondicoesComerciais[Vol. 1ºGiro],0)</f>
        <v>580</v>
      </c>
      <c r="R4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5" s="1">
        <f xml:space="preserve"> IF(BD_Receitas[[#This Row],[TIPO DE COBRANÇA]]="Operação Normal",
_xlfn.XLOOKUP(BD_Receitas[[#This Row],[ID]],TabCondicoesComerciais[ID],TabCondicoesComerciais[Tarifa 2º Giro],0),0)</f>
        <v>0</v>
      </c>
      <c r="T45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6" spans="1:24" hidden="1" x14ac:dyDescent="0.35">
      <c r="A456" s="3" t="s">
        <v>190</v>
      </c>
      <c r="B456" s="11">
        <v>45870</v>
      </c>
      <c r="C456" t="s">
        <v>31</v>
      </c>
      <c r="D456" t="s">
        <v>202</v>
      </c>
      <c r="E456" t="s">
        <v>35</v>
      </c>
      <c r="F456" s="10" t="s">
        <v>22</v>
      </c>
      <c r="G456" s="3" t="s">
        <v>11</v>
      </c>
      <c r="H456" s="3" t="s">
        <v>116</v>
      </c>
      <c r="I456" s="3" t="s">
        <v>8</v>
      </c>
      <c r="J456" s="1">
        <v>0</v>
      </c>
      <c r="K456" s="12">
        <v>0</v>
      </c>
      <c r="L456" s="1"/>
      <c r="M456" s="12"/>
      <c r="N456"/>
      <c r="O456"/>
      <c r="P456" s="2" t="str">
        <f>IF(BD_Receitas[[#This Row],[TIPO DE COBRANÇA]]="Operação Normal",
_xlfn.XLOOKUP(BD_Receitas[[#This Row],[ID]],TabCondicoesComerciais[ID],TabCondicoesComerciais[Volume mínimo 
(m3)],0),"")</f>
        <v/>
      </c>
      <c r="Q456" s="2">
        <f>_xlfn.XLOOKUP(BD_Receitas[[#This Row],[ID]],TabCondicoesComerciais[ID],TabCondicoesComerciais[Vol. 1ºGiro],0)</f>
        <v>580</v>
      </c>
      <c r="R4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6" s="1">
        <f xml:space="preserve"> IF(BD_Receitas[[#This Row],[TIPO DE COBRANÇA]]="Operação Normal",
_xlfn.XLOOKUP(BD_Receitas[[#This Row],[ID]],TabCondicoesComerciais[ID],TabCondicoesComerciais[Tarifa 2º Giro],0),0)</f>
        <v>0</v>
      </c>
      <c r="T4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7" spans="1:24" hidden="1" x14ac:dyDescent="0.35">
      <c r="A457" s="3" t="s">
        <v>190</v>
      </c>
      <c r="B457" s="11">
        <v>45870</v>
      </c>
      <c r="C457" t="s">
        <v>31</v>
      </c>
      <c r="D457" t="s">
        <v>202</v>
      </c>
      <c r="E457" t="s">
        <v>35</v>
      </c>
      <c r="F457" s="10" t="s">
        <v>22</v>
      </c>
      <c r="G457" s="3" t="s">
        <v>11</v>
      </c>
      <c r="H457" s="3" t="s">
        <v>116</v>
      </c>
      <c r="I457" s="3" t="s">
        <v>15</v>
      </c>
      <c r="J457" s="1">
        <v>0</v>
      </c>
      <c r="K457" s="12">
        <v>0</v>
      </c>
      <c r="L457" s="1"/>
      <c r="M457" s="12"/>
      <c r="N457"/>
      <c r="O457"/>
      <c r="P457" s="2">
        <f>IF(BD_Receitas[[#This Row],[TIPO DE COBRANÇA]]="Operação Normal",
_xlfn.XLOOKUP(BD_Receitas[[#This Row],[ID]],TabCondicoesComerciais[ID],TabCondicoesComerciais[Volume mínimo 
(m3)],0),"")</f>
        <v>2000</v>
      </c>
      <c r="Q457" s="2">
        <f>_xlfn.XLOOKUP(BD_Receitas[[#This Row],[ID]],TabCondicoesComerciais[ID],TabCondicoesComerciais[Vol. 1ºGiro],0)</f>
        <v>580</v>
      </c>
      <c r="R4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457" s="1">
        <f xml:space="preserve"> IF(BD_Receitas[[#This Row],[TIPO DE COBRANÇA]]="Operação Normal",
_xlfn.XLOOKUP(BD_Receitas[[#This Row],[ID]],TabCondicoesComerciais[ID],TabCondicoesComerciais[Tarifa 2º Giro],0),0)</f>
        <v>27</v>
      </c>
      <c r="T45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45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45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45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4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58" spans="1:24" hidden="1" x14ac:dyDescent="0.35">
      <c r="A458" s="3" t="s">
        <v>190</v>
      </c>
      <c r="B458" s="11">
        <v>45870</v>
      </c>
      <c r="C458" t="s">
        <v>31</v>
      </c>
      <c r="D458" t="s">
        <v>202</v>
      </c>
      <c r="E458" t="s">
        <v>35</v>
      </c>
      <c r="F458" s="10" t="s">
        <v>22</v>
      </c>
      <c r="G458" s="3" t="s">
        <v>11</v>
      </c>
      <c r="H458" s="3" t="s">
        <v>116</v>
      </c>
      <c r="I458" s="3" t="s">
        <v>65</v>
      </c>
      <c r="J458" s="1">
        <v>0</v>
      </c>
      <c r="K458" s="12">
        <v>0</v>
      </c>
      <c r="L458" s="1"/>
      <c r="M458" s="12"/>
      <c r="N458"/>
      <c r="O458"/>
      <c r="P458" s="2" t="str">
        <f>IF(BD_Receitas[[#This Row],[TIPO DE COBRANÇA]]="Operação Normal",
_xlfn.XLOOKUP(BD_Receitas[[#This Row],[ID]],TabCondicoesComerciais[ID],TabCondicoesComerciais[Volume mínimo 
(m3)],0),"")</f>
        <v/>
      </c>
      <c r="Q458" s="2">
        <f>_xlfn.XLOOKUP(BD_Receitas[[#This Row],[ID]],TabCondicoesComerciais[ID],TabCondicoesComerciais[Vol. 1ºGiro],0)</f>
        <v>580</v>
      </c>
      <c r="R4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58" s="1">
        <f xml:space="preserve"> IF(BD_Receitas[[#This Row],[TIPO DE COBRANÇA]]="Operação Normal",
_xlfn.XLOOKUP(BD_Receitas[[#This Row],[ID]],TabCondicoesComerciais[ID],TabCondicoesComerciais[Tarifa 2º Giro],0),0)</f>
        <v>0</v>
      </c>
      <c r="T4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59" spans="1:24" hidden="1" x14ac:dyDescent="0.35">
      <c r="A459" s="3" t="s">
        <v>172</v>
      </c>
      <c r="B459" s="11">
        <v>45870</v>
      </c>
      <c r="C459" t="s">
        <v>31</v>
      </c>
      <c r="D459" t="s">
        <v>202</v>
      </c>
      <c r="E459" t="s">
        <v>35</v>
      </c>
      <c r="F459" s="10" t="s">
        <v>22</v>
      </c>
      <c r="G459" s="3" t="s">
        <v>11</v>
      </c>
      <c r="H459" s="3" t="s">
        <v>13</v>
      </c>
      <c r="I459" s="3" t="s">
        <v>7</v>
      </c>
      <c r="J459" s="1">
        <v>0</v>
      </c>
      <c r="K459" s="12">
        <v>0</v>
      </c>
      <c r="L459" s="1">
        <v>1645.69</v>
      </c>
      <c r="M459" s="12">
        <v>186.13800000000001</v>
      </c>
      <c r="N459" t="s">
        <v>242</v>
      </c>
      <c r="O459"/>
      <c r="P459" s="2" t="str">
        <f>IF(BD_Receitas[[#This Row],[TIPO DE COBRANÇA]]="Operação Normal",
_xlfn.XLOOKUP(BD_Receitas[[#This Row],[ID]],TabCondicoesComerciais[ID],TabCondicoesComerciais[Volume mínimo 
(m3)],0),"")</f>
        <v/>
      </c>
      <c r="Q459" s="2">
        <f>_xlfn.XLOOKUP(BD_Receitas[[#This Row],[ID]],TabCondicoesComerciais[ID],TabCondicoesComerciais[Vol. 1ºGiro],0)</f>
        <v>750</v>
      </c>
      <c r="R4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459" s="1">
        <f xml:space="preserve"> IF(BD_Receitas[[#This Row],[TIPO DE COBRANÇA]]="Operação Normal",
_xlfn.XLOOKUP(BD_Receitas[[#This Row],[ID]],TabCondicoesComerciais[ID],TabCondicoesComerciais[Tarifa 2º Giro],0),0)</f>
        <v>0</v>
      </c>
      <c r="T45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5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5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5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0" spans="1:24" hidden="1" x14ac:dyDescent="0.35">
      <c r="A460" s="3" t="s">
        <v>172</v>
      </c>
      <c r="B460" s="11">
        <v>45870</v>
      </c>
      <c r="C460" t="s">
        <v>31</v>
      </c>
      <c r="D460" t="s">
        <v>202</v>
      </c>
      <c r="E460" t="s">
        <v>35</v>
      </c>
      <c r="F460" s="10" t="s">
        <v>22</v>
      </c>
      <c r="G460" s="3" t="s">
        <v>11</v>
      </c>
      <c r="H460" s="3" t="s">
        <v>13</v>
      </c>
      <c r="I460" s="3" t="s">
        <v>8</v>
      </c>
      <c r="J460" s="1">
        <v>0</v>
      </c>
      <c r="K460" s="12">
        <v>0</v>
      </c>
      <c r="L460" s="1"/>
      <c r="M460" s="12"/>
      <c r="N460"/>
      <c r="O460"/>
      <c r="P460" s="2" t="str">
        <f>IF(BD_Receitas[[#This Row],[TIPO DE COBRANÇA]]="Operação Normal",
_xlfn.XLOOKUP(BD_Receitas[[#This Row],[ID]],TabCondicoesComerciais[ID],TabCondicoesComerciais[Volume mínimo 
(m3)],0),"")</f>
        <v/>
      </c>
      <c r="Q460" s="2">
        <f>_xlfn.XLOOKUP(BD_Receitas[[#This Row],[ID]],TabCondicoesComerciais[ID],TabCondicoesComerciais[Vol. 1ºGiro],0)</f>
        <v>750</v>
      </c>
      <c r="R4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460" s="1">
        <f xml:space="preserve"> IF(BD_Receitas[[#This Row],[TIPO DE COBRANÇA]]="Operação Normal",
_xlfn.XLOOKUP(BD_Receitas[[#This Row],[ID]],TabCondicoesComerciais[ID],TabCondicoesComerciais[Tarifa 2º Giro],0),0)</f>
        <v>0</v>
      </c>
      <c r="T4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1" spans="1:24" hidden="1" x14ac:dyDescent="0.35">
      <c r="A461" s="3" t="s">
        <v>172</v>
      </c>
      <c r="B461" s="11">
        <v>45870</v>
      </c>
      <c r="C461" t="s">
        <v>31</v>
      </c>
      <c r="D461" t="s">
        <v>202</v>
      </c>
      <c r="E461" t="s">
        <v>35</v>
      </c>
      <c r="F461" s="10" t="s">
        <v>22</v>
      </c>
      <c r="G461" s="3" t="s">
        <v>11</v>
      </c>
      <c r="H461" s="3" t="s">
        <v>13</v>
      </c>
      <c r="I461" s="3" t="s">
        <v>15</v>
      </c>
      <c r="J461" s="1">
        <v>0</v>
      </c>
      <c r="K461" s="12">
        <v>0</v>
      </c>
      <c r="L461" s="1">
        <v>9524.7900000000009</v>
      </c>
      <c r="M461" s="12">
        <v>428.89499999999998</v>
      </c>
      <c r="N461" t="s">
        <v>242</v>
      </c>
      <c r="O461"/>
      <c r="P461" s="2">
        <f>IF(BD_Receitas[[#This Row],[TIPO DE COBRANÇA]]="Operação Normal",
_xlfn.XLOOKUP(BD_Receitas[[#This Row],[ID]],TabCondicoesComerciais[ID],TabCondicoesComerciais[Volume mínimo 
(m3)],0),"")</f>
        <v>0</v>
      </c>
      <c r="Q461" s="2">
        <f>_xlfn.XLOOKUP(BD_Receitas[[#This Row],[ID]],TabCondicoesComerciais[ID],TabCondicoesComerciais[Vol. 1ºGiro],0)</f>
        <v>750</v>
      </c>
      <c r="R4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461" s="1">
        <f xml:space="preserve"> IF(BD_Receitas[[#This Row],[TIPO DE COBRANÇA]]="Operação Normal",
_xlfn.XLOOKUP(BD_Receitas[[#This Row],[ID]],TabCondicoesComerciais[ID],TabCondicoesComerciais[Tarifa 2º Giro],0),0)</f>
        <v>22.2</v>
      </c>
      <c r="T461" s="5">
        <f>IFERROR(IF(BD_Receitas[[#This Row],[TIPO DE COBRANÇA]]&lt;&gt;"Operação Normal","",BD_Receitas[[#This Row],[Valor Total R$]]/ MAX(BD_Receitas[[#This Row],[Vol. Movimentado M³]],
BD_Receitas[[#This Row],[Volume Mínimo ]])
),0)</f>
        <v>22.207743153918795</v>
      </c>
      <c r="U46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26.044789517247814</v>
      </c>
      <c r="V46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46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9521.4689999999991</v>
      </c>
      <c r="X4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62" spans="1:24" hidden="1" x14ac:dyDescent="0.35">
      <c r="A462" s="3" t="s">
        <v>172</v>
      </c>
      <c r="B462" s="11">
        <v>45870</v>
      </c>
      <c r="C462" t="s">
        <v>31</v>
      </c>
      <c r="D462" t="s">
        <v>202</v>
      </c>
      <c r="E462" t="s">
        <v>35</v>
      </c>
      <c r="F462" s="10" t="s">
        <v>22</v>
      </c>
      <c r="G462" s="3" t="s">
        <v>11</v>
      </c>
      <c r="H462" s="3" t="s">
        <v>13</v>
      </c>
      <c r="I462" s="3" t="s">
        <v>65</v>
      </c>
      <c r="J462" s="1">
        <v>0</v>
      </c>
      <c r="K462" s="12">
        <v>0</v>
      </c>
      <c r="L462" s="1"/>
      <c r="M462" s="12"/>
      <c r="N462"/>
      <c r="O462"/>
      <c r="P462" s="2" t="str">
        <f>IF(BD_Receitas[[#This Row],[TIPO DE COBRANÇA]]="Operação Normal",
_xlfn.XLOOKUP(BD_Receitas[[#This Row],[ID]],TabCondicoesComerciais[ID],TabCondicoesComerciais[Volume mínimo 
(m3)],0),"")</f>
        <v/>
      </c>
      <c r="Q462" s="2">
        <f>_xlfn.XLOOKUP(BD_Receitas[[#This Row],[ID]],TabCondicoesComerciais[ID],TabCondicoesComerciais[Vol. 1ºGiro],0)</f>
        <v>750</v>
      </c>
      <c r="R4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62" s="1">
        <f xml:space="preserve"> IF(BD_Receitas[[#This Row],[TIPO DE COBRANÇA]]="Operação Normal",
_xlfn.XLOOKUP(BD_Receitas[[#This Row],[ID]],TabCondicoesComerciais[ID],TabCondicoesComerciais[Tarifa 2º Giro],0),0)</f>
        <v>0</v>
      </c>
      <c r="T4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3" spans="1:24" hidden="1" x14ac:dyDescent="0.35">
      <c r="A463" s="3" t="s">
        <v>149</v>
      </c>
      <c r="B463" s="11">
        <v>45870</v>
      </c>
      <c r="C463" t="s">
        <v>31</v>
      </c>
      <c r="D463" t="s">
        <v>110</v>
      </c>
      <c r="E463" t="s">
        <v>117</v>
      </c>
      <c r="F463" s="10" t="s">
        <v>23</v>
      </c>
      <c r="G463" s="3" t="s">
        <v>112</v>
      </c>
      <c r="H463" s="3" t="s">
        <v>113</v>
      </c>
      <c r="I463" s="3" t="s">
        <v>7</v>
      </c>
      <c r="J463" s="1">
        <v>0</v>
      </c>
      <c r="K463" s="12">
        <v>0</v>
      </c>
      <c r="L463" s="1"/>
      <c r="M463" s="12"/>
      <c r="N463"/>
      <c r="O463"/>
      <c r="P463" s="2" t="str">
        <f>IF(BD_Receitas[[#This Row],[TIPO DE COBRANÇA]]="Operação Normal",
_xlfn.XLOOKUP(BD_Receitas[[#This Row],[ID]],TabCondicoesComerciais[ID],TabCondicoesComerciais[Volume mínimo 
(m3)],0),"")</f>
        <v/>
      </c>
      <c r="Q463" s="2">
        <f>_xlfn.XLOOKUP(BD_Receitas[[#This Row],[ID]],TabCondicoesComerciais[ID],TabCondicoesComerciais[Vol. 1ºGiro],0)</f>
        <v>750</v>
      </c>
      <c r="R4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463" s="1">
        <f xml:space="preserve"> IF(BD_Receitas[[#This Row],[TIPO DE COBRANÇA]]="Operação Normal",
_xlfn.XLOOKUP(BD_Receitas[[#This Row],[ID]],TabCondicoesComerciais[ID],TabCondicoesComerciais[Tarifa 2º Giro],0),0)</f>
        <v>0</v>
      </c>
      <c r="T46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4" spans="1:24" hidden="1" x14ac:dyDescent="0.35">
      <c r="A464" s="3" t="s">
        <v>149</v>
      </c>
      <c r="B464" s="11">
        <v>45870</v>
      </c>
      <c r="C464" t="s">
        <v>31</v>
      </c>
      <c r="D464" t="s">
        <v>110</v>
      </c>
      <c r="E464" t="s">
        <v>117</v>
      </c>
      <c r="F464" s="10" t="s">
        <v>23</v>
      </c>
      <c r="G464" s="3" t="s">
        <v>112</v>
      </c>
      <c r="H464" s="3" t="s">
        <v>113</v>
      </c>
      <c r="I464" s="3" t="s">
        <v>8</v>
      </c>
      <c r="J464" s="1">
        <v>0</v>
      </c>
      <c r="K464" s="12">
        <v>0</v>
      </c>
      <c r="L464" s="1"/>
      <c r="M464" s="12"/>
      <c r="N464"/>
      <c r="O464"/>
      <c r="P464" s="2" t="str">
        <f>IF(BD_Receitas[[#This Row],[TIPO DE COBRANÇA]]="Operação Normal",
_xlfn.XLOOKUP(BD_Receitas[[#This Row],[ID]],TabCondicoesComerciais[ID],TabCondicoesComerciais[Volume mínimo 
(m3)],0),"")</f>
        <v/>
      </c>
      <c r="Q464" s="2">
        <f>_xlfn.XLOOKUP(BD_Receitas[[#This Row],[ID]],TabCondicoesComerciais[ID],TabCondicoesComerciais[Vol. 1ºGiro],0)</f>
        <v>750</v>
      </c>
      <c r="R4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464" s="1">
        <f xml:space="preserve"> IF(BD_Receitas[[#This Row],[TIPO DE COBRANÇA]]="Operação Normal",
_xlfn.XLOOKUP(BD_Receitas[[#This Row],[ID]],TabCondicoesComerciais[ID],TabCondicoesComerciais[Tarifa 2º Giro],0),0)</f>
        <v>0</v>
      </c>
      <c r="T4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5" spans="1:24" hidden="1" x14ac:dyDescent="0.35">
      <c r="A465" s="3" t="s">
        <v>149</v>
      </c>
      <c r="B465" s="11">
        <v>45870</v>
      </c>
      <c r="C465" t="s">
        <v>31</v>
      </c>
      <c r="D465" t="s">
        <v>110</v>
      </c>
      <c r="E465" t="s">
        <v>117</v>
      </c>
      <c r="F465" s="10" t="s">
        <v>23</v>
      </c>
      <c r="G465" s="3" t="s">
        <v>112</v>
      </c>
      <c r="H465" s="3" t="s">
        <v>113</v>
      </c>
      <c r="I465" s="3" t="s">
        <v>15</v>
      </c>
      <c r="J465" s="1">
        <v>0</v>
      </c>
      <c r="K465" s="12">
        <v>0</v>
      </c>
      <c r="L465" s="1"/>
      <c r="M465" s="12"/>
      <c r="N465"/>
      <c r="O465"/>
      <c r="P465" s="2">
        <f>IF(BD_Receitas[[#This Row],[TIPO DE COBRANÇA]]="Operação Normal",
_xlfn.XLOOKUP(BD_Receitas[[#This Row],[ID]],TabCondicoesComerciais[ID],TabCondicoesComerciais[Volume mínimo 
(m3)],0),"")</f>
        <v>3000</v>
      </c>
      <c r="Q465" s="2">
        <f>_xlfn.XLOOKUP(BD_Receitas[[#This Row],[ID]],TabCondicoesComerciais[ID],TabCondicoesComerciais[Vol. 1ºGiro],0)</f>
        <v>750</v>
      </c>
      <c r="R4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465" s="1">
        <f xml:space="preserve"> IF(BD_Receitas[[#This Row],[TIPO DE COBRANÇA]]="Operação Normal",
_xlfn.XLOOKUP(BD_Receitas[[#This Row],[ID]],TabCondicoesComerciais[ID],TabCondicoesComerciais[Tarifa 2º Giro],0),0)</f>
        <v>19.5</v>
      </c>
      <c r="T46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46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46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46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4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66" spans="1:24" hidden="1" x14ac:dyDescent="0.35">
      <c r="A466" s="3" t="s">
        <v>149</v>
      </c>
      <c r="B466" s="11">
        <v>45870</v>
      </c>
      <c r="C466" t="s">
        <v>31</v>
      </c>
      <c r="D466" t="s">
        <v>110</v>
      </c>
      <c r="E466" t="s">
        <v>117</v>
      </c>
      <c r="F466" s="10" t="s">
        <v>23</v>
      </c>
      <c r="G466" s="3" t="s">
        <v>112</v>
      </c>
      <c r="H466" s="3" t="s">
        <v>113</v>
      </c>
      <c r="I466" s="3" t="s">
        <v>65</v>
      </c>
      <c r="J466" s="1">
        <v>0</v>
      </c>
      <c r="K466" s="12">
        <v>0</v>
      </c>
      <c r="L466" s="1"/>
      <c r="M466" s="12"/>
      <c r="N466"/>
      <c r="O466"/>
      <c r="P466" s="2" t="str">
        <f>IF(BD_Receitas[[#This Row],[TIPO DE COBRANÇA]]="Operação Normal",
_xlfn.XLOOKUP(BD_Receitas[[#This Row],[ID]],TabCondicoesComerciais[ID],TabCondicoesComerciais[Volume mínimo 
(m3)],0),"")</f>
        <v/>
      </c>
      <c r="Q466" s="2">
        <f>_xlfn.XLOOKUP(BD_Receitas[[#This Row],[ID]],TabCondicoesComerciais[ID],TabCondicoesComerciais[Vol. 1ºGiro],0)</f>
        <v>750</v>
      </c>
      <c r="R4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66" s="1">
        <f xml:space="preserve"> IF(BD_Receitas[[#This Row],[TIPO DE COBRANÇA]]="Operação Normal",
_xlfn.XLOOKUP(BD_Receitas[[#This Row],[ID]],TabCondicoesComerciais[ID],TabCondicoesComerciais[Tarifa 2º Giro],0),0)</f>
        <v>0</v>
      </c>
      <c r="T4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7" spans="1:24" hidden="1" x14ac:dyDescent="0.35">
      <c r="A467" s="3" t="s">
        <v>177</v>
      </c>
      <c r="B467" s="11">
        <v>45870</v>
      </c>
      <c r="C467" t="s">
        <v>31</v>
      </c>
      <c r="D467" t="s">
        <v>62</v>
      </c>
      <c r="E467" t="s">
        <v>33</v>
      </c>
      <c r="F467" s="10" t="s">
        <v>46</v>
      </c>
      <c r="G467" s="3" t="s">
        <v>87</v>
      </c>
      <c r="H467" s="3" t="s">
        <v>9</v>
      </c>
      <c r="I467" s="3" t="s">
        <v>7</v>
      </c>
      <c r="J467" s="1">
        <v>0</v>
      </c>
      <c r="K467" s="12">
        <v>0</v>
      </c>
      <c r="L467" s="1">
        <v>497.09399999999999</v>
      </c>
      <c r="M467" s="12">
        <v>63.457999999999998</v>
      </c>
      <c r="N467" t="s">
        <v>190</v>
      </c>
      <c r="O467"/>
      <c r="P467" s="2" t="str">
        <f>IF(BD_Receitas[[#This Row],[TIPO DE COBRANÇA]]="Operação Normal",
_xlfn.XLOOKUP(BD_Receitas[[#This Row],[ID]],TabCondicoesComerciais[ID],TabCondicoesComerciais[Volume mínimo 
(m3)],0),"")</f>
        <v/>
      </c>
      <c r="Q467" s="2">
        <f>_xlfn.XLOOKUP(BD_Receitas[[#This Row],[ID]],TabCondicoesComerciais[ID],TabCondicoesComerciais[Vol. 1ºGiro],0)</f>
        <v>1070</v>
      </c>
      <c r="R4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467" s="1">
        <f xml:space="preserve"> IF(BD_Receitas[[#This Row],[TIPO DE COBRANÇA]]="Operação Normal",
_xlfn.XLOOKUP(BD_Receitas[[#This Row],[ID]],TabCondicoesComerciais[ID],TabCondicoesComerciais[Tarifa 2º Giro],0),0)</f>
        <v>0</v>
      </c>
      <c r="T46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8" spans="1:24" hidden="1" x14ac:dyDescent="0.35">
      <c r="A468" s="3" t="s">
        <v>177</v>
      </c>
      <c r="B468" s="11">
        <v>45870</v>
      </c>
      <c r="C468" t="s">
        <v>31</v>
      </c>
      <c r="D468" t="s">
        <v>62</v>
      </c>
      <c r="E468" t="s">
        <v>33</v>
      </c>
      <c r="F468" s="10" t="s">
        <v>46</v>
      </c>
      <c r="G468" s="3" t="s">
        <v>87</v>
      </c>
      <c r="H468" s="3" t="s">
        <v>9</v>
      </c>
      <c r="I468" s="3" t="s">
        <v>8</v>
      </c>
      <c r="J468" s="1">
        <v>0</v>
      </c>
      <c r="K468" s="12">
        <v>0</v>
      </c>
      <c r="L468" s="1">
        <v>1990.2539999999999</v>
      </c>
      <c r="M468" s="12">
        <v>254.066</v>
      </c>
      <c r="N468" t="s">
        <v>190</v>
      </c>
      <c r="O468"/>
      <c r="P468" s="2" t="str">
        <f>IF(BD_Receitas[[#This Row],[TIPO DE COBRANÇA]]="Operação Normal",
_xlfn.XLOOKUP(BD_Receitas[[#This Row],[ID]],TabCondicoesComerciais[ID],TabCondicoesComerciais[Volume mínimo 
(m3)],0),"")</f>
        <v/>
      </c>
      <c r="Q468" s="2">
        <f>_xlfn.XLOOKUP(BD_Receitas[[#This Row],[ID]],TabCondicoesComerciais[ID],TabCondicoesComerciais[Vol. 1ºGiro],0)</f>
        <v>1070</v>
      </c>
      <c r="R4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468" s="1">
        <f xml:space="preserve"> IF(BD_Receitas[[#This Row],[TIPO DE COBRANÇA]]="Operação Normal",
_xlfn.XLOOKUP(BD_Receitas[[#This Row],[ID]],TabCondicoesComerciais[ID],TabCondicoesComerciais[Tarifa 2º Giro],0),0)</f>
        <v>0</v>
      </c>
      <c r="T4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69" spans="1:24" hidden="1" x14ac:dyDescent="0.35">
      <c r="A469" s="3" t="s">
        <v>177</v>
      </c>
      <c r="B469" s="11">
        <v>45870</v>
      </c>
      <c r="C469" t="s">
        <v>31</v>
      </c>
      <c r="D469" t="s">
        <v>62</v>
      </c>
      <c r="E469" t="s">
        <v>33</v>
      </c>
      <c r="F469" s="10" t="s">
        <v>46</v>
      </c>
      <c r="G469" s="3" t="s">
        <v>87</v>
      </c>
      <c r="H469" s="3" t="s">
        <v>9</v>
      </c>
      <c r="I469" s="3" t="s">
        <v>15</v>
      </c>
      <c r="J469" s="1">
        <v>65348.32</v>
      </c>
      <c r="K469" s="12">
        <v>1926</v>
      </c>
      <c r="L469" s="1">
        <v>62864.633999999998</v>
      </c>
      <c r="M469" s="12">
        <v>1445.9490000000001</v>
      </c>
      <c r="N469" t="s">
        <v>190</v>
      </c>
      <c r="O469"/>
      <c r="P469" s="2">
        <f>IF(BD_Receitas[[#This Row],[TIPO DE COBRANÇA]]="Operação Normal",
_xlfn.XLOOKUP(BD_Receitas[[#This Row],[ID]],TabCondicoesComerciais[ID],TabCondicoesComerciais[Volume mínimo 
(m3)],0),"")</f>
        <v>3210</v>
      </c>
      <c r="Q469" s="2">
        <f>_xlfn.XLOOKUP(BD_Receitas[[#This Row],[ID]],TabCondicoesComerciais[ID],TabCondicoesComerciais[Vol. 1ºGiro],0)</f>
        <v>1070</v>
      </c>
      <c r="R4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469" s="1">
        <f xml:space="preserve"> IF(BD_Receitas[[#This Row],[TIPO DE COBRANÇA]]="Operação Normal",
_xlfn.XLOOKUP(BD_Receitas[[#This Row],[ID]],TabCondicoesComerciais[ID],TabCondicoesComerciais[Tarifa 2º Giro],0),0)</f>
        <v>32.64</v>
      </c>
      <c r="T469" s="5">
        <f>IFERROR(IF(BD_Receitas[[#This Row],[TIPO DE COBRANÇA]]&lt;&gt;"Operação Normal","",BD_Receitas[[#This Row],[Valor Total R$]]/ MAX(BD_Receitas[[#This Row],[Vol. Movimentado M³]],
BD_Receitas[[#This Row],[Volume Mínimo ]])
),0)</f>
        <v>19.58399813084112</v>
      </c>
      <c r="U46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48.997566304205741</v>
      </c>
      <c r="V46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46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47195.775360000007</v>
      </c>
      <c r="X4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70" spans="1:24" hidden="1" x14ac:dyDescent="0.35">
      <c r="A470" s="3" t="s">
        <v>177</v>
      </c>
      <c r="B470" s="11">
        <v>45870</v>
      </c>
      <c r="C470" t="s">
        <v>31</v>
      </c>
      <c r="D470" t="s">
        <v>62</v>
      </c>
      <c r="E470" t="s">
        <v>33</v>
      </c>
      <c r="F470" s="10" t="s">
        <v>46</v>
      </c>
      <c r="G470" s="3" t="s">
        <v>87</v>
      </c>
      <c r="H470" s="3" t="s">
        <v>9</v>
      </c>
      <c r="I470" s="3" t="s">
        <v>65</v>
      </c>
      <c r="J470" s="1">
        <v>0</v>
      </c>
      <c r="K470" s="12">
        <v>0</v>
      </c>
      <c r="L470" s="1">
        <v>5496</v>
      </c>
      <c r="M470" s="12">
        <v>0</v>
      </c>
      <c r="N470" t="s">
        <v>190</v>
      </c>
      <c r="O470"/>
      <c r="P470" s="2" t="str">
        <f>IF(BD_Receitas[[#This Row],[TIPO DE COBRANÇA]]="Operação Normal",
_xlfn.XLOOKUP(BD_Receitas[[#This Row],[ID]],TabCondicoesComerciais[ID],TabCondicoesComerciais[Volume mínimo 
(m3)],0),"")</f>
        <v/>
      </c>
      <c r="Q470" s="2">
        <f>_xlfn.XLOOKUP(BD_Receitas[[#This Row],[ID]],TabCondicoesComerciais[ID],TabCondicoesComerciais[Vol. 1ºGiro],0)</f>
        <v>1070</v>
      </c>
      <c r="R4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70" s="1">
        <f xml:space="preserve"> IF(BD_Receitas[[#This Row],[TIPO DE COBRANÇA]]="Operação Normal",
_xlfn.XLOOKUP(BD_Receitas[[#This Row],[ID]],TabCondicoesComerciais[ID],TabCondicoesComerciais[Tarifa 2º Giro],0),0)</f>
        <v>0</v>
      </c>
      <c r="T4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1" spans="1:24" hidden="1" x14ac:dyDescent="0.35">
      <c r="A471" s="3" t="s">
        <v>200</v>
      </c>
      <c r="B471" s="11">
        <v>45870</v>
      </c>
      <c r="C471" t="s">
        <v>31</v>
      </c>
      <c r="D471" t="s">
        <v>203</v>
      </c>
      <c r="E471" t="s">
        <v>32</v>
      </c>
      <c r="F471" s="10" t="s">
        <v>25</v>
      </c>
      <c r="G471" s="3" t="s">
        <v>12</v>
      </c>
      <c r="H471" s="3" t="s">
        <v>10</v>
      </c>
      <c r="I471" s="3" t="s">
        <v>7</v>
      </c>
      <c r="J471" s="1">
        <v>0</v>
      </c>
      <c r="K471" s="12">
        <v>0</v>
      </c>
      <c r="L471" s="1">
        <v>3643.47</v>
      </c>
      <c r="M471" s="12">
        <v>130.124</v>
      </c>
      <c r="N471" t="s">
        <v>163</v>
      </c>
      <c r="O471" t="s">
        <v>129</v>
      </c>
      <c r="P471" s="2" t="str">
        <f>IF(BD_Receitas[[#This Row],[TIPO DE COBRANÇA]]="Operação Normal",
_xlfn.XLOOKUP(BD_Receitas[[#This Row],[ID]],TabCondicoesComerciais[ID],TabCondicoesComerciais[Volume mínimo 
(m3)],0),"")</f>
        <v/>
      </c>
      <c r="Q471" s="2">
        <f>_xlfn.XLOOKUP(BD_Receitas[[#This Row],[ID]],TabCondicoesComerciais[ID],TabCondicoesComerciais[Vol. 1ºGiro],0)</f>
        <v>2000</v>
      </c>
      <c r="R4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71" s="1">
        <f xml:space="preserve"> IF(BD_Receitas[[#This Row],[TIPO DE COBRANÇA]]="Operação Normal",
_xlfn.XLOOKUP(BD_Receitas[[#This Row],[ID]],TabCondicoesComerciais[ID],TabCondicoesComerciais[Tarifa 2º Giro],0),0)</f>
        <v>0</v>
      </c>
      <c r="T47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2" spans="1:24" hidden="1" x14ac:dyDescent="0.35">
      <c r="A472" s="3" t="s">
        <v>200</v>
      </c>
      <c r="B472" s="11">
        <v>45870</v>
      </c>
      <c r="C472" t="s">
        <v>31</v>
      </c>
      <c r="D472" t="s">
        <v>203</v>
      </c>
      <c r="E472" t="s">
        <v>32</v>
      </c>
      <c r="F472" s="10" t="s">
        <v>25</v>
      </c>
      <c r="G472" s="3" t="s">
        <v>12</v>
      </c>
      <c r="H472" s="3" t="s">
        <v>10</v>
      </c>
      <c r="I472" s="3" t="s">
        <v>7</v>
      </c>
      <c r="J472" s="1">
        <v>0</v>
      </c>
      <c r="K472" s="12">
        <v>0</v>
      </c>
      <c r="L472" s="1">
        <v>3643.47</v>
      </c>
      <c r="M472" s="12">
        <v>130.124</v>
      </c>
      <c r="N472" t="s">
        <v>163</v>
      </c>
      <c r="O472" t="s">
        <v>129</v>
      </c>
      <c r="P472" s="2" t="str">
        <f>IF(BD_Receitas[[#This Row],[TIPO DE COBRANÇA]]="Operação Normal",
_xlfn.XLOOKUP(BD_Receitas[[#This Row],[ID]],TabCondicoesComerciais[ID],TabCondicoesComerciais[Volume mínimo 
(m3)],0),"")</f>
        <v/>
      </c>
      <c r="Q472" s="2">
        <f>_xlfn.XLOOKUP(BD_Receitas[[#This Row],[ID]],TabCondicoesComerciais[ID],TabCondicoesComerciais[Vol. 1ºGiro],0)</f>
        <v>2000</v>
      </c>
      <c r="R4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72" s="1">
        <f xml:space="preserve"> IF(BD_Receitas[[#This Row],[TIPO DE COBRANÇA]]="Operação Normal",
_xlfn.XLOOKUP(BD_Receitas[[#This Row],[ID]],TabCondicoesComerciais[ID],TabCondicoesComerciais[Tarifa 2º Giro],0),0)</f>
        <v>0</v>
      </c>
      <c r="T4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3" spans="1:24" hidden="1" x14ac:dyDescent="0.35">
      <c r="A473" s="3" t="s">
        <v>200</v>
      </c>
      <c r="B473" s="11">
        <v>45870</v>
      </c>
      <c r="C473" t="s">
        <v>31</v>
      </c>
      <c r="D473" t="s">
        <v>203</v>
      </c>
      <c r="E473" t="s">
        <v>32</v>
      </c>
      <c r="F473" s="10" t="s">
        <v>25</v>
      </c>
      <c r="G473" s="3" t="s">
        <v>12</v>
      </c>
      <c r="H473" s="3" t="s">
        <v>10</v>
      </c>
      <c r="I473" s="3" t="s">
        <v>7</v>
      </c>
      <c r="J473" s="1">
        <v>0</v>
      </c>
      <c r="K473" s="12">
        <v>0</v>
      </c>
      <c r="L473" s="1">
        <v>3643.47</v>
      </c>
      <c r="M473" s="12">
        <v>130.124</v>
      </c>
      <c r="N473" t="s">
        <v>163</v>
      </c>
      <c r="O473" t="s">
        <v>129</v>
      </c>
      <c r="P473" s="2" t="str">
        <f>IF(BD_Receitas[[#This Row],[TIPO DE COBRANÇA]]="Operação Normal",
_xlfn.XLOOKUP(BD_Receitas[[#This Row],[ID]],TabCondicoesComerciais[ID],TabCondicoesComerciais[Volume mínimo 
(m3)],0),"")</f>
        <v/>
      </c>
      <c r="Q473" s="2">
        <f>_xlfn.XLOOKUP(BD_Receitas[[#This Row],[ID]],TabCondicoesComerciais[ID],TabCondicoesComerciais[Vol. 1ºGiro],0)</f>
        <v>2000</v>
      </c>
      <c r="R4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73" s="1">
        <f xml:space="preserve"> IF(BD_Receitas[[#This Row],[TIPO DE COBRANÇA]]="Operação Normal",
_xlfn.XLOOKUP(BD_Receitas[[#This Row],[ID]],TabCondicoesComerciais[ID],TabCondicoesComerciais[Tarifa 2º Giro],0),0)</f>
        <v>0</v>
      </c>
      <c r="T4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4" spans="1:24" hidden="1" x14ac:dyDescent="0.35">
      <c r="A474" s="3" t="s">
        <v>200</v>
      </c>
      <c r="B474" s="11">
        <v>45870</v>
      </c>
      <c r="C474" t="s">
        <v>31</v>
      </c>
      <c r="D474" t="s">
        <v>203</v>
      </c>
      <c r="E474" t="s">
        <v>32</v>
      </c>
      <c r="F474" s="10" t="s">
        <v>25</v>
      </c>
      <c r="G474" s="3" t="s">
        <v>12</v>
      </c>
      <c r="H474" s="3" t="s">
        <v>10</v>
      </c>
      <c r="I474" s="3" t="s">
        <v>8</v>
      </c>
      <c r="J474" s="1">
        <v>0</v>
      </c>
      <c r="K474" s="12">
        <v>0</v>
      </c>
      <c r="L474" s="1"/>
      <c r="M474" s="12"/>
      <c r="N474"/>
      <c r="O474"/>
      <c r="P474" s="2" t="str">
        <f>IF(BD_Receitas[[#This Row],[TIPO DE COBRANÇA]]="Operação Normal",
_xlfn.XLOOKUP(BD_Receitas[[#This Row],[ID]],TabCondicoesComerciais[ID],TabCondicoesComerciais[Volume mínimo 
(m3)],0),"")</f>
        <v/>
      </c>
      <c r="Q474" s="2">
        <f>_xlfn.XLOOKUP(BD_Receitas[[#This Row],[ID]],TabCondicoesComerciais[ID],TabCondicoesComerciais[Vol. 1ºGiro],0)</f>
        <v>2000</v>
      </c>
      <c r="R4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474" s="1">
        <f xml:space="preserve"> IF(BD_Receitas[[#This Row],[TIPO DE COBRANÇA]]="Operação Normal",
_xlfn.XLOOKUP(BD_Receitas[[#This Row],[ID]],TabCondicoesComerciais[ID],TabCondicoesComerciais[Tarifa 2º Giro],0),0)</f>
        <v>0</v>
      </c>
      <c r="T4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5" spans="1:24" hidden="1" x14ac:dyDescent="0.35">
      <c r="A475" s="3" t="s">
        <v>200</v>
      </c>
      <c r="B475" s="11">
        <v>45870</v>
      </c>
      <c r="C475" t="s">
        <v>31</v>
      </c>
      <c r="D475" t="s">
        <v>203</v>
      </c>
      <c r="E475" t="s">
        <v>32</v>
      </c>
      <c r="F475" s="10" t="s">
        <v>25</v>
      </c>
      <c r="G475" s="3" t="s">
        <v>12</v>
      </c>
      <c r="H475" s="3" t="s">
        <v>10</v>
      </c>
      <c r="I475" s="3" t="s">
        <v>15</v>
      </c>
      <c r="J475" s="1">
        <v>0</v>
      </c>
      <c r="K475" s="12">
        <v>0</v>
      </c>
      <c r="L475" s="1">
        <v>251935.2</v>
      </c>
      <c r="M475" s="12">
        <v>12596.76</v>
      </c>
      <c r="N475" t="s">
        <v>163</v>
      </c>
      <c r="O475" t="s">
        <v>155</v>
      </c>
      <c r="P475" s="2">
        <f>IF(BD_Receitas[[#This Row],[TIPO DE COBRANÇA]]="Operação Normal",
_xlfn.XLOOKUP(BD_Receitas[[#This Row],[ID]],TabCondicoesComerciais[ID],TabCondicoesComerciais[Volume mínimo 
(m3)],0),"")</f>
        <v>8000</v>
      </c>
      <c r="Q475" s="2">
        <f>_xlfn.XLOOKUP(BD_Receitas[[#This Row],[ID]],TabCondicoesComerciais[ID],TabCondicoesComerciais[Vol. 1ºGiro],0)</f>
        <v>2000</v>
      </c>
      <c r="R4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75" s="1">
        <f xml:space="preserve"> IF(BD_Receitas[[#This Row],[TIPO DE COBRANÇA]]="Operação Normal",
_xlfn.XLOOKUP(BD_Receitas[[#This Row],[ID]],TabCondicoesComerciais[ID],TabCondicoesComerciais[Tarifa 2º Giro],0),0)</f>
        <v>20</v>
      </c>
      <c r="T47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4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60.867715984110198</v>
      </c>
      <c r="V4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251935.2</v>
      </c>
      <c r="X4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76" spans="1:24" hidden="1" x14ac:dyDescent="0.35">
      <c r="A476" s="3" t="s">
        <v>200</v>
      </c>
      <c r="B476" s="11">
        <v>45870</v>
      </c>
      <c r="C476" t="s">
        <v>31</v>
      </c>
      <c r="D476" t="s">
        <v>203</v>
      </c>
      <c r="E476" t="s">
        <v>32</v>
      </c>
      <c r="F476" s="10" t="s">
        <v>25</v>
      </c>
      <c r="G476" s="3" t="s">
        <v>12</v>
      </c>
      <c r="H476" s="3" t="s">
        <v>10</v>
      </c>
      <c r="I476" s="3" t="s">
        <v>15</v>
      </c>
      <c r="J476" s="1">
        <v>0</v>
      </c>
      <c r="K476" s="12">
        <v>0</v>
      </c>
      <c r="L476" s="1">
        <v>251935.2</v>
      </c>
      <c r="M476" s="12">
        <v>12596.76</v>
      </c>
      <c r="N476" t="s">
        <v>163</v>
      </c>
      <c r="O476" t="s">
        <v>155</v>
      </c>
      <c r="P476" s="2">
        <f>IF(BD_Receitas[[#This Row],[TIPO DE COBRANÇA]]="Operação Normal",
_xlfn.XLOOKUP(BD_Receitas[[#This Row],[ID]],TabCondicoesComerciais[ID],TabCondicoesComerciais[Volume mínimo 
(m3)],0),"")</f>
        <v>8000</v>
      </c>
      <c r="Q476" s="2">
        <f>_xlfn.XLOOKUP(BD_Receitas[[#This Row],[ID]],TabCondicoesComerciais[ID],TabCondicoesComerciais[Vol. 1ºGiro],0)</f>
        <v>2000</v>
      </c>
      <c r="R4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76" s="1">
        <f xml:space="preserve"> IF(BD_Receitas[[#This Row],[TIPO DE COBRANÇA]]="Operação Normal",
_xlfn.XLOOKUP(BD_Receitas[[#This Row],[ID]],TabCondicoesComerciais[ID],TabCondicoesComerciais[Tarifa 2º Giro],0),0)</f>
        <v>20</v>
      </c>
      <c r="T476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47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60.867715984110198</v>
      </c>
      <c r="V47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7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251935.2</v>
      </c>
      <c r="X4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77" spans="1:24" hidden="1" x14ac:dyDescent="0.35">
      <c r="A477" s="3" t="s">
        <v>200</v>
      </c>
      <c r="B477" s="11">
        <v>45870</v>
      </c>
      <c r="C477" t="s">
        <v>31</v>
      </c>
      <c r="D477" t="s">
        <v>203</v>
      </c>
      <c r="E477" t="s">
        <v>32</v>
      </c>
      <c r="F477" s="10" t="s">
        <v>25</v>
      </c>
      <c r="G477" s="3" t="s">
        <v>12</v>
      </c>
      <c r="H477" s="3" t="s">
        <v>10</v>
      </c>
      <c r="I477" s="3" t="s">
        <v>15</v>
      </c>
      <c r="J477" s="1">
        <v>0</v>
      </c>
      <c r="K477" s="12">
        <v>0</v>
      </c>
      <c r="L477" s="1">
        <v>251935.2</v>
      </c>
      <c r="M477" s="12">
        <v>12596.76</v>
      </c>
      <c r="N477" t="s">
        <v>163</v>
      </c>
      <c r="O477" t="s">
        <v>155</v>
      </c>
      <c r="P477" s="2">
        <f>IF(BD_Receitas[[#This Row],[TIPO DE COBRANÇA]]="Operação Normal",
_xlfn.XLOOKUP(BD_Receitas[[#This Row],[ID]],TabCondicoesComerciais[ID],TabCondicoesComerciais[Volume mínimo 
(m3)],0),"")</f>
        <v>8000</v>
      </c>
      <c r="Q477" s="2">
        <f>_xlfn.XLOOKUP(BD_Receitas[[#This Row],[ID]],TabCondicoesComerciais[ID],TabCondicoesComerciais[Vol. 1ºGiro],0)</f>
        <v>2000</v>
      </c>
      <c r="R4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477" s="1">
        <f xml:space="preserve"> IF(BD_Receitas[[#This Row],[TIPO DE COBRANÇA]]="Operação Normal",
_xlfn.XLOOKUP(BD_Receitas[[#This Row],[ID]],TabCondicoesComerciais[ID],TabCondicoesComerciais[Tarifa 2º Giro],0),0)</f>
        <v>20</v>
      </c>
      <c r="T477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47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60.867715984110198</v>
      </c>
      <c r="V47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47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251935.2</v>
      </c>
      <c r="X4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78" spans="1:24" hidden="1" x14ac:dyDescent="0.35">
      <c r="A478" s="3" t="s">
        <v>200</v>
      </c>
      <c r="B478" s="11">
        <v>45870</v>
      </c>
      <c r="C478" t="s">
        <v>31</v>
      </c>
      <c r="D478" t="s">
        <v>203</v>
      </c>
      <c r="E478" t="s">
        <v>32</v>
      </c>
      <c r="F478" s="10" t="s">
        <v>25</v>
      </c>
      <c r="G478" s="3" t="s">
        <v>12</v>
      </c>
      <c r="H478" s="3" t="s">
        <v>10</v>
      </c>
      <c r="I478" s="3" t="s">
        <v>65</v>
      </c>
      <c r="J478" s="1">
        <v>0</v>
      </c>
      <c r="K478" s="12">
        <v>0</v>
      </c>
      <c r="L478" s="1"/>
      <c r="M478" s="12"/>
      <c r="N478"/>
      <c r="O478"/>
      <c r="P478" s="2" t="str">
        <f>IF(BD_Receitas[[#This Row],[TIPO DE COBRANÇA]]="Operação Normal",
_xlfn.XLOOKUP(BD_Receitas[[#This Row],[ID]],TabCondicoesComerciais[ID],TabCondicoesComerciais[Volume mínimo 
(m3)],0),"")</f>
        <v/>
      </c>
      <c r="Q478" s="2">
        <f>_xlfn.XLOOKUP(BD_Receitas[[#This Row],[ID]],TabCondicoesComerciais[ID],TabCondicoesComerciais[Vol. 1ºGiro],0)</f>
        <v>2000</v>
      </c>
      <c r="R4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78" s="1">
        <f xml:space="preserve"> IF(BD_Receitas[[#This Row],[TIPO DE COBRANÇA]]="Operação Normal",
_xlfn.XLOOKUP(BD_Receitas[[#This Row],[ID]],TabCondicoesComerciais[ID],TabCondicoesComerciais[Tarifa 2º Giro],0),0)</f>
        <v>0</v>
      </c>
      <c r="T4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79" spans="1:24" hidden="1" x14ac:dyDescent="0.35">
      <c r="A479" s="3" t="s">
        <v>264</v>
      </c>
      <c r="B479" s="11">
        <v>45870</v>
      </c>
      <c r="C479" t="s">
        <v>31</v>
      </c>
      <c r="D479" t="s">
        <v>203</v>
      </c>
      <c r="E479" t="s">
        <v>32</v>
      </c>
      <c r="F479" s="10" t="s">
        <v>25</v>
      </c>
      <c r="G479" s="3" t="s">
        <v>12</v>
      </c>
      <c r="H479" s="3" t="s">
        <v>9</v>
      </c>
      <c r="I479" s="3" t="s">
        <v>7</v>
      </c>
      <c r="J479" s="1">
        <v>0</v>
      </c>
      <c r="K479" s="12">
        <v>0</v>
      </c>
      <c r="L479" s="1">
        <v>2627.22</v>
      </c>
      <c r="M479" s="12">
        <v>291.91399999999999</v>
      </c>
      <c r="N479" t="s">
        <v>246</v>
      </c>
      <c r="O479" t="s">
        <v>129</v>
      </c>
      <c r="P479" s="2" t="str">
        <f>IF(BD_Receitas[[#This Row],[TIPO DE COBRANÇA]]="Operação Normal",
_xlfn.XLOOKUP(BD_Receitas[[#This Row],[ID]],TabCondicoesComerciais[ID],TabCondicoesComerciais[Volume mínimo 
(m3)],0),"")</f>
        <v/>
      </c>
      <c r="Q479" s="2">
        <f>_xlfn.XLOOKUP(BD_Receitas[[#This Row],[ID]],TabCondicoesComerciais[ID],TabCondicoesComerciais[Vol. 1ºGiro],0)</f>
        <v>1125</v>
      </c>
      <c r="R4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79" s="1">
        <f xml:space="preserve"> IF(BD_Receitas[[#This Row],[TIPO DE COBRANÇA]]="Operação Normal",
_xlfn.XLOOKUP(BD_Receitas[[#This Row],[ID]],TabCondicoesComerciais[ID],TabCondicoesComerciais[Tarifa 2º Giro],0),0)</f>
        <v>0</v>
      </c>
      <c r="T4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0" spans="1:24" hidden="1" x14ac:dyDescent="0.35">
      <c r="A480" s="3" t="s">
        <v>264</v>
      </c>
      <c r="B480" s="11">
        <v>45870</v>
      </c>
      <c r="C480" t="s">
        <v>31</v>
      </c>
      <c r="D480" t="s">
        <v>203</v>
      </c>
      <c r="E480" t="s">
        <v>32</v>
      </c>
      <c r="F480" s="10" t="s">
        <v>25</v>
      </c>
      <c r="G480" s="3" t="s">
        <v>12</v>
      </c>
      <c r="H480" s="3" t="s">
        <v>9</v>
      </c>
      <c r="I480" s="3" t="s">
        <v>7</v>
      </c>
      <c r="J480" s="1">
        <v>0</v>
      </c>
      <c r="K480" s="12">
        <v>0</v>
      </c>
      <c r="L480" s="1">
        <v>2627.22</v>
      </c>
      <c r="M480" s="12">
        <v>291.91399999999999</v>
      </c>
      <c r="N480" t="s">
        <v>246</v>
      </c>
      <c r="O480" t="s">
        <v>129</v>
      </c>
      <c r="P480" s="2" t="str">
        <f>IF(BD_Receitas[[#This Row],[TIPO DE COBRANÇA]]="Operação Normal",
_xlfn.XLOOKUP(BD_Receitas[[#This Row],[ID]],TabCondicoesComerciais[ID],TabCondicoesComerciais[Volume mínimo 
(m3)],0),"")</f>
        <v/>
      </c>
      <c r="Q480" s="2">
        <f>_xlfn.XLOOKUP(BD_Receitas[[#This Row],[ID]],TabCondicoesComerciais[ID],TabCondicoesComerciais[Vol. 1ºGiro],0)</f>
        <v>1125</v>
      </c>
      <c r="R4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80" s="1">
        <f xml:space="preserve"> IF(BD_Receitas[[#This Row],[TIPO DE COBRANÇA]]="Operação Normal",
_xlfn.XLOOKUP(BD_Receitas[[#This Row],[ID]],TabCondicoesComerciais[ID],TabCondicoesComerciais[Tarifa 2º Giro],0),0)</f>
        <v>0</v>
      </c>
      <c r="T4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1" spans="1:24" hidden="1" x14ac:dyDescent="0.35">
      <c r="A481" s="3" t="s">
        <v>264</v>
      </c>
      <c r="B481" s="11">
        <v>45870</v>
      </c>
      <c r="C481" t="s">
        <v>31</v>
      </c>
      <c r="D481" t="s">
        <v>203</v>
      </c>
      <c r="E481" t="s">
        <v>32</v>
      </c>
      <c r="F481" s="10" t="s">
        <v>25</v>
      </c>
      <c r="G481" s="3" t="s">
        <v>12</v>
      </c>
      <c r="H481" s="3" t="s">
        <v>9</v>
      </c>
      <c r="I481" s="3" t="s">
        <v>7</v>
      </c>
      <c r="J481" s="1">
        <v>0</v>
      </c>
      <c r="K481" s="12">
        <v>0</v>
      </c>
      <c r="L481" s="1">
        <v>2627.22</v>
      </c>
      <c r="M481" s="12">
        <v>291.91399999999999</v>
      </c>
      <c r="N481" t="s">
        <v>246</v>
      </c>
      <c r="O481" t="s">
        <v>129</v>
      </c>
      <c r="P481" s="2" t="str">
        <f>IF(BD_Receitas[[#This Row],[TIPO DE COBRANÇA]]="Operação Normal",
_xlfn.XLOOKUP(BD_Receitas[[#This Row],[ID]],TabCondicoesComerciais[ID],TabCondicoesComerciais[Volume mínimo 
(m3)],0),"")</f>
        <v/>
      </c>
      <c r="Q481" s="2">
        <f>_xlfn.XLOOKUP(BD_Receitas[[#This Row],[ID]],TabCondicoesComerciais[ID],TabCondicoesComerciais[Vol. 1ºGiro],0)</f>
        <v>1125</v>
      </c>
      <c r="R4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81" s="1">
        <f xml:space="preserve"> IF(BD_Receitas[[#This Row],[TIPO DE COBRANÇA]]="Operação Normal",
_xlfn.XLOOKUP(BD_Receitas[[#This Row],[ID]],TabCondicoesComerciais[ID],TabCondicoesComerciais[Tarifa 2º Giro],0),0)</f>
        <v>0</v>
      </c>
      <c r="T4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2" spans="1:24" hidden="1" x14ac:dyDescent="0.35">
      <c r="A482" s="3" t="s">
        <v>264</v>
      </c>
      <c r="B482" s="11">
        <v>45870</v>
      </c>
      <c r="C482" t="s">
        <v>31</v>
      </c>
      <c r="D482" t="s">
        <v>203</v>
      </c>
      <c r="E482" t="s">
        <v>32</v>
      </c>
      <c r="F482" s="10" t="s">
        <v>25</v>
      </c>
      <c r="G482" s="3" t="s">
        <v>12</v>
      </c>
      <c r="H482" s="3" t="s">
        <v>9</v>
      </c>
      <c r="I482" s="3" t="s">
        <v>8</v>
      </c>
      <c r="J482" s="1">
        <v>0</v>
      </c>
      <c r="K482" s="12">
        <v>0</v>
      </c>
      <c r="L482" s="1"/>
      <c r="M482" s="12"/>
      <c r="N482"/>
      <c r="O482"/>
      <c r="P482" s="2" t="str">
        <f>IF(BD_Receitas[[#This Row],[TIPO DE COBRANÇA]]="Operação Normal",
_xlfn.XLOOKUP(BD_Receitas[[#This Row],[ID]],TabCondicoesComerciais[ID],TabCondicoesComerciais[Volume mínimo 
(m3)],0),"")</f>
        <v/>
      </c>
      <c r="Q482" s="2">
        <f>_xlfn.XLOOKUP(BD_Receitas[[#This Row],[ID]],TabCondicoesComerciais[ID],TabCondicoesComerciais[Vol. 1ºGiro],0)</f>
        <v>1125</v>
      </c>
      <c r="R4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482" s="1">
        <f xml:space="preserve"> IF(BD_Receitas[[#This Row],[TIPO DE COBRANÇA]]="Operação Normal",
_xlfn.XLOOKUP(BD_Receitas[[#This Row],[ID]],TabCondicoesComerciais[ID],TabCondicoesComerciais[Tarifa 2º Giro],0),0)</f>
        <v>0</v>
      </c>
      <c r="T4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3" spans="1:24" hidden="1" x14ac:dyDescent="0.35">
      <c r="A483" s="3" t="s">
        <v>264</v>
      </c>
      <c r="B483" s="11">
        <v>45870</v>
      </c>
      <c r="C483" t="s">
        <v>31</v>
      </c>
      <c r="D483" t="s">
        <v>203</v>
      </c>
      <c r="E483" t="s">
        <v>32</v>
      </c>
      <c r="F483" s="10" t="s">
        <v>25</v>
      </c>
      <c r="G483" s="3" t="s">
        <v>12</v>
      </c>
      <c r="H483" s="3" t="s">
        <v>9</v>
      </c>
      <c r="I483" s="3" t="s">
        <v>15</v>
      </c>
      <c r="J483" s="1">
        <v>165115.51999999999</v>
      </c>
      <c r="K483" s="12">
        <v>5625</v>
      </c>
      <c r="L483" s="1">
        <v>165859</v>
      </c>
      <c r="M483" s="12">
        <v>4858.9610000000002</v>
      </c>
      <c r="N483" t="s">
        <v>246</v>
      </c>
      <c r="O483" t="s">
        <v>155</v>
      </c>
      <c r="P483" s="2">
        <f>IF(BD_Receitas[[#This Row],[TIPO DE COBRANÇA]]="Operação Normal",
_xlfn.XLOOKUP(BD_Receitas[[#This Row],[ID]],TabCondicoesComerciais[ID],TabCondicoesComerciais[Volume mínimo 
(m3)],0),"")</f>
        <v>5625</v>
      </c>
      <c r="Q483" s="2">
        <f>_xlfn.XLOOKUP(BD_Receitas[[#This Row],[ID]],TabCondicoesComerciais[ID],TabCondicoesComerciais[Vol. 1ºGiro],0)</f>
        <v>1125</v>
      </c>
      <c r="R4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83" s="1">
        <f xml:space="preserve"> IF(BD_Receitas[[#This Row],[TIPO DE COBRANÇA]]="Operação Normal",
_xlfn.XLOOKUP(BD_Receitas[[#This Row],[ID]],TabCondicoesComerciais[ID],TabCondicoesComerciais[Tarifa 2º Giro],0),0)</f>
        <v>27.19</v>
      </c>
      <c r="T483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4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104.02607882631699</v>
      </c>
      <c r="V4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132115.14959000002</v>
      </c>
      <c r="X4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84" spans="1:24" hidden="1" x14ac:dyDescent="0.35">
      <c r="A484" s="3" t="s">
        <v>264</v>
      </c>
      <c r="B484" s="11">
        <v>45870</v>
      </c>
      <c r="C484" t="s">
        <v>31</v>
      </c>
      <c r="D484" t="s">
        <v>203</v>
      </c>
      <c r="E484" t="s">
        <v>32</v>
      </c>
      <c r="F484" s="10" t="s">
        <v>25</v>
      </c>
      <c r="G484" s="3" t="s">
        <v>12</v>
      </c>
      <c r="H484" s="3" t="s">
        <v>9</v>
      </c>
      <c r="I484" s="3" t="s">
        <v>15</v>
      </c>
      <c r="J484" s="1">
        <v>165115.51999999999</v>
      </c>
      <c r="K484" s="12">
        <v>5625</v>
      </c>
      <c r="L484" s="1">
        <v>165859</v>
      </c>
      <c r="M484" s="12">
        <v>6100</v>
      </c>
      <c r="N484" t="s">
        <v>246</v>
      </c>
      <c r="O484" t="s">
        <v>155</v>
      </c>
      <c r="P484" s="2">
        <f>IF(BD_Receitas[[#This Row],[TIPO DE COBRANÇA]]="Operação Normal",
_xlfn.XLOOKUP(BD_Receitas[[#This Row],[ID]],TabCondicoesComerciais[ID],TabCondicoesComerciais[Volume mínimo 
(m3)],0),"")</f>
        <v>5625</v>
      </c>
      <c r="Q484" s="2">
        <f>_xlfn.XLOOKUP(BD_Receitas[[#This Row],[ID]],TabCondicoesComerciais[ID],TabCondicoesComerciais[Vol. 1ºGiro],0)</f>
        <v>1125</v>
      </c>
      <c r="R4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84" s="1">
        <f xml:space="preserve"> IF(BD_Receitas[[#This Row],[TIPO DE COBRANÇA]]="Operação Normal",
_xlfn.XLOOKUP(BD_Receitas[[#This Row],[ID]],TabCondicoesComerciais[ID],TabCondicoesComerciais[Tarifa 2º Giro],0),0)</f>
        <v>27.19</v>
      </c>
      <c r="T484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48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82.862075409836066</v>
      </c>
      <c r="V48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8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4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85" spans="1:24" hidden="1" x14ac:dyDescent="0.35">
      <c r="A485" s="3" t="s">
        <v>264</v>
      </c>
      <c r="B485" s="11">
        <v>45870</v>
      </c>
      <c r="C485" t="s">
        <v>31</v>
      </c>
      <c r="D485" t="s">
        <v>203</v>
      </c>
      <c r="E485" t="s">
        <v>32</v>
      </c>
      <c r="F485" s="10" t="s">
        <v>25</v>
      </c>
      <c r="G485" s="3" t="s">
        <v>12</v>
      </c>
      <c r="H485" s="3" t="s">
        <v>9</v>
      </c>
      <c r="I485" s="3" t="s">
        <v>15</v>
      </c>
      <c r="J485" s="1">
        <v>165115.51999999999</v>
      </c>
      <c r="K485" s="12">
        <v>5625</v>
      </c>
      <c r="L485" s="1">
        <v>165859</v>
      </c>
      <c r="M485" s="12">
        <v>6100</v>
      </c>
      <c r="N485" t="s">
        <v>246</v>
      </c>
      <c r="O485" t="s">
        <v>155</v>
      </c>
      <c r="P485" s="2">
        <f>IF(BD_Receitas[[#This Row],[TIPO DE COBRANÇA]]="Operação Normal",
_xlfn.XLOOKUP(BD_Receitas[[#This Row],[ID]],TabCondicoesComerciais[ID],TabCondicoesComerciais[Volume mínimo 
(m3)],0),"")</f>
        <v>5625</v>
      </c>
      <c r="Q485" s="2">
        <f>_xlfn.XLOOKUP(BD_Receitas[[#This Row],[ID]],TabCondicoesComerciais[ID],TabCondicoesComerciais[Vol. 1ºGiro],0)</f>
        <v>1125</v>
      </c>
      <c r="R4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485" s="1">
        <f xml:space="preserve"> IF(BD_Receitas[[#This Row],[TIPO DE COBRANÇA]]="Operação Normal",
_xlfn.XLOOKUP(BD_Receitas[[#This Row],[ID]],TabCondicoesComerciais[ID],TabCondicoesComerciais[Tarifa 2º Giro],0),0)</f>
        <v>27.19</v>
      </c>
      <c r="T485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48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82.862075409836066</v>
      </c>
      <c r="V48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48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4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486" spans="1:24" hidden="1" x14ac:dyDescent="0.35">
      <c r="A486" s="3" t="s">
        <v>264</v>
      </c>
      <c r="B486" s="11">
        <v>45870</v>
      </c>
      <c r="C486" t="s">
        <v>31</v>
      </c>
      <c r="D486" t="s">
        <v>203</v>
      </c>
      <c r="E486" t="s">
        <v>32</v>
      </c>
      <c r="F486" s="10" t="s">
        <v>25</v>
      </c>
      <c r="G486" s="3" t="s">
        <v>12</v>
      </c>
      <c r="H486" s="3" t="s">
        <v>9</v>
      </c>
      <c r="I486" s="3" t="s">
        <v>65</v>
      </c>
      <c r="J486" s="1">
        <v>0</v>
      </c>
      <c r="K486" s="12">
        <v>0</v>
      </c>
      <c r="L486" s="1"/>
      <c r="M486" s="12"/>
      <c r="N486"/>
      <c r="O486"/>
      <c r="P486" s="2" t="str">
        <f>IF(BD_Receitas[[#This Row],[TIPO DE COBRANÇA]]="Operação Normal",
_xlfn.XLOOKUP(BD_Receitas[[#This Row],[ID]],TabCondicoesComerciais[ID],TabCondicoesComerciais[Volume mínimo 
(m3)],0),"")</f>
        <v/>
      </c>
      <c r="Q486" s="2">
        <f>_xlfn.XLOOKUP(BD_Receitas[[#This Row],[ID]],TabCondicoesComerciais[ID],TabCondicoesComerciais[Vol. 1ºGiro],0)</f>
        <v>1125</v>
      </c>
      <c r="R4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86" s="1">
        <f xml:space="preserve"> IF(BD_Receitas[[#This Row],[TIPO DE COBRANÇA]]="Operação Normal",
_xlfn.XLOOKUP(BD_Receitas[[#This Row],[ID]],TabCondicoesComerciais[ID],TabCondicoesComerciais[Tarifa 2º Giro],0),0)</f>
        <v>0</v>
      </c>
      <c r="T4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7" spans="1:24" hidden="1" x14ac:dyDescent="0.35">
      <c r="A487" s="3" t="s">
        <v>169</v>
      </c>
      <c r="B487" s="11">
        <v>45870</v>
      </c>
      <c r="C487" t="s">
        <v>31</v>
      </c>
      <c r="D487" t="s">
        <v>203</v>
      </c>
      <c r="E487" t="s">
        <v>32</v>
      </c>
      <c r="F487" s="10" t="s">
        <v>25</v>
      </c>
      <c r="G487" s="3" t="s">
        <v>12</v>
      </c>
      <c r="H487" s="3" t="s">
        <v>170</v>
      </c>
      <c r="I487" s="3" t="s">
        <v>7</v>
      </c>
      <c r="J487" s="1">
        <v>0</v>
      </c>
      <c r="K487" s="12">
        <v>0</v>
      </c>
      <c r="L487" s="1"/>
      <c r="M487" s="12"/>
      <c r="N487"/>
      <c r="O487"/>
      <c r="P487" s="2" t="str">
        <f>IF(BD_Receitas[[#This Row],[TIPO DE COBRANÇA]]="Operação Normal",
_xlfn.XLOOKUP(BD_Receitas[[#This Row],[ID]],TabCondicoesComerciais[ID],TabCondicoesComerciais[Volume mínimo 
(m3)],0),"")</f>
        <v/>
      </c>
      <c r="Q487" s="2">
        <f>_xlfn.XLOOKUP(BD_Receitas[[#This Row],[ID]],TabCondicoesComerciais[ID],TabCondicoesComerciais[Vol. 1ºGiro],0)</f>
        <v>1040</v>
      </c>
      <c r="R4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487" s="1">
        <f xml:space="preserve"> IF(BD_Receitas[[#This Row],[TIPO DE COBRANÇA]]="Operação Normal",
_xlfn.XLOOKUP(BD_Receitas[[#This Row],[ID]],TabCondicoesComerciais[ID],TabCondicoesComerciais[Tarifa 2º Giro],0),0)</f>
        <v>0</v>
      </c>
      <c r="T4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8" spans="1:24" hidden="1" x14ac:dyDescent="0.35">
      <c r="A488" s="3" t="s">
        <v>169</v>
      </c>
      <c r="B488" s="11">
        <v>45870</v>
      </c>
      <c r="C488" t="s">
        <v>31</v>
      </c>
      <c r="D488" t="s">
        <v>203</v>
      </c>
      <c r="E488" t="s">
        <v>32</v>
      </c>
      <c r="F488" s="10" t="s">
        <v>25</v>
      </c>
      <c r="G488" s="3" t="s">
        <v>12</v>
      </c>
      <c r="H488" s="3" t="s">
        <v>170</v>
      </c>
      <c r="I488" s="3" t="s">
        <v>8</v>
      </c>
      <c r="J488" s="1">
        <v>0</v>
      </c>
      <c r="K488" s="12">
        <v>0</v>
      </c>
      <c r="L488" s="1"/>
      <c r="M488" s="12"/>
      <c r="N488"/>
      <c r="O488"/>
      <c r="P488" s="2" t="str">
        <f>IF(BD_Receitas[[#This Row],[TIPO DE COBRANÇA]]="Operação Normal",
_xlfn.XLOOKUP(BD_Receitas[[#This Row],[ID]],TabCondicoesComerciais[ID],TabCondicoesComerciais[Volume mínimo 
(m3)],0),"")</f>
        <v/>
      </c>
      <c r="Q488" s="2">
        <f>_xlfn.XLOOKUP(BD_Receitas[[#This Row],[ID]],TabCondicoesComerciais[ID],TabCondicoesComerciais[Vol. 1ºGiro],0)</f>
        <v>1040</v>
      </c>
      <c r="R4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488" s="1">
        <f xml:space="preserve"> IF(BD_Receitas[[#This Row],[TIPO DE COBRANÇA]]="Operação Normal",
_xlfn.XLOOKUP(BD_Receitas[[#This Row],[ID]],TabCondicoesComerciais[ID],TabCondicoesComerciais[Tarifa 2º Giro],0),0)</f>
        <v>0</v>
      </c>
      <c r="T4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89" spans="1:24" hidden="1" x14ac:dyDescent="0.35">
      <c r="A489" s="3" t="s">
        <v>169</v>
      </c>
      <c r="B489" s="11">
        <v>45870</v>
      </c>
      <c r="C489" t="s">
        <v>31</v>
      </c>
      <c r="D489" t="s">
        <v>203</v>
      </c>
      <c r="E489" t="s">
        <v>32</v>
      </c>
      <c r="F489" s="10" t="s">
        <v>25</v>
      </c>
      <c r="G489" s="3" t="s">
        <v>12</v>
      </c>
      <c r="H489" s="3" t="s">
        <v>170</v>
      </c>
      <c r="I489" s="3" t="s">
        <v>15</v>
      </c>
      <c r="J489" s="1">
        <v>123240</v>
      </c>
      <c r="K489" s="12">
        <v>4160</v>
      </c>
      <c r="L489" s="1">
        <v>118310.39999999999</v>
      </c>
      <c r="M489" s="12">
        <v>403.70699999999999</v>
      </c>
      <c r="N489" t="s">
        <v>178</v>
      </c>
      <c r="O489" t="s">
        <v>155</v>
      </c>
      <c r="P489" s="2">
        <f>IF(BD_Receitas[[#This Row],[TIPO DE COBRANÇA]]="Operação Normal",
_xlfn.XLOOKUP(BD_Receitas[[#This Row],[ID]],TabCondicoesComerciais[ID],TabCondicoesComerciais[Volume mínimo 
(m3)],0),"")</f>
        <v>4160</v>
      </c>
      <c r="Q489" s="2">
        <f>_xlfn.XLOOKUP(BD_Receitas[[#This Row],[ID]],TabCondicoesComerciais[ID],TabCondicoesComerciais[Vol. 1ºGiro],0)</f>
        <v>1040</v>
      </c>
      <c r="R4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489" s="1">
        <f xml:space="preserve"> IF(BD_Receitas[[#This Row],[TIPO DE COBRANÇA]]="Operação Normal",
_xlfn.XLOOKUP(BD_Receitas[[#This Row],[ID]],TabCondicoesComerciais[ID],TabCondicoesComerciais[Tarifa 2º Giro],0),0)</f>
        <v>28.44</v>
      </c>
      <c r="T489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48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293.06006583982935</v>
      </c>
      <c r="V48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48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11481.427079999999</v>
      </c>
      <c r="X4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490" spans="1:24" hidden="1" x14ac:dyDescent="0.35">
      <c r="A490" s="3" t="s">
        <v>169</v>
      </c>
      <c r="B490" s="11">
        <v>45870</v>
      </c>
      <c r="C490" t="s">
        <v>31</v>
      </c>
      <c r="D490" t="s">
        <v>203</v>
      </c>
      <c r="E490" t="s">
        <v>32</v>
      </c>
      <c r="F490" s="10" t="s">
        <v>25</v>
      </c>
      <c r="G490" s="3" t="s">
        <v>12</v>
      </c>
      <c r="H490" s="3" t="s">
        <v>170</v>
      </c>
      <c r="I490" s="3" t="s">
        <v>65</v>
      </c>
      <c r="J490" s="1">
        <v>0</v>
      </c>
      <c r="K490" s="12">
        <v>0</v>
      </c>
      <c r="L490" s="1"/>
      <c r="M490" s="12"/>
      <c r="N490"/>
      <c r="O490"/>
      <c r="P490" s="2" t="str">
        <f>IF(BD_Receitas[[#This Row],[TIPO DE COBRANÇA]]="Operação Normal",
_xlfn.XLOOKUP(BD_Receitas[[#This Row],[ID]],TabCondicoesComerciais[ID],TabCondicoesComerciais[Volume mínimo 
(m3)],0),"")</f>
        <v/>
      </c>
      <c r="Q490" s="2">
        <f>_xlfn.XLOOKUP(BD_Receitas[[#This Row],[ID]],TabCondicoesComerciais[ID],TabCondicoesComerciais[Vol. 1ºGiro],0)</f>
        <v>1040</v>
      </c>
      <c r="R4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0" s="1">
        <f xml:space="preserve"> IF(BD_Receitas[[#This Row],[TIPO DE COBRANÇA]]="Operação Normal",
_xlfn.XLOOKUP(BD_Receitas[[#This Row],[ID]],TabCondicoesComerciais[ID],TabCondicoesComerciais[Tarifa 2º Giro],0),0)</f>
        <v>0</v>
      </c>
      <c r="T4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1" spans="1:24" hidden="1" x14ac:dyDescent="0.35">
      <c r="A491" s="3" t="s">
        <v>134</v>
      </c>
      <c r="B491" s="11">
        <v>45870</v>
      </c>
      <c r="C491" t="s">
        <v>31</v>
      </c>
      <c r="D491" t="s">
        <v>62</v>
      </c>
      <c r="E491" t="s">
        <v>37</v>
      </c>
      <c r="F491" s="10" t="s">
        <v>57</v>
      </c>
      <c r="G491" s="3" t="s">
        <v>58</v>
      </c>
      <c r="H491" s="3" t="s">
        <v>10</v>
      </c>
      <c r="I491" s="3" t="s">
        <v>7</v>
      </c>
      <c r="J491" s="1">
        <v>0</v>
      </c>
      <c r="K491" s="12">
        <v>0</v>
      </c>
      <c r="L491" s="1"/>
      <c r="M491" s="12"/>
      <c r="N491"/>
      <c r="O491"/>
      <c r="P491" s="2" t="str">
        <f>IF(BD_Receitas[[#This Row],[TIPO DE COBRANÇA]]="Operação Normal",
_xlfn.XLOOKUP(BD_Receitas[[#This Row],[ID]],TabCondicoesComerciais[ID],TabCondicoesComerciais[Volume mínimo 
(m3)],0),"")</f>
        <v/>
      </c>
      <c r="Q491" s="2">
        <f>_xlfn.XLOOKUP(BD_Receitas[[#This Row],[ID]],TabCondicoesComerciais[ID],TabCondicoesComerciais[Vol. 1ºGiro],0)</f>
        <v>310</v>
      </c>
      <c r="R4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1" s="1">
        <f xml:space="preserve"> IF(BD_Receitas[[#This Row],[TIPO DE COBRANÇA]]="Operação Normal",
_xlfn.XLOOKUP(BD_Receitas[[#This Row],[ID]],TabCondicoesComerciais[ID],TabCondicoesComerciais[Tarifa 2º Giro],0),0)</f>
        <v>0</v>
      </c>
      <c r="T49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2" spans="1:24" hidden="1" x14ac:dyDescent="0.35">
      <c r="A492" s="3" t="s">
        <v>134</v>
      </c>
      <c r="B492" s="11">
        <v>45870</v>
      </c>
      <c r="C492" t="s">
        <v>31</v>
      </c>
      <c r="D492" t="s">
        <v>62</v>
      </c>
      <c r="E492" t="s">
        <v>37</v>
      </c>
      <c r="F492" s="10" t="s">
        <v>57</v>
      </c>
      <c r="G492" s="3" t="s">
        <v>58</v>
      </c>
      <c r="H492" s="3" t="s">
        <v>10</v>
      </c>
      <c r="I492" s="3" t="s">
        <v>8</v>
      </c>
      <c r="J492" s="1">
        <v>0</v>
      </c>
      <c r="K492" s="12">
        <v>0</v>
      </c>
      <c r="L492" s="1"/>
      <c r="M492" s="12"/>
      <c r="N492"/>
      <c r="O492"/>
      <c r="P492" s="2" t="str">
        <f>IF(BD_Receitas[[#This Row],[TIPO DE COBRANÇA]]="Operação Normal",
_xlfn.XLOOKUP(BD_Receitas[[#This Row],[ID]],TabCondicoesComerciais[ID],TabCondicoesComerciais[Volume mínimo 
(m3)],0),"")</f>
        <v/>
      </c>
      <c r="Q492" s="2">
        <f>_xlfn.XLOOKUP(BD_Receitas[[#This Row],[ID]],TabCondicoesComerciais[ID],TabCondicoesComerciais[Vol. 1ºGiro],0)</f>
        <v>310</v>
      </c>
      <c r="R4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492" s="1">
        <f xml:space="preserve"> IF(BD_Receitas[[#This Row],[TIPO DE COBRANÇA]]="Operação Normal",
_xlfn.XLOOKUP(BD_Receitas[[#This Row],[ID]],TabCondicoesComerciais[ID],TabCondicoesComerciais[Tarifa 2º Giro],0),0)</f>
        <v>0</v>
      </c>
      <c r="T4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3" spans="1:24" hidden="1" x14ac:dyDescent="0.35">
      <c r="A493" s="3" t="s">
        <v>134</v>
      </c>
      <c r="B493" s="11">
        <v>45870</v>
      </c>
      <c r="C493" t="s">
        <v>31</v>
      </c>
      <c r="D493" t="s">
        <v>62</v>
      </c>
      <c r="E493" t="s">
        <v>37</v>
      </c>
      <c r="F493" s="10" t="s">
        <v>57</v>
      </c>
      <c r="G493" s="3" t="s">
        <v>58</v>
      </c>
      <c r="H493" s="3" t="s">
        <v>10</v>
      </c>
      <c r="I493" s="3" t="s">
        <v>15</v>
      </c>
      <c r="J493" s="1">
        <v>35019.49</v>
      </c>
      <c r="K493" s="12">
        <v>1100</v>
      </c>
      <c r="L493" s="1">
        <v>58185.65</v>
      </c>
      <c r="M493" s="12">
        <v>1358</v>
      </c>
      <c r="N493" t="s">
        <v>244</v>
      </c>
      <c r="O493"/>
      <c r="P493" s="2">
        <f>IF(BD_Receitas[[#This Row],[TIPO DE COBRANÇA]]="Operação Normal",
_xlfn.XLOOKUP(BD_Receitas[[#This Row],[ID]],TabCondicoesComerciais[ID],TabCondicoesComerciais[Volume mínimo 
(m3)],0),"")</f>
        <v>1100</v>
      </c>
      <c r="Q493" s="2">
        <f>_xlfn.XLOOKUP(BD_Receitas[[#This Row],[ID]],TabCondicoesComerciais[ID],TabCondicoesComerciais[Vol. 1ºGiro],0)</f>
        <v>310</v>
      </c>
      <c r="R4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493" s="1">
        <f xml:space="preserve"> IF(BD_Receitas[[#This Row],[TIPO DE COBRANÇA]]="Operação Normal",
_xlfn.XLOOKUP(BD_Receitas[[#This Row],[ID]],TabCondicoesComerciais[ID],TabCondicoesComerciais[Tarifa 2º Giro],0),0)</f>
        <v>31.04</v>
      </c>
      <c r="T493" s="5">
        <f>IFERROR(IF(BD_Receitas[[#This Row],[TIPO DE COBRANÇA]]&lt;&gt;"Operação Normal","",BD_Receitas[[#This Row],[Valor Total R$]]/ MAX(BD_Receitas[[#This Row],[Vol. Movimentado M³]],
BD_Receitas[[#This Row],[Volume Mínimo ]])
),0)</f>
        <v>42.846575846833581</v>
      </c>
      <c r="U49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42.846575846833581</v>
      </c>
      <c r="V49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49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42152.32</v>
      </c>
      <c r="X4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94" spans="1:24" hidden="1" x14ac:dyDescent="0.35">
      <c r="A494" s="3" t="s">
        <v>134</v>
      </c>
      <c r="B494" s="11">
        <v>45870</v>
      </c>
      <c r="C494" t="s">
        <v>31</v>
      </c>
      <c r="D494" t="s">
        <v>62</v>
      </c>
      <c r="E494" t="s">
        <v>37</v>
      </c>
      <c r="F494" s="10" t="s">
        <v>57</v>
      </c>
      <c r="G494" s="3" t="s">
        <v>58</v>
      </c>
      <c r="H494" s="3" t="s">
        <v>10</v>
      </c>
      <c r="I494" s="3" t="s">
        <v>65</v>
      </c>
      <c r="J494" s="1">
        <v>0</v>
      </c>
      <c r="K494" s="12">
        <v>0</v>
      </c>
      <c r="L494" s="1"/>
      <c r="M494" s="12"/>
      <c r="N494"/>
      <c r="O494"/>
      <c r="P494" s="2" t="str">
        <f>IF(BD_Receitas[[#This Row],[TIPO DE COBRANÇA]]="Operação Normal",
_xlfn.XLOOKUP(BD_Receitas[[#This Row],[ID]],TabCondicoesComerciais[ID],TabCondicoesComerciais[Volume mínimo 
(m3)],0),"")</f>
        <v/>
      </c>
      <c r="Q494" s="2">
        <f>_xlfn.XLOOKUP(BD_Receitas[[#This Row],[ID]],TabCondicoesComerciais[ID],TabCondicoesComerciais[Vol. 1ºGiro],0)</f>
        <v>310</v>
      </c>
      <c r="R4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4" s="1">
        <f xml:space="preserve"> IF(BD_Receitas[[#This Row],[TIPO DE COBRANÇA]]="Operação Normal",
_xlfn.XLOOKUP(BD_Receitas[[#This Row],[ID]],TabCondicoesComerciais[ID],TabCondicoesComerciais[Tarifa 2º Giro],0),0)</f>
        <v>0</v>
      </c>
      <c r="T4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5" spans="1:24" hidden="1" x14ac:dyDescent="0.35">
      <c r="A495" s="3" t="s">
        <v>173</v>
      </c>
      <c r="B495" s="11">
        <v>45870</v>
      </c>
      <c r="C495" t="s">
        <v>31</v>
      </c>
      <c r="D495" t="s">
        <v>62</v>
      </c>
      <c r="E495" t="s">
        <v>37</v>
      </c>
      <c r="F495" s="10" t="s">
        <v>57</v>
      </c>
      <c r="G495" s="3" t="s">
        <v>58</v>
      </c>
      <c r="H495" s="3" t="s">
        <v>6</v>
      </c>
      <c r="I495" s="3" t="s">
        <v>7</v>
      </c>
      <c r="J495" s="1">
        <v>0</v>
      </c>
      <c r="K495" s="12">
        <v>0</v>
      </c>
      <c r="L495" s="1"/>
      <c r="M495" s="12"/>
      <c r="N495"/>
      <c r="O495"/>
      <c r="P495" s="2" t="str">
        <f>IF(BD_Receitas[[#This Row],[TIPO DE COBRANÇA]]="Operação Normal",
_xlfn.XLOOKUP(BD_Receitas[[#This Row],[ID]],TabCondicoesComerciais[ID],TabCondicoesComerciais[Volume mínimo 
(m3)],0),"")</f>
        <v/>
      </c>
      <c r="Q495" s="2">
        <f>_xlfn.XLOOKUP(BD_Receitas[[#This Row],[ID]],TabCondicoesComerciais[ID],TabCondicoesComerciais[Vol. 1ºGiro],0)</f>
        <v>1070</v>
      </c>
      <c r="R4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5" s="1">
        <f xml:space="preserve"> IF(BD_Receitas[[#This Row],[TIPO DE COBRANÇA]]="Operação Normal",
_xlfn.XLOOKUP(BD_Receitas[[#This Row],[ID]],TabCondicoesComerciais[ID],TabCondicoesComerciais[Tarifa 2º Giro],0),0)</f>
        <v>0</v>
      </c>
      <c r="T49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6" spans="1:24" hidden="1" x14ac:dyDescent="0.35">
      <c r="A496" s="3" t="s">
        <v>173</v>
      </c>
      <c r="B496" s="11">
        <v>45870</v>
      </c>
      <c r="C496" t="s">
        <v>31</v>
      </c>
      <c r="D496" t="s">
        <v>62</v>
      </c>
      <c r="E496" t="s">
        <v>37</v>
      </c>
      <c r="F496" s="10" t="s">
        <v>57</v>
      </c>
      <c r="G496" s="3" t="s">
        <v>58</v>
      </c>
      <c r="H496" s="3" t="s">
        <v>6</v>
      </c>
      <c r="I496" s="3" t="s">
        <v>8</v>
      </c>
      <c r="J496" s="1">
        <v>0</v>
      </c>
      <c r="K496" s="12">
        <v>0</v>
      </c>
      <c r="L496" s="1"/>
      <c r="M496" s="12"/>
      <c r="N496"/>
      <c r="O496"/>
      <c r="P496" s="2" t="str">
        <f>IF(BD_Receitas[[#This Row],[TIPO DE COBRANÇA]]="Operação Normal",
_xlfn.XLOOKUP(BD_Receitas[[#This Row],[ID]],TabCondicoesComerciais[ID],TabCondicoesComerciais[Volume mínimo 
(m3)],0),"")</f>
        <v/>
      </c>
      <c r="Q496" s="2">
        <f>_xlfn.XLOOKUP(BD_Receitas[[#This Row],[ID]],TabCondicoesComerciais[ID],TabCondicoesComerciais[Vol. 1ºGiro],0)</f>
        <v>1070</v>
      </c>
      <c r="R4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6" s="1">
        <f xml:space="preserve"> IF(BD_Receitas[[#This Row],[TIPO DE COBRANÇA]]="Operação Normal",
_xlfn.XLOOKUP(BD_Receitas[[#This Row],[ID]],TabCondicoesComerciais[ID],TabCondicoesComerciais[Tarifa 2º Giro],0),0)</f>
        <v>0</v>
      </c>
      <c r="T4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7" spans="1:24" hidden="1" x14ac:dyDescent="0.35">
      <c r="A497" s="3" t="s">
        <v>173</v>
      </c>
      <c r="B497" s="11">
        <v>45870</v>
      </c>
      <c r="C497" t="s">
        <v>31</v>
      </c>
      <c r="D497" t="s">
        <v>62</v>
      </c>
      <c r="E497" t="s">
        <v>37</v>
      </c>
      <c r="F497" s="10" t="s">
        <v>57</v>
      </c>
      <c r="G497" s="3" t="s">
        <v>58</v>
      </c>
      <c r="H497" s="3" t="s">
        <v>6</v>
      </c>
      <c r="I497" s="3" t="s">
        <v>15</v>
      </c>
      <c r="J497" s="1">
        <v>82153.039999999994</v>
      </c>
      <c r="K497" s="12">
        <v>3300</v>
      </c>
      <c r="L497" s="1">
        <v>146385.38</v>
      </c>
      <c r="M497" s="12">
        <v>6415</v>
      </c>
      <c r="N497" t="s">
        <v>245</v>
      </c>
      <c r="O497"/>
      <c r="P497" s="2">
        <f>IF(BD_Receitas[[#This Row],[TIPO DE COBRANÇA]]="Operação Normal",
_xlfn.XLOOKUP(BD_Receitas[[#This Row],[ID]],TabCondicoesComerciais[ID],TabCondicoesComerciais[Volume mínimo 
(m3)],0),"")</f>
        <v>3300</v>
      </c>
      <c r="Q497" s="2">
        <f>_xlfn.XLOOKUP(BD_Receitas[[#This Row],[ID]],TabCondicoesComerciais[ID],TabCondicoesComerciais[Vol. 1ºGiro],0)</f>
        <v>1070</v>
      </c>
      <c r="R4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497" s="1">
        <f xml:space="preserve"> IF(BD_Receitas[[#This Row],[TIPO DE COBRANÇA]]="Operação Normal",
_xlfn.XLOOKUP(BD_Receitas[[#This Row],[ID]],TabCondicoesComerciais[ID],TabCondicoesComerciais[Tarifa 2º Giro],0),0)</f>
        <v>23.42</v>
      </c>
      <c r="T497" s="5">
        <f>IFERROR(IF(BD_Receitas[[#This Row],[TIPO DE COBRANÇA]]&lt;&gt;"Operação Normal","",BD_Receitas[[#This Row],[Valor Total R$]]/ MAX(BD_Receitas[[#This Row],[Vol. Movimentado M³]],
BD_Receitas[[#This Row],[Volume Mínimo ]])
),0)</f>
        <v>22.819233047544817</v>
      </c>
      <c r="U49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22.819233047544817</v>
      </c>
      <c r="V49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49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150239.30000000002</v>
      </c>
      <c r="X4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498" spans="1:24" hidden="1" x14ac:dyDescent="0.35">
      <c r="A498" s="3" t="s">
        <v>173</v>
      </c>
      <c r="B498" s="11">
        <v>45870</v>
      </c>
      <c r="C498" t="s">
        <v>31</v>
      </c>
      <c r="D498" t="s">
        <v>62</v>
      </c>
      <c r="E498" t="s">
        <v>37</v>
      </c>
      <c r="F498" s="10" t="s">
        <v>57</v>
      </c>
      <c r="G498" s="3" t="s">
        <v>58</v>
      </c>
      <c r="H498" s="3" t="s">
        <v>6</v>
      </c>
      <c r="I498" s="3" t="s">
        <v>65</v>
      </c>
      <c r="J498" s="1">
        <v>0</v>
      </c>
      <c r="K498" s="12">
        <v>0</v>
      </c>
      <c r="L498" s="1"/>
      <c r="M498" s="12"/>
      <c r="N498"/>
      <c r="O498"/>
      <c r="P498" s="2" t="str">
        <f>IF(BD_Receitas[[#This Row],[TIPO DE COBRANÇA]]="Operação Normal",
_xlfn.XLOOKUP(BD_Receitas[[#This Row],[ID]],TabCondicoesComerciais[ID],TabCondicoesComerciais[Volume mínimo 
(m3)],0),"")</f>
        <v/>
      </c>
      <c r="Q498" s="2">
        <f>_xlfn.XLOOKUP(BD_Receitas[[#This Row],[ID]],TabCondicoesComerciais[ID],TabCondicoesComerciais[Vol. 1ºGiro],0)</f>
        <v>1070</v>
      </c>
      <c r="R4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8" s="1">
        <f xml:space="preserve"> IF(BD_Receitas[[#This Row],[TIPO DE COBRANÇA]]="Operação Normal",
_xlfn.XLOOKUP(BD_Receitas[[#This Row],[ID]],TabCondicoesComerciais[ID],TabCondicoesComerciais[Tarifa 2º Giro],0),0)</f>
        <v>0</v>
      </c>
      <c r="T4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499" spans="1:24" hidden="1" x14ac:dyDescent="0.35">
      <c r="A499" s="3" t="s">
        <v>184</v>
      </c>
      <c r="B499" s="11">
        <v>45870</v>
      </c>
      <c r="C499" t="s">
        <v>31</v>
      </c>
      <c r="D499" t="s">
        <v>203</v>
      </c>
      <c r="E499" t="s">
        <v>34</v>
      </c>
      <c r="F499" s="10" t="s">
        <v>26</v>
      </c>
      <c r="G499" s="3" t="s">
        <v>19</v>
      </c>
      <c r="H499" s="3" t="s">
        <v>13</v>
      </c>
      <c r="I499" s="3" t="s">
        <v>7</v>
      </c>
      <c r="J499" s="1">
        <v>0</v>
      </c>
      <c r="K499" s="12">
        <v>0</v>
      </c>
      <c r="L499" s="1"/>
      <c r="M499" s="12"/>
      <c r="N499"/>
      <c r="O499"/>
      <c r="P499" s="2" t="str">
        <f>IF(BD_Receitas[[#This Row],[TIPO DE COBRANÇA]]="Operação Normal",
_xlfn.XLOOKUP(BD_Receitas[[#This Row],[ID]],TabCondicoesComerciais[ID],TabCondicoesComerciais[Volume mínimo 
(m3)],0),"")</f>
        <v/>
      </c>
      <c r="Q499" s="2">
        <f>_xlfn.XLOOKUP(BD_Receitas[[#This Row],[ID]],TabCondicoesComerciais[ID],TabCondicoesComerciais[Vol. 1ºGiro],0)</f>
        <v>340</v>
      </c>
      <c r="R4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499" s="1">
        <f xml:space="preserve"> IF(BD_Receitas[[#This Row],[TIPO DE COBRANÇA]]="Operação Normal",
_xlfn.XLOOKUP(BD_Receitas[[#This Row],[ID]],TabCondicoesComerciais[ID],TabCondicoesComerciais[Tarifa 2º Giro],0),0)</f>
        <v>0</v>
      </c>
      <c r="T49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49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49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49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4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0" spans="1:24" hidden="1" x14ac:dyDescent="0.35">
      <c r="A500" s="3" t="s">
        <v>184</v>
      </c>
      <c r="B500" s="11">
        <v>45870</v>
      </c>
      <c r="C500" t="s">
        <v>31</v>
      </c>
      <c r="D500" t="s">
        <v>203</v>
      </c>
      <c r="E500" t="s">
        <v>34</v>
      </c>
      <c r="F500" s="10" t="s">
        <v>26</v>
      </c>
      <c r="G500" s="3" t="s">
        <v>19</v>
      </c>
      <c r="H500" s="3" t="s">
        <v>13</v>
      </c>
      <c r="I500" s="3" t="s">
        <v>8</v>
      </c>
      <c r="J500" s="1">
        <v>0</v>
      </c>
      <c r="K500" s="12">
        <v>0</v>
      </c>
      <c r="L500" s="1"/>
      <c r="M500" s="12"/>
      <c r="N500"/>
      <c r="O500"/>
      <c r="P500" s="2" t="str">
        <f>IF(BD_Receitas[[#This Row],[TIPO DE COBRANÇA]]="Operação Normal",
_xlfn.XLOOKUP(BD_Receitas[[#This Row],[ID]],TabCondicoesComerciais[ID],TabCondicoesComerciais[Volume mínimo 
(m3)],0),"")</f>
        <v/>
      </c>
      <c r="Q500" s="2">
        <f>_xlfn.XLOOKUP(BD_Receitas[[#This Row],[ID]],TabCondicoesComerciais[ID],TabCondicoesComerciais[Vol. 1ºGiro],0)</f>
        <v>340</v>
      </c>
      <c r="R5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500" s="1">
        <f xml:space="preserve"> IF(BD_Receitas[[#This Row],[TIPO DE COBRANÇA]]="Operação Normal",
_xlfn.XLOOKUP(BD_Receitas[[#This Row],[ID]],TabCondicoesComerciais[ID],TabCondicoesComerciais[Tarifa 2º Giro],0),0)</f>
        <v>0</v>
      </c>
      <c r="T5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1" spans="1:24" hidden="1" x14ac:dyDescent="0.35">
      <c r="A501" s="3" t="s">
        <v>184</v>
      </c>
      <c r="B501" s="11">
        <v>45870</v>
      </c>
      <c r="C501" t="s">
        <v>31</v>
      </c>
      <c r="D501" t="s">
        <v>203</v>
      </c>
      <c r="E501" t="s">
        <v>34</v>
      </c>
      <c r="F501" s="10" t="s">
        <v>26</v>
      </c>
      <c r="G501" s="3" t="s">
        <v>19</v>
      </c>
      <c r="H501" s="3" t="s">
        <v>13</v>
      </c>
      <c r="I501" s="3" t="s">
        <v>15</v>
      </c>
      <c r="J501" s="1">
        <v>15310.52</v>
      </c>
      <c r="K501" s="12">
        <v>510</v>
      </c>
      <c r="L501" s="1">
        <v>14280</v>
      </c>
      <c r="M501" s="12">
        <v>665.471</v>
      </c>
      <c r="N501" t="s">
        <v>243</v>
      </c>
      <c r="O501" t="s">
        <v>199</v>
      </c>
      <c r="P501" s="2">
        <f>IF(BD_Receitas[[#This Row],[TIPO DE COBRANÇA]]="Operação Normal",
_xlfn.XLOOKUP(BD_Receitas[[#This Row],[ID]],TabCondicoesComerciais[ID],TabCondicoesComerciais[Volume mínimo 
(m3)],0),"")</f>
        <v>1020</v>
      </c>
      <c r="Q501" s="2">
        <f>_xlfn.XLOOKUP(BD_Receitas[[#This Row],[ID]],TabCondicoesComerciais[ID],TabCondicoesComerciais[Vol. 1ºGiro],0)</f>
        <v>340</v>
      </c>
      <c r="R5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01" s="1">
        <f xml:space="preserve"> IF(BD_Receitas[[#This Row],[TIPO DE COBRANÇA]]="Operação Normal",
_xlfn.XLOOKUP(BD_Receitas[[#This Row],[ID]],TabCondicoesComerciais[ID],TabCondicoesComerciais[Tarifa 2º Giro],0),0)</f>
        <v>28</v>
      </c>
      <c r="T501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50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21.458485794272026</v>
      </c>
      <c r="V50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50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18633.188000000002</v>
      </c>
      <c r="X5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02" spans="1:24" hidden="1" x14ac:dyDescent="0.35">
      <c r="A502" s="3" t="s">
        <v>184</v>
      </c>
      <c r="B502" s="11">
        <v>45870</v>
      </c>
      <c r="C502" t="s">
        <v>31</v>
      </c>
      <c r="D502" t="s">
        <v>203</v>
      </c>
      <c r="E502" t="s">
        <v>34</v>
      </c>
      <c r="F502" s="10" t="s">
        <v>26</v>
      </c>
      <c r="G502" s="3" t="s">
        <v>19</v>
      </c>
      <c r="H502" s="3" t="s">
        <v>13</v>
      </c>
      <c r="I502" s="3" t="s">
        <v>65</v>
      </c>
      <c r="J502" s="1">
        <v>0</v>
      </c>
      <c r="K502" s="12">
        <v>0</v>
      </c>
      <c r="L502" s="1"/>
      <c r="M502" s="12"/>
      <c r="N502"/>
      <c r="O502"/>
      <c r="P502" s="2" t="str">
        <f>IF(BD_Receitas[[#This Row],[TIPO DE COBRANÇA]]="Operação Normal",
_xlfn.XLOOKUP(BD_Receitas[[#This Row],[ID]],TabCondicoesComerciais[ID],TabCondicoesComerciais[Volume mínimo 
(m3)],0),"")</f>
        <v/>
      </c>
      <c r="Q502" s="2">
        <f>_xlfn.XLOOKUP(BD_Receitas[[#This Row],[ID]],TabCondicoesComerciais[ID],TabCondicoesComerciais[Vol. 1ºGiro],0)</f>
        <v>340</v>
      </c>
      <c r="R5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02" s="1">
        <f xml:space="preserve"> IF(BD_Receitas[[#This Row],[TIPO DE COBRANÇA]]="Operação Normal",
_xlfn.XLOOKUP(BD_Receitas[[#This Row],[ID]],TabCondicoesComerciais[ID],TabCondicoesComerciais[Tarifa 2º Giro],0),0)</f>
        <v>0</v>
      </c>
      <c r="T5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3" spans="1:24" hidden="1" x14ac:dyDescent="0.35">
      <c r="A503" s="3" t="s">
        <v>274</v>
      </c>
      <c r="B503" s="11">
        <v>45901</v>
      </c>
      <c r="C503" t="s">
        <v>31</v>
      </c>
      <c r="D503" t="s">
        <v>202</v>
      </c>
      <c r="E503" t="s">
        <v>36</v>
      </c>
      <c r="F503" s="10" t="s">
        <v>48</v>
      </c>
      <c r="G503" s="3" t="s">
        <v>49</v>
      </c>
      <c r="H503" s="3" t="s">
        <v>52</v>
      </c>
      <c r="I503" s="3" t="s">
        <v>7</v>
      </c>
      <c r="J503" s="1">
        <v>0</v>
      </c>
      <c r="K503" s="12">
        <v>0</v>
      </c>
      <c r="L503" s="1"/>
      <c r="M503" s="12"/>
      <c r="N503"/>
      <c r="O503"/>
      <c r="P503" s="2" t="str">
        <f>IF(BD_Receitas[[#This Row],[TIPO DE COBRANÇA]]="Operação Normal",
_xlfn.XLOOKUP(BD_Receitas[[#This Row],[ID]],TabCondicoesComerciais[ID],TabCondicoesComerciais[Volume mínimo 
(m3)],0),"")</f>
        <v/>
      </c>
      <c r="Q503" s="2">
        <f>_xlfn.XLOOKUP(BD_Receitas[[#This Row],[ID]],TabCondicoesComerciais[ID],TabCondicoesComerciais[Vol. 1ºGiro],0)</f>
        <v>360</v>
      </c>
      <c r="R5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503" s="1">
        <f xml:space="preserve"> IF(BD_Receitas[[#This Row],[TIPO DE COBRANÇA]]="Operação Normal",
_xlfn.XLOOKUP(BD_Receitas[[#This Row],[ID]],TabCondicoesComerciais[ID],TabCondicoesComerciais[Tarifa 2º Giro],0),0)</f>
        <v>0</v>
      </c>
      <c r="T50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4" spans="1:24" hidden="1" x14ac:dyDescent="0.35">
      <c r="A504" s="3" t="s">
        <v>274</v>
      </c>
      <c r="B504" s="11">
        <v>45901</v>
      </c>
      <c r="C504" t="s">
        <v>31</v>
      </c>
      <c r="D504" t="s">
        <v>202</v>
      </c>
      <c r="E504" t="s">
        <v>36</v>
      </c>
      <c r="F504" s="10" t="s">
        <v>48</v>
      </c>
      <c r="G504" s="3" t="s">
        <v>49</v>
      </c>
      <c r="H504" s="3" t="s">
        <v>52</v>
      </c>
      <c r="I504" s="3" t="s">
        <v>8</v>
      </c>
      <c r="J504" s="1">
        <v>0</v>
      </c>
      <c r="K504" s="12">
        <v>0</v>
      </c>
      <c r="L504" s="1"/>
      <c r="M504" s="12"/>
      <c r="N504"/>
      <c r="O504"/>
      <c r="P504" s="2" t="str">
        <f>IF(BD_Receitas[[#This Row],[TIPO DE COBRANÇA]]="Operação Normal",
_xlfn.XLOOKUP(BD_Receitas[[#This Row],[ID]],TabCondicoesComerciais[ID],TabCondicoesComerciais[Volume mínimo 
(m3)],0),"")</f>
        <v/>
      </c>
      <c r="Q504" s="2">
        <f>_xlfn.XLOOKUP(BD_Receitas[[#This Row],[ID]],TabCondicoesComerciais[ID],TabCondicoesComerciais[Vol. 1ºGiro],0)</f>
        <v>360</v>
      </c>
      <c r="R5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504" s="1">
        <f xml:space="preserve"> IF(BD_Receitas[[#This Row],[TIPO DE COBRANÇA]]="Operação Normal",
_xlfn.XLOOKUP(BD_Receitas[[#This Row],[ID]],TabCondicoesComerciais[ID],TabCondicoesComerciais[Tarifa 2º Giro],0),0)</f>
        <v>0</v>
      </c>
      <c r="T5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5" spans="1:24" hidden="1" x14ac:dyDescent="0.35">
      <c r="A505" s="3" t="s">
        <v>274</v>
      </c>
      <c r="B505" s="11">
        <v>45901</v>
      </c>
      <c r="C505" t="s">
        <v>31</v>
      </c>
      <c r="D505" t="s">
        <v>202</v>
      </c>
      <c r="E505" t="s">
        <v>36</v>
      </c>
      <c r="F505" s="10" t="s">
        <v>48</v>
      </c>
      <c r="G505" s="3" t="s">
        <v>49</v>
      </c>
      <c r="H505" s="3" t="s">
        <v>52</v>
      </c>
      <c r="I505" s="3" t="s">
        <v>15</v>
      </c>
      <c r="J505" s="1">
        <v>89789.3701</v>
      </c>
      <c r="K505" s="12">
        <v>2040</v>
      </c>
      <c r="L505" s="1">
        <v>86985.600000000006</v>
      </c>
      <c r="M505" s="12">
        <v>978</v>
      </c>
      <c r="N505" t="s">
        <v>247</v>
      </c>
      <c r="O505"/>
      <c r="P505" s="2">
        <f>IF(BD_Receitas[[#This Row],[TIPO DE COBRANÇA]]="Operação Normal",
_xlfn.XLOOKUP(BD_Receitas[[#This Row],[ID]],TabCondicoesComerciais[ID],TabCondicoesComerciais[Volume mínimo 
(m3)],0),"")</f>
        <v>2040</v>
      </c>
      <c r="Q505" s="2">
        <f>_xlfn.XLOOKUP(BD_Receitas[[#This Row],[ID]],TabCondicoesComerciais[ID],TabCondicoesComerciais[Vol. 1ºGiro],0)</f>
        <v>360</v>
      </c>
      <c r="R5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505" s="1">
        <f xml:space="preserve"> IF(BD_Receitas[[#This Row],[TIPO DE COBRANÇA]]="Operação Normal",
_xlfn.XLOOKUP(BD_Receitas[[#This Row],[ID]],TabCondicoesComerciais[ID],TabCondicoesComerciais[Tarifa 2º Giro],0),0)</f>
        <v>43.92</v>
      </c>
      <c r="T505" s="5">
        <f>IFERROR(IF(BD_Receitas[[#This Row],[TIPO DE COBRANÇA]]&lt;&gt;"Operação Normal","",BD_Receitas[[#This Row],[Valor Total R$]]/ MAX(BD_Receitas[[#This Row],[Vol. Movimentado M³]],
BD_Receitas[[#This Row],[Volume Mínimo ]])
),0)</f>
        <v>42.64</v>
      </c>
      <c r="U50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88.942331288343567</v>
      </c>
      <c r="V50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50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42953.760000000002</v>
      </c>
      <c r="X5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06" spans="1:24" hidden="1" x14ac:dyDescent="0.35">
      <c r="A506" s="3" t="s">
        <v>274</v>
      </c>
      <c r="B506" s="11">
        <v>45901</v>
      </c>
      <c r="C506" t="s">
        <v>31</v>
      </c>
      <c r="D506" t="s">
        <v>202</v>
      </c>
      <c r="E506" t="s">
        <v>36</v>
      </c>
      <c r="F506" s="10" t="s">
        <v>48</v>
      </c>
      <c r="G506" s="3" t="s">
        <v>49</v>
      </c>
      <c r="H506" s="3" t="s">
        <v>52</v>
      </c>
      <c r="I506" s="3" t="s">
        <v>65</v>
      </c>
      <c r="J506" s="1">
        <v>0</v>
      </c>
      <c r="K506" s="12">
        <v>0</v>
      </c>
      <c r="L506" s="1"/>
      <c r="M506" s="12"/>
      <c r="N506"/>
      <c r="O506"/>
      <c r="P506" s="2" t="str">
        <f>IF(BD_Receitas[[#This Row],[TIPO DE COBRANÇA]]="Operação Normal",
_xlfn.XLOOKUP(BD_Receitas[[#This Row],[ID]],TabCondicoesComerciais[ID],TabCondicoesComerciais[Volume mínimo 
(m3)],0),"")</f>
        <v/>
      </c>
      <c r="Q506" s="2">
        <f>_xlfn.XLOOKUP(BD_Receitas[[#This Row],[ID]],TabCondicoesComerciais[ID],TabCondicoesComerciais[Vol. 1ºGiro],0)</f>
        <v>360</v>
      </c>
      <c r="R5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06" s="1">
        <f xml:space="preserve"> IF(BD_Receitas[[#This Row],[TIPO DE COBRANÇA]]="Operação Normal",
_xlfn.XLOOKUP(BD_Receitas[[#This Row],[ID]],TabCondicoesComerciais[ID],TabCondicoesComerciais[Tarifa 2º Giro],0),0)</f>
        <v>0</v>
      </c>
      <c r="T5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7" spans="1:24" hidden="1" x14ac:dyDescent="0.35">
      <c r="A507" s="3" t="s">
        <v>275</v>
      </c>
      <c r="B507" s="11">
        <v>45901</v>
      </c>
      <c r="C507" t="s">
        <v>31</v>
      </c>
      <c r="D507" t="s">
        <v>202</v>
      </c>
      <c r="E507" t="s">
        <v>36</v>
      </c>
      <c r="F507" s="10" t="s">
        <v>48</v>
      </c>
      <c r="G507" s="3" t="s">
        <v>49</v>
      </c>
      <c r="H507" s="3" t="s">
        <v>14</v>
      </c>
      <c r="I507" s="3" t="s">
        <v>7</v>
      </c>
      <c r="J507" s="1">
        <v>0</v>
      </c>
      <c r="K507" s="12">
        <v>0</v>
      </c>
      <c r="L507" s="1"/>
      <c r="M507" s="12"/>
      <c r="N507"/>
      <c r="O507"/>
      <c r="P507" s="2" t="str">
        <f>IF(BD_Receitas[[#This Row],[TIPO DE COBRANÇA]]="Operação Normal",
_xlfn.XLOOKUP(BD_Receitas[[#This Row],[ID]],TabCondicoesComerciais[ID],TabCondicoesComerciais[Volume mínimo 
(m3)],0),"")</f>
        <v/>
      </c>
      <c r="Q507" s="2">
        <f>_xlfn.XLOOKUP(BD_Receitas[[#This Row],[ID]],TabCondicoesComerciais[ID],TabCondicoesComerciais[Vol. 1ºGiro],0)</f>
        <v>365</v>
      </c>
      <c r="R5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07" s="1">
        <f xml:space="preserve"> IF(BD_Receitas[[#This Row],[TIPO DE COBRANÇA]]="Operação Normal",
_xlfn.XLOOKUP(BD_Receitas[[#This Row],[ID]],TabCondicoesComerciais[ID],TabCondicoesComerciais[Tarifa 2º Giro],0),0)</f>
        <v>0</v>
      </c>
      <c r="T50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8" spans="1:24" hidden="1" x14ac:dyDescent="0.35">
      <c r="A508" s="3" t="s">
        <v>275</v>
      </c>
      <c r="B508" s="11">
        <v>45901</v>
      </c>
      <c r="C508" t="s">
        <v>31</v>
      </c>
      <c r="D508" t="s">
        <v>202</v>
      </c>
      <c r="E508" t="s">
        <v>36</v>
      </c>
      <c r="F508" s="10" t="s">
        <v>48</v>
      </c>
      <c r="G508" s="3" t="s">
        <v>49</v>
      </c>
      <c r="H508" s="3" t="s">
        <v>14</v>
      </c>
      <c r="I508" s="3" t="s">
        <v>8</v>
      </c>
      <c r="J508" s="1">
        <v>0</v>
      </c>
      <c r="K508" s="12">
        <v>0</v>
      </c>
      <c r="L508" s="1"/>
      <c r="M508" s="12"/>
      <c r="N508"/>
      <c r="O508"/>
      <c r="P508" s="2" t="str">
        <f>IF(BD_Receitas[[#This Row],[TIPO DE COBRANÇA]]="Operação Normal",
_xlfn.XLOOKUP(BD_Receitas[[#This Row],[ID]],TabCondicoesComerciais[ID],TabCondicoesComerciais[Volume mínimo 
(m3)],0),"")</f>
        <v/>
      </c>
      <c r="Q508" s="2">
        <f>_xlfn.XLOOKUP(BD_Receitas[[#This Row],[ID]],TabCondicoesComerciais[ID],TabCondicoesComerciais[Vol. 1ºGiro],0)</f>
        <v>365</v>
      </c>
      <c r="R5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08" s="1">
        <f xml:space="preserve"> IF(BD_Receitas[[#This Row],[TIPO DE COBRANÇA]]="Operação Normal",
_xlfn.XLOOKUP(BD_Receitas[[#This Row],[ID]],TabCondicoesComerciais[ID],TabCondicoesComerciais[Tarifa 2º Giro],0),0)</f>
        <v>0</v>
      </c>
      <c r="T5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09" spans="1:24" hidden="1" x14ac:dyDescent="0.35">
      <c r="A509" s="3" t="s">
        <v>275</v>
      </c>
      <c r="B509" s="11">
        <v>45901</v>
      </c>
      <c r="C509" t="s">
        <v>31</v>
      </c>
      <c r="D509" t="s">
        <v>202</v>
      </c>
      <c r="E509" t="s">
        <v>36</v>
      </c>
      <c r="F509" s="10" t="s">
        <v>48</v>
      </c>
      <c r="G509" s="3" t="s">
        <v>49</v>
      </c>
      <c r="H509" s="3" t="s">
        <v>14</v>
      </c>
      <c r="I509" s="3" t="s">
        <v>15</v>
      </c>
      <c r="J509" s="1">
        <v>17995.57</v>
      </c>
      <c r="K509" s="12">
        <v>936</v>
      </c>
      <c r="L509" s="1">
        <v>16726.32</v>
      </c>
      <c r="M509" s="12">
        <v>849</v>
      </c>
      <c r="N509" t="s">
        <v>248</v>
      </c>
      <c r="O509"/>
      <c r="P509" s="2">
        <f>IF(BD_Receitas[[#This Row],[TIPO DE COBRANÇA]]="Operação Normal",
_xlfn.XLOOKUP(BD_Receitas[[#This Row],[ID]],TabCondicoesComerciais[ID],TabCondicoesComerciais[Volume mínimo 
(m3)],0),"")</f>
        <v>936</v>
      </c>
      <c r="Q509" s="2">
        <f>_xlfn.XLOOKUP(BD_Receitas[[#This Row],[ID]],TabCondicoesComerciais[ID],TabCondicoesComerciais[Vol. 1ºGiro],0)</f>
        <v>365</v>
      </c>
      <c r="R5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509" s="1">
        <f xml:space="preserve"> IF(BD_Receitas[[#This Row],[TIPO DE COBRANÇA]]="Operação Normal",
_xlfn.XLOOKUP(BD_Receitas[[#This Row],[ID]],TabCondicoesComerciais[ID],TabCondicoesComerciais[Tarifa 2º Giro],0),0)</f>
        <v>18.93</v>
      </c>
      <c r="T509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50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19.701201413427562</v>
      </c>
      <c r="V50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50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16071.57</v>
      </c>
      <c r="X5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10" spans="1:24" hidden="1" x14ac:dyDescent="0.35">
      <c r="A510" s="3" t="s">
        <v>275</v>
      </c>
      <c r="B510" s="11">
        <v>45901</v>
      </c>
      <c r="C510" t="s">
        <v>31</v>
      </c>
      <c r="D510" t="s">
        <v>202</v>
      </c>
      <c r="E510" t="s">
        <v>36</v>
      </c>
      <c r="F510" s="10" t="s">
        <v>48</v>
      </c>
      <c r="G510" s="3" t="s">
        <v>49</v>
      </c>
      <c r="H510" s="3" t="s">
        <v>14</v>
      </c>
      <c r="I510" s="3" t="s">
        <v>65</v>
      </c>
      <c r="J510" s="1">
        <v>0</v>
      </c>
      <c r="K510" s="12">
        <v>0</v>
      </c>
      <c r="L510" s="1"/>
      <c r="M510" s="12"/>
      <c r="N510"/>
      <c r="O510"/>
      <c r="P510" s="2" t="str">
        <f>IF(BD_Receitas[[#This Row],[TIPO DE COBRANÇA]]="Operação Normal",
_xlfn.XLOOKUP(BD_Receitas[[#This Row],[ID]],TabCondicoesComerciais[ID],TabCondicoesComerciais[Volume mínimo 
(m3)],0),"")</f>
        <v/>
      </c>
      <c r="Q510" s="2">
        <f>_xlfn.XLOOKUP(BD_Receitas[[#This Row],[ID]],TabCondicoesComerciais[ID],TabCondicoesComerciais[Vol. 1ºGiro],0)</f>
        <v>365</v>
      </c>
      <c r="R5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10" s="1">
        <f xml:space="preserve"> IF(BD_Receitas[[#This Row],[TIPO DE COBRANÇA]]="Operação Normal",
_xlfn.XLOOKUP(BD_Receitas[[#This Row],[ID]],TabCondicoesComerciais[ID],TabCondicoesComerciais[Tarifa 2º Giro],0),0)</f>
        <v>0</v>
      </c>
      <c r="T5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1" spans="1:24" hidden="1" x14ac:dyDescent="0.35">
      <c r="A511" s="3" t="s">
        <v>25</v>
      </c>
      <c r="B511" s="11">
        <v>45901</v>
      </c>
      <c r="C511" t="s">
        <v>31</v>
      </c>
      <c r="D511" t="s">
        <v>202</v>
      </c>
      <c r="E511" t="s">
        <v>36</v>
      </c>
      <c r="F511" s="10" t="s">
        <v>48</v>
      </c>
      <c r="G511" s="3" t="s">
        <v>49</v>
      </c>
      <c r="H511" s="3" t="s">
        <v>116</v>
      </c>
      <c r="I511" s="3" t="s">
        <v>7</v>
      </c>
      <c r="J511" s="1">
        <v>0</v>
      </c>
      <c r="K511" s="12">
        <v>0</v>
      </c>
      <c r="L511" s="1"/>
      <c r="M511" s="12"/>
      <c r="N511"/>
      <c r="O511"/>
      <c r="P511" s="2" t="str">
        <f>IF(BD_Receitas[[#This Row],[TIPO DE COBRANÇA]]="Operação Normal",
_xlfn.XLOOKUP(BD_Receitas[[#This Row],[ID]],TabCondicoesComerciais[ID],TabCondicoesComerciais[Volume mínimo 
(m3)],0),"")</f>
        <v/>
      </c>
      <c r="Q511" s="2">
        <f>_xlfn.XLOOKUP(BD_Receitas[[#This Row],[ID]],TabCondicoesComerciais[ID],TabCondicoesComerciais[Vol. 1ºGiro],0)</f>
        <v>100</v>
      </c>
      <c r="R5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11" s="1">
        <f xml:space="preserve"> IF(BD_Receitas[[#This Row],[TIPO DE COBRANÇA]]="Operação Normal",
_xlfn.XLOOKUP(BD_Receitas[[#This Row],[ID]],TabCondicoesComerciais[ID],TabCondicoesComerciais[Tarifa 2º Giro],0),0)</f>
        <v>0</v>
      </c>
      <c r="T5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2" spans="1:24" hidden="1" x14ac:dyDescent="0.35">
      <c r="A512" s="3" t="s">
        <v>25</v>
      </c>
      <c r="B512" s="11">
        <v>45901</v>
      </c>
      <c r="C512" t="s">
        <v>31</v>
      </c>
      <c r="D512" t="s">
        <v>202</v>
      </c>
      <c r="E512" t="s">
        <v>36</v>
      </c>
      <c r="F512" s="10" t="s">
        <v>48</v>
      </c>
      <c r="G512" s="3" t="s">
        <v>49</v>
      </c>
      <c r="H512" s="3" t="s">
        <v>116</v>
      </c>
      <c r="I512" s="3" t="s">
        <v>8</v>
      </c>
      <c r="J512" s="1">
        <v>0</v>
      </c>
      <c r="K512" s="12">
        <v>0</v>
      </c>
      <c r="L512" s="1"/>
      <c r="M512" s="12"/>
      <c r="N512"/>
      <c r="O512"/>
      <c r="P512" s="2" t="str">
        <f>IF(BD_Receitas[[#This Row],[TIPO DE COBRANÇA]]="Operação Normal",
_xlfn.XLOOKUP(BD_Receitas[[#This Row],[ID]],TabCondicoesComerciais[ID],TabCondicoesComerciais[Volume mínimo 
(m3)],0),"")</f>
        <v/>
      </c>
      <c r="Q512" s="2">
        <f>_xlfn.XLOOKUP(BD_Receitas[[#This Row],[ID]],TabCondicoesComerciais[ID],TabCondicoesComerciais[Vol. 1ºGiro],0)</f>
        <v>100</v>
      </c>
      <c r="R5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12" s="1">
        <f xml:space="preserve"> IF(BD_Receitas[[#This Row],[TIPO DE COBRANÇA]]="Operação Normal",
_xlfn.XLOOKUP(BD_Receitas[[#This Row],[ID]],TabCondicoesComerciais[ID],TabCondicoesComerciais[Tarifa 2º Giro],0),0)</f>
        <v>0</v>
      </c>
      <c r="T5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3" spans="1:24" hidden="1" x14ac:dyDescent="0.35">
      <c r="A513" s="3" t="s">
        <v>25</v>
      </c>
      <c r="B513" s="11">
        <v>45901</v>
      </c>
      <c r="C513" t="s">
        <v>31</v>
      </c>
      <c r="D513" t="s">
        <v>202</v>
      </c>
      <c r="E513" t="s">
        <v>36</v>
      </c>
      <c r="F513" s="10" t="s">
        <v>48</v>
      </c>
      <c r="G513" s="3" t="s">
        <v>49</v>
      </c>
      <c r="H513" s="3" t="s">
        <v>116</v>
      </c>
      <c r="I513" s="3" t="s">
        <v>15</v>
      </c>
      <c r="J513" s="1">
        <v>0</v>
      </c>
      <c r="K513" s="12">
        <v>0</v>
      </c>
      <c r="L513" s="1"/>
      <c r="M513" s="12"/>
      <c r="N513"/>
      <c r="O513"/>
      <c r="P513" s="2">
        <f>IF(BD_Receitas[[#This Row],[TIPO DE COBRANÇA]]="Operação Normal",
_xlfn.XLOOKUP(BD_Receitas[[#This Row],[ID]],TabCondicoesComerciais[ID],TabCondicoesComerciais[Volume mínimo 
(m3)],0),"")</f>
        <v>300</v>
      </c>
      <c r="Q513" s="2">
        <f>_xlfn.XLOOKUP(BD_Receitas[[#This Row],[ID]],TabCondicoesComerciais[ID],TabCondicoesComerciais[Vol. 1ºGiro],0)</f>
        <v>100</v>
      </c>
      <c r="R5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513" s="1">
        <f xml:space="preserve"> IF(BD_Receitas[[#This Row],[TIPO DE COBRANÇA]]="Operação Normal",
_xlfn.XLOOKUP(BD_Receitas[[#This Row],[ID]],TabCondicoesComerciais[ID],TabCondicoesComerciais[Tarifa 2º Giro],0),0)</f>
        <v>30</v>
      </c>
      <c r="T51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1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1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51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14" spans="1:24" hidden="1" x14ac:dyDescent="0.35">
      <c r="A514" s="3" t="s">
        <v>25</v>
      </c>
      <c r="B514" s="11">
        <v>45901</v>
      </c>
      <c r="C514" t="s">
        <v>31</v>
      </c>
      <c r="D514" t="s">
        <v>202</v>
      </c>
      <c r="E514" t="s">
        <v>36</v>
      </c>
      <c r="F514" s="10" t="s">
        <v>48</v>
      </c>
      <c r="G514" s="3" t="s">
        <v>49</v>
      </c>
      <c r="H514" s="3" t="s">
        <v>116</v>
      </c>
      <c r="I514" s="3" t="s">
        <v>65</v>
      </c>
      <c r="J514" s="1">
        <v>0</v>
      </c>
      <c r="K514" s="12">
        <v>0</v>
      </c>
      <c r="L514" s="1"/>
      <c r="M514" s="12"/>
      <c r="N514"/>
      <c r="O514"/>
      <c r="P514" s="2" t="str">
        <f>IF(BD_Receitas[[#This Row],[TIPO DE COBRANÇA]]="Operação Normal",
_xlfn.XLOOKUP(BD_Receitas[[#This Row],[ID]],TabCondicoesComerciais[ID],TabCondicoesComerciais[Volume mínimo 
(m3)],0),"")</f>
        <v/>
      </c>
      <c r="Q514" s="2">
        <f>_xlfn.XLOOKUP(BD_Receitas[[#This Row],[ID]],TabCondicoesComerciais[ID],TabCondicoesComerciais[Vol. 1ºGiro],0)</f>
        <v>100</v>
      </c>
      <c r="R5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14" s="1">
        <f xml:space="preserve"> IF(BD_Receitas[[#This Row],[TIPO DE COBRANÇA]]="Operação Normal",
_xlfn.XLOOKUP(BD_Receitas[[#This Row],[ID]],TabCondicoesComerciais[ID],TabCondicoesComerciais[Tarifa 2º Giro],0),0)</f>
        <v>0</v>
      </c>
      <c r="T5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5" spans="1:24" hidden="1" x14ac:dyDescent="0.35">
      <c r="A515" s="3" t="s">
        <v>102</v>
      </c>
      <c r="B515" s="11">
        <v>45901</v>
      </c>
      <c r="C515" t="s">
        <v>31</v>
      </c>
      <c r="D515" t="s">
        <v>202</v>
      </c>
      <c r="E515" t="s">
        <v>36</v>
      </c>
      <c r="F515" s="10" t="s">
        <v>48</v>
      </c>
      <c r="G515" s="3" t="s">
        <v>49</v>
      </c>
      <c r="H515" s="3" t="s">
        <v>51</v>
      </c>
      <c r="I515" s="3" t="s">
        <v>7</v>
      </c>
      <c r="J515" s="1">
        <v>0</v>
      </c>
      <c r="K515" s="12">
        <v>0</v>
      </c>
      <c r="L515" s="1"/>
      <c r="M515" s="12"/>
      <c r="N515"/>
      <c r="O515"/>
      <c r="P515" s="2" t="str">
        <f>IF(BD_Receitas[[#This Row],[TIPO DE COBRANÇA]]="Operação Normal",
_xlfn.XLOOKUP(BD_Receitas[[#This Row],[ID]],TabCondicoesComerciais[ID],TabCondicoesComerciais[Volume mínimo 
(m3)],0),"")</f>
        <v/>
      </c>
      <c r="Q515" s="2">
        <f>_xlfn.XLOOKUP(BD_Receitas[[#This Row],[ID]],TabCondicoesComerciais[ID],TabCondicoesComerciais[Vol. 1ºGiro],0)</f>
        <v>750</v>
      </c>
      <c r="R5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515" s="1">
        <f xml:space="preserve"> IF(BD_Receitas[[#This Row],[TIPO DE COBRANÇA]]="Operação Normal",
_xlfn.XLOOKUP(BD_Receitas[[#This Row],[ID]],TabCondicoesComerciais[ID],TabCondicoesComerciais[Tarifa 2º Giro],0),0)</f>
        <v>0</v>
      </c>
      <c r="T5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6" spans="1:24" hidden="1" x14ac:dyDescent="0.35">
      <c r="A516" s="3" t="s">
        <v>102</v>
      </c>
      <c r="B516" s="11">
        <v>45901</v>
      </c>
      <c r="C516" t="s">
        <v>31</v>
      </c>
      <c r="D516" t="s">
        <v>202</v>
      </c>
      <c r="E516" t="s">
        <v>36</v>
      </c>
      <c r="F516" s="10" t="s">
        <v>48</v>
      </c>
      <c r="G516" s="3" t="s">
        <v>49</v>
      </c>
      <c r="H516" s="3" t="s">
        <v>51</v>
      </c>
      <c r="I516" s="3" t="s">
        <v>8</v>
      </c>
      <c r="J516" s="1">
        <v>0</v>
      </c>
      <c r="K516" s="12">
        <v>0</v>
      </c>
      <c r="L516" s="1"/>
      <c r="M516" s="12"/>
      <c r="N516"/>
      <c r="O516"/>
      <c r="P516" s="2" t="str">
        <f>IF(BD_Receitas[[#This Row],[TIPO DE COBRANÇA]]="Operação Normal",
_xlfn.XLOOKUP(BD_Receitas[[#This Row],[ID]],TabCondicoesComerciais[ID],TabCondicoesComerciais[Volume mínimo 
(m3)],0),"")</f>
        <v/>
      </c>
      <c r="Q516" s="2">
        <f>_xlfn.XLOOKUP(BD_Receitas[[#This Row],[ID]],TabCondicoesComerciais[ID],TabCondicoesComerciais[Vol. 1ºGiro],0)</f>
        <v>750</v>
      </c>
      <c r="R5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516" s="1">
        <f xml:space="preserve"> IF(BD_Receitas[[#This Row],[TIPO DE COBRANÇA]]="Operação Normal",
_xlfn.XLOOKUP(BD_Receitas[[#This Row],[ID]],TabCondicoesComerciais[ID],TabCondicoesComerciais[Tarifa 2º Giro],0),0)</f>
        <v>0</v>
      </c>
      <c r="T5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7" spans="1:24" hidden="1" x14ac:dyDescent="0.35">
      <c r="A517" s="3" t="s">
        <v>102</v>
      </c>
      <c r="B517" s="11">
        <v>45901</v>
      </c>
      <c r="C517" t="s">
        <v>31</v>
      </c>
      <c r="D517" t="s">
        <v>202</v>
      </c>
      <c r="E517" t="s">
        <v>36</v>
      </c>
      <c r="F517" s="10" t="s">
        <v>48</v>
      </c>
      <c r="G517" s="3" t="s">
        <v>49</v>
      </c>
      <c r="H517" s="3" t="s">
        <v>51</v>
      </c>
      <c r="I517" s="3" t="s">
        <v>15</v>
      </c>
      <c r="J517" s="1">
        <v>0</v>
      </c>
      <c r="K517" s="12">
        <v>0</v>
      </c>
      <c r="L517" s="1"/>
      <c r="M517" s="12"/>
      <c r="N517"/>
      <c r="O517"/>
      <c r="P517" s="2">
        <f>IF(BD_Receitas[[#This Row],[TIPO DE COBRANÇA]]="Operação Normal",
_xlfn.XLOOKUP(BD_Receitas[[#This Row],[ID]],TabCondicoesComerciais[ID],TabCondicoesComerciais[Volume mínimo 
(m3)],0),"")</f>
        <v>6500</v>
      </c>
      <c r="Q517" s="2">
        <f>_xlfn.XLOOKUP(BD_Receitas[[#This Row],[ID]],TabCondicoesComerciais[ID],TabCondicoesComerciais[Vol. 1ºGiro],0)</f>
        <v>750</v>
      </c>
      <c r="R5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517" s="1">
        <f xml:space="preserve"> IF(BD_Receitas[[#This Row],[TIPO DE COBRANÇA]]="Operação Normal",
_xlfn.XLOOKUP(BD_Receitas[[#This Row],[ID]],TabCondicoesComerciais[ID],TabCondicoesComerciais[Tarifa 2º Giro],0),0)</f>
        <v>32.42</v>
      </c>
      <c r="T51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5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18" spans="1:24" hidden="1" x14ac:dyDescent="0.35">
      <c r="A518" s="3" t="s">
        <v>102</v>
      </c>
      <c r="B518" s="11">
        <v>45901</v>
      </c>
      <c r="C518" t="s">
        <v>31</v>
      </c>
      <c r="D518" t="s">
        <v>202</v>
      </c>
      <c r="E518" t="s">
        <v>36</v>
      </c>
      <c r="F518" s="10" t="s">
        <v>48</v>
      </c>
      <c r="G518" s="3" t="s">
        <v>49</v>
      </c>
      <c r="H518" s="3" t="s">
        <v>51</v>
      </c>
      <c r="I518" s="3" t="s">
        <v>65</v>
      </c>
      <c r="J518" s="1">
        <v>0</v>
      </c>
      <c r="K518" s="12">
        <v>0</v>
      </c>
      <c r="L518" s="1"/>
      <c r="M518" s="12"/>
      <c r="N518"/>
      <c r="O518"/>
      <c r="P518" s="2" t="str">
        <f>IF(BD_Receitas[[#This Row],[TIPO DE COBRANÇA]]="Operação Normal",
_xlfn.XLOOKUP(BD_Receitas[[#This Row],[ID]],TabCondicoesComerciais[ID],TabCondicoesComerciais[Volume mínimo 
(m3)],0),"")</f>
        <v/>
      </c>
      <c r="Q518" s="2">
        <f>_xlfn.XLOOKUP(BD_Receitas[[#This Row],[ID]],TabCondicoesComerciais[ID],TabCondicoesComerciais[Vol. 1ºGiro],0)</f>
        <v>750</v>
      </c>
      <c r="R5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18" s="1">
        <f xml:space="preserve"> IF(BD_Receitas[[#This Row],[TIPO DE COBRANÇA]]="Operação Normal",
_xlfn.XLOOKUP(BD_Receitas[[#This Row],[ID]],TabCondicoesComerciais[ID],TabCondicoesComerciais[Tarifa 2º Giro],0),0)</f>
        <v>0</v>
      </c>
      <c r="T5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19" spans="1:24" hidden="1" x14ac:dyDescent="0.35">
      <c r="A519" s="3" t="s">
        <v>208</v>
      </c>
      <c r="B519" s="11">
        <v>45901</v>
      </c>
      <c r="C519" t="s">
        <v>31</v>
      </c>
      <c r="D519" t="s">
        <v>202</v>
      </c>
      <c r="E519" t="s">
        <v>35</v>
      </c>
      <c r="F519" s="10" t="s">
        <v>22</v>
      </c>
      <c r="G519" s="3" t="s">
        <v>11</v>
      </c>
      <c r="H519" s="3" t="s">
        <v>207</v>
      </c>
      <c r="I519" s="3" t="s">
        <v>7</v>
      </c>
      <c r="J519" s="1">
        <v>0</v>
      </c>
      <c r="K519" s="12">
        <v>0</v>
      </c>
      <c r="L519" s="1">
        <v>12908.04</v>
      </c>
      <c r="M519" s="12">
        <v>1369.81</v>
      </c>
      <c r="N519" t="s">
        <v>249</v>
      </c>
      <c r="O519"/>
      <c r="P519" s="2" t="str">
        <f>IF(BD_Receitas[[#This Row],[TIPO DE COBRANÇA]]="Operação Normal",
_xlfn.XLOOKUP(BD_Receitas[[#This Row],[ID]],TabCondicoesComerciais[ID],TabCondicoesComerciais[Volume mínimo 
(m3)],0),"")</f>
        <v/>
      </c>
      <c r="Q519" s="2">
        <f>_xlfn.XLOOKUP(BD_Receitas[[#This Row],[ID]],TabCondicoesComerciais[ID],TabCondicoesComerciais[Vol. 1ºGiro],0)</f>
        <v>625</v>
      </c>
      <c r="R5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519" s="1">
        <f xml:space="preserve"> IF(BD_Receitas[[#This Row],[TIPO DE COBRANÇA]]="Operação Normal",
_xlfn.XLOOKUP(BD_Receitas[[#This Row],[ID]],TabCondicoesComerciais[ID],TabCondicoesComerciais[Tarifa 2º Giro],0),0)</f>
        <v>0</v>
      </c>
      <c r="T51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1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1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1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0" spans="1:24" hidden="1" x14ac:dyDescent="0.35">
      <c r="A520" s="3" t="s">
        <v>208</v>
      </c>
      <c r="B520" s="11">
        <v>45901</v>
      </c>
      <c r="C520" t="s">
        <v>31</v>
      </c>
      <c r="D520" t="s">
        <v>202</v>
      </c>
      <c r="E520" t="s">
        <v>35</v>
      </c>
      <c r="F520" s="10" t="s">
        <v>22</v>
      </c>
      <c r="G520" s="3" t="s">
        <v>11</v>
      </c>
      <c r="H520" s="3" t="s">
        <v>207</v>
      </c>
      <c r="I520" s="3" t="s">
        <v>8</v>
      </c>
      <c r="J520" s="1">
        <v>0</v>
      </c>
      <c r="K520" s="12">
        <v>0</v>
      </c>
      <c r="L520" s="1"/>
      <c r="M520" s="12"/>
      <c r="N520"/>
      <c r="O520"/>
      <c r="P520" s="2" t="str">
        <f>IF(BD_Receitas[[#This Row],[TIPO DE COBRANÇA]]="Operação Normal",
_xlfn.XLOOKUP(BD_Receitas[[#This Row],[ID]],TabCondicoesComerciais[ID],TabCondicoesComerciais[Volume mínimo 
(m3)],0),"")</f>
        <v/>
      </c>
      <c r="Q520" s="2">
        <f>_xlfn.XLOOKUP(BD_Receitas[[#This Row],[ID]],TabCondicoesComerciais[ID],TabCondicoesComerciais[Vol. 1ºGiro],0)</f>
        <v>625</v>
      </c>
      <c r="R5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520" s="1">
        <f xml:space="preserve"> IF(BD_Receitas[[#This Row],[TIPO DE COBRANÇA]]="Operação Normal",
_xlfn.XLOOKUP(BD_Receitas[[#This Row],[ID]],TabCondicoesComerciais[ID],TabCondicoesComerciais[Tarifa 2º Giro],0),0)</f>
        <v>0</v>
      </c>
      <c r="T5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1" spans="1:24" hidden="1" x14ac:dyDescent="0.35">
      <c r="A521" s="3" t="s">
        <v>208</v>
      </c>
      <c r="B521" s="11">
        <v>45901</v>
      </c>
      <c r="C521" t="s">
        <v>31</v>
      </c>
      <c r="D521" t="s">
        <v>202</v>
      </c>
      <c r="E521" t="s">
        <v>35</v>
      </c>
      <c r="F521" s="10" t="s">
        <v>22</v>
      </c>
      <c r="G521" s="3" t="s">
        <v>11</v>
      </c>
      <c r="H521" s="3" t="s">
        <v>207</v>
      </c>
      <c r="I521" s="3" t="s">
        <v>15</v>
      </c>
      <c r="J521" s="1">
        <v>47210.53</v>
      </c>
      <c r="K521" s="12">
        <v>1875</v>
      </c>
      <c r="L521" s="1">
        <v>44162.13</v>
      </c>
      <c r="M521" s="12">
        <v>1372.0440000000001</v>
      </c>
      <c r="N521" t="s">
        <v>249</v>
      </c>
      <c r="O521"/>
      <c r="P521" s="2">
        <f>IF(BD_Receitas[[#This Row],[TIPO DE COBRANÇA]]="Operação Normal",
_xlfn.XLOOKUP(BD_Receitas[[#This Row],[ID]],TabCondicoesComerciais[ID],TabCondicoesComerciais[Volume mínimo 
(m3)],0),"")</f>
        <v>1875</v>
      </c>
      <c r="Q521" s="2">
        <f>_xlfn.XLOOKUP(BD_Receitas[[#This Row],[ID]],TabCondicoesComerciais[ID],TabCondicoesComerciais[Vol. 1ºGiro],0)</f>
        <v>625</v>
      </c>
      <c r="R5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521" s="1">
        <f xml:space="preserve"> IF(BD_Receitas[[#This Row],[TIPO DE COBRANÇA]]="Operação Normal",
_xlfn.XLOOKUP(BD_Receitas[[#This Row],[ID]],TabCondicoesComerciais[ID],TabCondicoesComerciais[Tarifa 2º Giro],0),0)</f>
        <v>33</v>
      </c>
      <c r="T521" s="5">
        <f>IFERROR(IF(BD_Receitas[[#This Row],[TIPO DE COBRANÇA]]&lt;&gt;"Operação Normal","",BD_Receitas[[#This Row],[Valor Total R$]]/ MAX(BD_Receitas[[#This Row],[Vol. Movimentado M³]],
BD_Receitas[[#This Row],[Volume Mínimo ]])
),0)</f>
        <v>23.553135999999999</v>
      </c>
      <c r="U52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41.59499986880887</v>
      </c>
      <c r="V52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52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45277.452000000005</v>
      </c>
      <c r="X5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22" spans="1:24" hidden="1" x14ac:dyDescent="0.35">
      <c r="A522" s="3" t="s">
        <v>208</v>
      </c>
      <c r="B522" s="11">
        <v>45901</v>
      </c>
      <c r="C522" t="s">
        <v>31</v>
      </c>
      <c r="D522" t="s">
        <v>202</v>
      </c>
      <c r="E522" t="s">
        <v>35</v>
      </c>
      <c r="F522" s="10" t="s">
        <v>22</v>
      </c>
      <c r="G522" s="3" t="s">
        <v>11</v>
      </c>
      <c r="H522" s="3" t="s">
        <v>207</v>
      </c>
      <c r="I522" s="3" t="s">
        <v>65</v>
      </c>
      <c r="J522" s="1">
        <v>0</v>
      </c>
      <c r="K522" s="12">
        <v>0</v>
      </c>
      <c r="L522" s="1"/>
      <c r="M522" s="12"/>
      <c r="N522"/>
      <c r="O522"/>
      <c r="P522" s="2" t="str">
        <f>IF(BD_Receitas[[#This Row],[TIPO DE COBRANÇA]]="Operação Normal",
_xlfn.XLOOKUP(BD_Receitas[[#This Row],[ID]],TabCondicoesComerciais[ID],TabCondicoesComerciais[Volume mínimo 
(m3)],0),"")</f>
        <v/>
      </c>
      <c r="Q522" s="2">
        <f>_xlfn.XLOOKUP(BD_Receitas[[#This Row],[ID]],TabCondicoesComerciais[ID],TabCondicoesComerciais[Vol. 1ºGiro],0)</f>
        <v>625</v>
      </c>
      <c r="R5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22" s="1">
        <f xml:space="preserve"> IF(BD_Receitas[[#This Row],[TIPO DE COBRANÇA]]="Operação Normal",
_xlfn.XLOOKUP(BD_Receitas[[#This Row],[ID]],TabCondicoesComerciais[ID],TabCondicoesComerciais[Tarifa 2º Giro],0),0)</f>
        <v>0</v>
      </c>
      <c r="T5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3" spans="1:24" hidden="1" x14ac:dyDescent="0.35">
      <c r="A523" s="3" t="s">
        <v>190</v>
      </c>
      <c r="B523" s="11">
        <v>45901</v>
      </c>
      <c r="C523" t="s">
        <v>31</v>
      </c>
      <c r="D523" t="s">
        <v>202</v>
      </c>
      <c r="E523" t="s">
        <v>35</v>
      </c>
      <c r="F523" s="10" t="s">
        <v>22</v>
      </c>
      <c r="G523" s="3" t="s">
        <v>11</v>
      </c>
      <c r="H523" s="3" t="s">
        <v>116</v>
      </c>
      <c r="I523" s="3" t="s">
        <v>7</v>
      </c>
      <c r="J523" s="1">
        <v>0</v>
      </c>
      <c r="K523" s="12">
        <v>0</v>
      </c>
      <c r="L523" s="1"/>
      <c r="M523" s="12"/>
      <c r="N523"/>
      <c r="O523"/>
      <c r="P523" s="2" t="str">
        <f>IF(BD_Receitas[[#This Row],[TIPO DE COBRANÇA]]="Operação Normal",
_xlfn.XLOOKUP(BD_Receitas[[#This Row],[ID]],TabCondicoesComerciais[ID],TabCondicoesComerciais[Volume mínimo 
(m3)],0),"")</f>
        <v/>
      </c>
      <c r="Q523" s="2">
        <f>_xlfn.XLOOKUP(BD_Receitas[[#This Row],[ID]],TabCondicoesComerciais[ID],TabCondicoesComerciais[Vol. 1ºGiro],0)</f>
        <v>580</v>
      </c>
      <c r="R5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23" s="1">
        <f xml:space="preserve"> IF(BD_Receitas[[#This Row],[TIPO DE COBRANÇA]]="Operação Normal",
_xlfn.XLOOKUP(BD_Receitas[[#This Row],[ID]],TabCondicoesComerciais[ID],TabCondicoesComerciais[Tarifa 2º Giro],0),0)</f>
        <v>0</v>
      </c>
      <c r="T52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4" spans="1:24" hidden="1" x14ac:dyDescent="0.35">
      <c r="A524" s="3" t="s">
        <v>190</v>
      </c>
      <c r="B524" s="11">
        <v>45901</v>
      </c>
      <c r="C524" t="s">
        <v>31</v>
      </c>
      <c r="D524" t="s">
        <v>202</v>
      </c>
      <c r="E524" t="s">
        <v>35</v>
      </c>
      <c r="F524" s="10" t="s">
        <v>22</v>
      </c>
      <c r="G524" s="3" t="s">
        <v>11</v>
      </c>
      <c r="H524" s="3" t="s">
        <v>116</v>
      </c>
      <c r="I524" s="3" t="s">
        <v>8</v>
      </c>
      <c r="J524" s="1">
        <v>0</v>
      </c>
      <c r="K524" s="12">
        <v>0</v>
      </c>
      <c r="L524" s="1"/>
      <c r="M524" s="12"/>
      <c r="N524"/>
      <c r="O524"/>
      <c r="P524" s="2" t="str">
        <f>IF(BD_Receitas[[#This Row],[TIPO DE COBRANÇA]]="Operação Normal",
_xlfn.XLOOKUP(BD_Receitas[[#This Row],[ID]],TabCondicoesComerciais[ID],TabCondicoesComerciais[Volume mínimo 
(m3)],0),"")</f>
        <v/>
      </c>
      <c r="Q524" s="2">
        <f>_xlfn.XLOOKUP(BD_Receitas[[#This Row],[ID]],TabCondicoesComerciais[ID],TabCondicoesComerciais[Vol. 1ºGiro],0)</f>
        <v>580</v>
      </c>
      <c r="R5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24" s="1">
        <f xml:space="preserve"> IF(BD_Receitas[[#This Row],[TIPO DE COBRANÇA]]="Operação Normal",
_xlfn.XLOOKUP(BD_Receitas[[#This Row],[ID]],TabCondicoesComerciais[ID],TabCondicoesComerciais[Tarifa 2º Giro],0),0)</f>
        <v>0</v>
      </c>
      <c r="T5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5" spans="1:24" hidden="1" x14ac:dyDescent="0.35">
      <c r="A525" s="3" t="s">
        <v>190</v>
      </c>
      <c r="B525" s="11">
        <v>45901</v>
      </c>
      <c r="C525" t="s">
        <v>31</v>
      </c>
      <c r="D525" t="s">
        <v>202</v>
      </c>
      <c r="E525" t="s">
        <v>35</v>
      </c>
      <c r="F525" s="10" t="s">
        <v>22</v>
      </c>
      <c r="G525" s="3" t="s">
        <v>11</v>
      </c>
      <c r="H525" s="3" t="s">
        <v>116</v>
      </c>
      <c r="I525" s="3" t="s">
        <v>15</v>
      </c>
      <c r="J525" s="1">
        <v>0</v>
      </c>
      <c r="K525" s="12">
        <v>0</v>
      </c>
      <c r="L525" s="1"/>
      <c r="M525" s="12"/>
      <c r="N525"/>
      <c r="O525"/>
      <c r="P525" s="2">
        <f>IF(BD_Receitas[[#This Row],[TIPO DE COBRANÇA]]="Operação Normal",
_xlfn.XLOOKUP(BD_Receitas[[#This Row],[ID]],TabCondicoesComerciais[ID],TabCondicoesComerciais[Volume mínimo 
(m3)],0),"")</f>
        <v>2000</v>
      </c>
      <c r="Q525" s="2">
        <f>_xlfn.XLOOKUP(BD_Receitas[[#This Row],[ID]],TabCondicoesComerciais[ID],TabCondicoesComerciais[Vol. 1ºGiro],0)</f>
        <v>580</v>
      </c>
      <c r="R5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525" s="1">
        <f xml:space="preserve"> IF(BD_Receitas[[#This Row],[TIPO DE COBRANÇA]]="Operação Normal",
_xlfn.XLOOKUP(BD_Receitas[[#This Row],[ID]],TabCondicoesComerciais[ID],TabCondicoesComerciais[Tarifa 2º Giro],0),0)</f>
        <v>27</v>
      </c>
      <c r="T52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2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2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52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26" spans="1:24" hidden="1" x14ac:dyDescent="0.35">
      <c r="A526" s="3" t="s">
        <v>190</v>
      </c>
      <c r="B526" s="11">
        <v>45901</v>
      </c>
      <c r="C526" t="s">
        <v>31</v>
      </c>
      <c r="D526" t="s">
        <v>202</v>
      </c>
      <c r="E526" t="s">
        <v>35</v>
      </c>
      <c r="F526" s="10" t="s">
        <v>22</v>
      </c>
      <c r="G526" s="3" t="s">
        <v>11</v>
      </c>
      <c r="H526" s="3" t="s">
        <v>116</v>
      </c>
      <c r="I526" s="3" t="s">
        <v>65</v>
      </c>
      <c r="J526" s="1">
        <v>0</v>
      </c>
      <c r="K526" s="12">
        <v>0</v>
      </c>
      <c r="L526" s="1"/>
      <c r="M526" s="12"/>
      <c r="N526"/>
      <c r="O526"/>
      <c r="P526" s="2" t="str">
        <f>IF(BD_Receitas[[#This Row],[TIPO DE COBRANÇA]]="Operação Normal",
_xlfn.XLOOKUP(BD_Receitas[[#This Row],[ID]],TabCondicoesComerciais[ID],TabCondicoesComerciais[Volume mínimo 
(m3)],0),"")</f>
        <v/>
      </c>
      <c r="Q526" s="2">
        <f>_xlfn.XLOOKUP(BD_Receitas[[#This Row],[ID]],TabCondicoesComerciais[ID],TabCondicoesComerciais[Vol. 1ºGiro],0)</f>
        <v>580</v>
      </c>
      <c r="R5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26" s="1">
        <f xml:space="preserve"> IF(BD_Receitas[[#This Row],[TIPO DE COBRANÇA]]="Operação Normal",
_xlfn.XLOOKUP(BD_Receitas[[#This Row],[ID]],TabCondicoesComerciais[ID],TabCondicoesComerciais[Tarifa 2º Giro],0),0)</f>
        <v>0</v>
      </c>
      <c r="T5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7" spans="1:24" hidden="1" x14ac:dyDescent="0.35">
      <c r="A527" s="3" t="s">
        <v>172</v>
      </c>
      <c r="B527" s="11">
        <v>45901</v>
      </c>
      <c r="C527" t="s">
        <v>31</v>
      </c>
      <c r="D527" t="s">
        <v>202</v>
      </c>
      <c r="E527" t="s">
        <v>35</v>
      </c>
      <c r="F527" s="10" t="s">
        <v>22</v>
      </c>
      <c r="G527" s="3" t="s">
        <v>11</v>
      </c>
      <c r="H527" s="3" t="s">
        <v>13</v>
      </c>
      <c r="I527" s="3" t="s">
        <v>7</v>
      </c>
      <c r="J527" s="1">
        <v>0</v>
      </c>
      <c r="K527" s="12">
        <v>0</v>
      </c>
      <c r="L527" s="1">
        <v>5643.95</v>
      </c>
      <c r="M527" s="12">
        <v>605.92899999999997</v>
      </c>
      <c r="N527" t="s">
        <v>250</v>
      </c>
      <c r="O527"/>
      <c r="P527" s="2" t="str">
        <f>IF(BD_Receitas[[#This Row],[TIPO DE COBRANÇA]]="Operação Normal",
_xlfn.XLOOKUP(BD_Receitas[[#This Row],[ID]],TabCondicoesComerciais[ID],TabCondicoesComerciais[Volume mínimo 
(m3)],0),"")</f>
        <v/>
      </c>
      <c r="Q527" s="2">
        <f>_xlfn.XLOOKUP(BD_Receitas[[#This Row],[ID]],TabCondicoesComerciais[ID],TabCondicoesComerciais[Vol. 1ºGiro],0)</f>
        <v>750</v>
      </c>
      <c r="R5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527" s="1">
        <f xml:space="preserve"> IF(BD_Receitas[[#This Row],[TIPO DE COBRANÇA]]="Operação Normal",
_xlfn.XLOOKUP(BD_Receitas[[#This Row],[ID]],TabCondicoesComerciais[ID],TabCondicoesComerciais[Tarifa 2º Giro],0),0)</f>
        <v>0</v>
      </c>
      <c r="T52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8" spans="1:24" hidden="1" x14ac:dyDescent="0.35">
      <c r="A528" s="3" t="s">
        <v>172</v>
      </c>
      <c r="B528" s="11">
        <v>45901</v>
      </c>
      <c r="C528" t="s">
        <v>31</v>
      </c>
      <c r="D528" t="s">
        <v>202</v>
      </c>
      <c r="E528" t="s">
        <v>35</v>
      </c>
      <c r="F528" s="10" t="s">
        <v>22</v>
      </c>
      <c r="G528" s="3" t="s">
        <v>11</v>
      </c>
      <c r="H528" s="3" t="s">
        <v>13</v>
      </c>
      <c r="I528" s="3" t="s">
        <v>8</v>
      </c>
      <c r="J528" s="1">
        <v>0</v>
      </c>
      <c r="K528" s="12">
        <v>0</v>
      </c>
      <c r="L528" s="1"/>
      <c r="M528" s="12"/>
      <c r="N528"/>
      <c r="O528"/>
      <c r="P528" s="2" t="str">
        <f>IF(BD_Receitas[[#This Row],[TIPO DE COBRANÇA]]="Operação Normal",
_xlfn.XLOOKUP(BD_Receitas[[#This Row],[ID]],TabCondicoesComerciais[ID],TabCondicoesComerciais[Volume mínimo 
(m3)],0),"")</f>
        <v/>
      </c>
      <c r="Q528" s="2">
        <f>_xlfn.XLOOKUP(BD_Receitas[[#This Row],[ID]],TabCondicoesComerciais[ID],TabCondicoesComerciais[Vol. 1ºGiro],0)</f>
        <v>750</v>
      </c>
      <c r="R5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528" s="1">
        <f xml:space="preserve"> IF(BD_Receitas[[#This Row],[TIPO DE COBRANÇA]]="Operação Normal",
_xlfn.XLOOKUP(BD_Receitas[[#This Row],[ID]],TabCondicoesComerciais[ID],TabCondicoesComerciais[Tarifa 2º Giro],0),0)</f>
        <v>0</v>
      </c>
      <c r="T5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29" spans="1:24" hidden="1" x14ac:dyDescent="0.35">
      <c r="A529" s="3" t="s">
        <v>172</v>
      </c>
      <c r="B529" s="11">
        <v>45901</v>
      </c>
      <c r="C529" t="s">
        <v>31</v>
      </c>
      <c r="D529" t="s">
        <v>202</v>
      </c>
      <c r="E529" t="s">
        <v>35</v>
      </c>
      <c r="F529" s="10" t="s">
        <v>22</v>
      </c>
      <c r="G529" s="3" t="s">
        <v>11</v>
      </c>
      <c r="H529" s="3" t="s">
        <v>13</v>
      </c>
      <c r="I529" s="3" t="s">
        <v>15</v>
      </c>
      <c r="J529" s="1">
        <v>0</v>
      </c>
      <c r="K529" s="12">
        <v>0</v>
      </c>
      <c r="L529" s="1">
        <v>17735.29</v>
      </c>
      <c r="M529" s="12">
        <v>757.30899999999997</v>
      </c>
      <c r="N529" t="s">
        <v>250</v>
      </c>
      <c r="O529" t="s">
        <v>251</v>
      </c>
      <c r="P529" s="2">
        <f>IF(BD_Receitas[[#This Row],[TIPO DE COBRANÇA]]="Operação Normal",
_xlfn.XLOOKUP(BD_Receitas[[#This Row],[ID]],TabCondicoesComerciais[ID],TabCondicoesComerciais[Volume mínimo 
(m3)],0),"")</f>
        <v>0</v>
      </c>
      <c r="Q529" s="2">
        <f>_xlfn.XLOOKUP(BD_Receitas[[#This Row],[ID]],TabCondicoesComerciais[ID],TabCondicoesComerciais[Vol. 1ºGiro],0)</f>
        <v>750</v>
      </c>
      <c r="R5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529" s="1">
        <f xml:space="preserve"> IF(BD_Receitas[[#This Row],[TIPO DE COBRANÇA]]="Operação Normal",
_xlfn.XLOOKUP(BD_Receitas[[#This Row],[ID]],TabCondicoesComerciais[ID],TabCondicoesComerciais[Tarifa 2º Giro],0),0)</f>
        <v>22.2</v>
      </c>
      <c r="T529" s="5">
        <f>IFERROR(IF(BD_Receitas[[#This Row],[TIPO DE COBRANÇA]]&lt;&gt;"Operação Normal","",BD_Receitas[[#This Row],[Valor Total R$]]/ MAX(BD_Receitas[[#This Row],[Vol. Movimentado M³]],
BD_Receitas[[#This Row],[Volume Mínimo ]])
),0)</f>
        <v>23.41882903808089</v>
      </c>
      <c r="U52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30.871467261051965</v>
      </c>
      <c r="V52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52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16812.2598</v>
      </c>
      <c r="X5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30" spans="1:24" hidden="1" x14ac:dyDescent="0.35">
      <c r="A530" s="3" t="s">
        <v>172</v>
      </c>
      <c r="B530" s="11">
        <v>45901</v>
      </c>
      <c r="C530" t="s">
        <v>31</v>
      </c>
      <c r="D530" t="s">
        <v>202</v>
      </c>
      <c r="E530" t="s">
        <v>35</v>
      </c>
      <c r="F530" s="10" t="s">
        <v>22</v>
      </c>
      <c r="G530" s="3" t="s">
        <v>11</v>
      </c>
      <c r="H530" s="3" t="s">
        <v>13</v>
      </c>
      <c r="I530" s="3" t="s">
        <v>65</v>
      </c>
      <c r="J530" s="1">
        <v>0</v>
      </c>
      <c r="K530" s="12">
        <v>0</v>
      </c>
      <c r="L530" s="1"/>
      <c r="M530" s="12"/>
      <c r="N530"/>
      <c r="O530"/>
      <c r="P530" s="2" t="str">
        <f>IF(BD_Receitas[[#This Row],[TIPO DE COBRANÇA]]="Operação Normal",
_xlfn.XLOOKUP(BD_Receitas[[#This Row],[ID]],TabCondicoesComerciais[ID],TabCondicoesComerciais[Volume mínimo 
(m3)],0),"")</f>
        <v/>
      </c>
      <c r="Q530" s="2">
        <f>_xlfn.XLOOKUP(BD_Receitas[[#This Row],[ID]],TabCondicoesComerciais[ID],TabCondicoesComerciais[Vol. 1ºGiro],0)</f>
        <v>750</v>
      </c>
      <c r="R5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30" s="1">
        <f xml:space="preserve"> IF(BD_Receitas[[#This Row],[TIPO DE COBRANÇA]]="Operação Normal",
_xlfn.XLOOKUP(BD_Receitas[[#This Row],[ID]],TabCondicoesComerciais[ID],TabCondicoesComerciais[Tarifa 2º Giro],0),0)</f>
        <v>0</v>
      </c>
      <c r="T5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1" spans="1:24" hidden="1" x14ac:dyDescent="0.35">
      <c r="A531" s="3" t="s">
        <v>149</v>
      </c>
      <c r="B531" s="11">
        <v>45901</v>
      </c>
      <c r="C531" t="s">
        <v>31</v>
      </c>
      <c r="D531" t="s">
        <v>110</v>
      </c>
      <c r="E531" t="s">
        <v>117</v>
      </c>
      <c r="F531" s="10" t="s">
        <v>23</v>
      </c>
      <c r="G531" s="3" t="s">
        <v>112</v>
      </c>
      <c r="H531" s="3" t="s">
        <v>113</v>
      </c>
      <c r="I531" s="3" t="s">
        <v>7</v>
      </c>
      <c r="J531" s="1">
        <v>0</v>
      </c>
      <c r="K531" s="12">
        <v>0</v>
      </c>
      <c r="L531" s="1"/>
      <c r="M531" s="12"/>
      <c r="N531"/>
      <c r="O531"/>
      <c r="P531" s="2" t="str">
        <f>IF(BD_Receitas[[#This Row],[TIPO DE COBRANÇA]]="Operação Normal",
_xlfn.XLOOKUP(BD_Receitas[[#This Row],[ID]],TabCondicoesComerciais[ID],TabCondicoesComerciais[Volume mínimo 
(m3)],0),"")</f>
        <v/>
      </c>
      <c r="Q531" s="2">
        <f>_xlfn.XLOOKUP(BD_Receitas[[#This Row],[ID]],TabCondicoesComerciais[ID],TabCondicoesComerciais[Vol. 1ºGiro],0)</f>
        <v>750</v>
      </c>
      <c r="R5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531" s="1">
        <f xml:space="preserve"> IF(BD_Receitas[[#This Row],[TIPO DE COBRANÇA]]="Operação Normal",
_xlfn.XLOOKUP(BD_Receitas[[#This Row],[ID]],TabCondicoesComerciais[ID],TabCondicoesComerciais[Tarifa 2º Giro],0),0)</f>
        <v>0</v>
      </c>
      <c r="T53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2" spans="1:24" hidden="1" x14ac:dyDescent="0.35">
      <c r="A532" s="3" t="s">
        <v>149</v>
      </c>
      <c r="B532" s="11">
        <v>45901</v>
      </c>
      <c r="C532" t="s">
        <v>31</v>
      </c>
      <c r="D532" t="s">
        <v>110</v>
      </c>
      <c r="E532" t="s">
        <v>117</v>
      </c>
      <c r="F532" s="10" t="s">
        <v>23</v>
      </c>
      <c r="G532" s="3" t="s">
        <v>112</v>
      </c>
      <c r="H532" s="3" t="s">
        <v>113</v>
      </c>
      <c r="I532" s="3" t="s">
        <v>8</v>
      </c>
      <c r="J532" s="1">
        <v>0</v>
      </c>
      <c r="K532" s="12">
        <v>0</v>
      </c>
      <c r="L532" s="1"/>
      <c r="M532" s="12"/>
      <c r="N532"/>
      <c r="O532"/>
      <c r="P532" s="2" t="str">
        <f>IF(BD_Receitas[[#This Row],[TIPO DE COBRANÇA]]="Operação Normal",
_xlfn.XLOOKUP(BD_Receitas[[#This Row],[ID]],TabCondicoesComerciais[ID],TabCondicoesComerciais[Volume mínimo 
(m3)],0),"")</f>
        <v/>
      </c>
      <c r="Q532" s="2">
        <f>_xlfn.XLOOKUP(BD_Receitas[[#This Row],[ID]],TabCondicoesComerciais[ID],TabCondicoesComerciais[Vol. 1ºGiro],0)</f>
        <v>750</v>
      </c>
      <c r="R5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532" s="1">
        <f xml:space="preserve"> IF(BD_Receitas[[#This Row],[TIPO DE COBRANÇA]]="Operação Normal",
_xlfn.XLOOKUP(BD_Receitas[[#This Row],[ID]],TabCondicoesComerciais[ID],TabCondicoesComerciais[Tarifa 2º Giro],0),0)</f>
        <v>0</v>
      </c>
      <c r="T5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3" spans="1:24" hidden="1" x14ac:dyDescent="0.35">
      <c r="A533" s="3" t="s">
        <v>149</v>
      </c>
      <c r="B533" s="11">
        <v>45901</v>
      </c>
      <c r="C533" t="s">
        <v>31</v>
      </c>
      <c r="D533" t="s">
        <v>110</v>
      </c>
      <c r="E533" t="s">
        <v>117</v>
      </c>
      <c r="F533" s="10" t="s">
        <v>23</v>
      </c>
      <c r="G533" s="3" t="s">
        <v>112</v>
      </c>
      <c r="H533" s="3" t="s">
        <v>113</v>
      </c>
      <c r="I533" s="3" t="s">
        <v>15</v>
      </c>
      <c r="J533" s="1">
        <v>0</v>
      </c>
      <c r="K533" s="12">
        <v>0</v>
      </c>
      <c r="L533" s="1"/>
      <c r="M533" s="12"/>
      <c r="N533"/>
      <c r="O533"/>
      <c r="P533" s="2">
        <f>IF(BD_Receitas[[#This Row],[TIPO DE COBRANÇA]]="Operação Normal",
_xlfn.XLOOKUP(BD_Receitas[[#This Row],[ID]],TabCondicoesComerciais[ID],TabCondicoesComerciais[Volume mínimo 
(m3)],0),"")</f>
        <v>3000</v>
      </c>
      <c r="Q533" s="2">
        <f>_xlfn.XLOOKUP(BD_Receitas[[#This Row],[ID]],TabCondicoesComerciais[ID],TabCondicoesComerciais[Vol. 1ºGiro],0)</f>
        <v>750</v>
      </c>
      <c r="R5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533" s="1">
        <f xml:space="preserve"> IF(BD_Receitas[[#This Row],[TIPO DE COBRANÇA]]="Operação Normal",
_xlfn.XLOOKUP(BD_Receitas[[#This Row],[ID]],TabCondicoesComerciais[ID],TabCondicoesComerciais[Tarifa 2º Giro],0),0)</f>
        <v>19.5</v>
      </c>
      <c r="T53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3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3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53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34" spans="1:24" hidden="1" x14ac:dyDescent="0.35">
      <c r="A534" s="3" t="s">
        <v>149</v>
      </c>
      <c r="B534" s="11">
        <v>45901</v>
      </c>
      <c r="C534" t="s">
        <v>31</v>
      </c>
      <c r="D534" t="s">
        <v>110</v>
      </c>
      <c r="E534" t="s">
        <v>117</v>
      </c>
      <c r="F534" s="10" t="s">
        <v>23</v>
      </c>
      <c r="G534" s="3" t="s">
        <v>112</v>
      </c>
      <c r="H534" s="3" t="s">
        <v>113</v>
      </c>
      <c r="I534" s="3" t="s">
        <v>65</v>
      </c>
      <c r="J534" s="1">
        <v>0</v>
      </c>
      <c r="K534" s="12">
        <v>0</v>
      </c>
      <c r="L534" s="1"/>
      <c r="M534" s="12"/>
      <c r="N534"/>
      <c r="O534"/>
      <c r="P534" s="2" t="str">
        <f>IF(BD_Receitas[[#This Row],[TIPO DE COBRANÇA]]="Operação Normal",
_xlfn.XLOOKUP(BD_Receitas[[#This Row],[ID]],TabCondicoesComerciais[ID],TabCondicoesComerciais[Volume mínimo 
(m3)],0),"")</f>
        <v/>
      </c>
      <c r="Q534" s="2">
        <f>_xlfn.XLOOKUP(BD_Receitas[[#This Row],[ID]],TabCondicoesComerciais[ID],TabCondicoesComerciais[Vol. 1ºGiro],0)</f>
        <v>750</v>
      </c>
      <c r="R5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34" s="1">
        <f xml:space="preserve"> IF(BD_Receitas[[#This Row],[TIPO DE COBRANÇA]]="Operação Normal",
_xlfn.XLOOKUP(BD_Receitas[[#This Row],[ID]],TabCondicoesComerciais[ID],TabCondicoesComerciais[Tarifa 2º Giro],0),0)</f>
        <v>0</v>
      </c>
      <c r="T5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5" spans="1:24" hidden="1" x14ac:dyDescent="0.35">
      <c r="A535" s="3" t="s">
        <v>177</v>
      </c>
      <c r="B535" s="11">
        <v>45901</v>
      </c>
      <c r="C535" t="s">
        <v>31</v>
      </c>
      <c r="D535" t="s">
        <v>62</v>
      </c>
      <c r="E535" t="s">
        <v>33</v>
      </c>
      <c r="F535" s="10" t="s">
        <v>46</v>
      </c>
      <c r="G535" s="3" t="s">
        <v>87</v>
      </c>
      <c r="H535" s="3" t="s">
        <v>9</v>
      </c>
      <c r="I535" s="3" t="s">
        <v>7</v>
      </c>
      <c r="J535" s="1">
        <v>0</v>
      </c>
      <c r="K535" s="12">
        <v>0</v>
      </c>
      <c r="L535" s="1"/>
      <c r="M535" s="12"/>
      <c r="N535"/>
      <c r="O535"/>
      <c r="P535" s="2" t="str">
        <f>IF(BD_Receitas[[#This Row],[TIPO DE COBRANÇA]]="Operação Normal",
_xlfn.XLOOKUP(BD_Receitas[[#This Row],[ID]],TabCondicoesComerciais[ID],TabCondicoesComerciais[Volume mínimo 
(m3)],0),"")</f>
        <v/>
      </c>
      <c r="Q535" s="2">
        <f>_xlfn.XLOOKUP(BD_Receitas[[#This Row],[ID]],TabCondicoesComerciais[ID],TabCondicoesComerciais[Vol. 1ºGiro],0)</f>
        <v>1070</v>
      </c>
      <c r="R5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535" s="1">
        <f xml:space="preserve"> IF(BD_Receitas[[#This Row],[TIPO DE COBRANÇA]]="Operação Normal",
_xlfn.XLOOKUP(BD_Receitas[[#This Row],[ID]],TabCondicoesComerciais[ID],TabCondicoesComerciais[Tarifa 2º Giro],0),0)</f>
        <v>0</v>
      </c>
      <c r="T53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6" spans="1:24" hidden="1" x14ac:dyDescent="0.35">
      <c r="A536" s="3" t="s">
        <v>177</v>
      </c>
      <c r="B536" s="11">
        <v>45901</v>
      </c>
      <c r="C536" t="s">
        <v>31</v>
      </c>
      <c r="D536" t="s">
        <v>62</v>
      </c>
      <c r="E536" t="s">
        <v>33</v>
      </c>
      <c r="F536" s="10" t="s">
        <v>46</v>
      </c>
      <c r="G536" s="3" t="s">
        <v>87</v>
      </c>
      <c r="H536" s="3" t="s">
        <v>9</v>
      </c>
      <c r="I536" s="3" t="s">
        <v>8</v>
      </c>
      <c r="J536" s="1">
        <v>0</v>
      </c>
      <c r="K536" s="12">
        <v>0</v>
      </c>
      <c r="L536" s="1">
        <v>217.08600000000001</v>
      </c>
      <c r="M536" s="12">
        <v>27.712</v>
      </c>
      <c r="N536" t="s">
        <v>48</v>
      </c>
      <c r="O536"/>
      <c r="P536" s="2" t="str">
        <f>IF(BD_Receitas[[#This Row],[TIPO DE COBRANÇA]]="Operação Normal",
_xlfn.XLOOKUP(BD_Receitas[[#This Row],[ID]],TabCondicoesComerciais[ID],TabCondicoesComerciais[Volume mínimo 
(m3)],0),"")</f>
        <v/>
      </c>
      <c r="Q536" s="2">
        <f>_xlfn.XLOOKUP(BD_Receitas[[#This Row],[ID]],TabCondicoesComerciais[ID],TabCondicoesComerciais[Vol. 1ºGiro],0)</f>
        <v>1070</v>
      </c>
      <c r="R5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536" s="1">
        <f xml:space="preserve"> IF(BD_Receitas[[#This Row],[TIPO DE COBRANÇA]]="Operação Normal",
_xlfn.XLOOKUP(BD_Receitas[[#This Row],[ID]],TabCondicoesComerciais[ID],TabCondicoesComerciais[Tarifa 2º Giro],0),0)</f>
        <v>0</v>
      </c>
      <c r="T5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7" spans="1:24" hidden="1" x14ac:dyDescent="0.35">
      <c r="A537" s="3" t="s">
        <v>177</v>
      </c>
      <c r="B537" s="11">
        <v>45901</v>
      </c>
      <c r="C537" t="s">
        <v>31</v>
      </c>
      <c r="D537" t="s">
        <v>62</v>
      </c>
      <c r="E537" t="s">
        <v>33</v>
      </c>
      <c r="F537" s="10" t="s">
        <v>46</v>
      </c>
      <c r="G537" s="3" t="s">
        <v>87</v>
      </c>
      <c r="H537" s="3" t="s">
        <v>9</v>
      </c>
      <c r="I537" s="3" t="s">
        <v>15</v>
      </c>
      <c r="J537" s="1">
        <v>65348.32</v>
      </c>
      <c r="K537" s="12">
        <v>1926</v>
      </c>
      <c r="L537" s="1">
        <v>62864.639999999999</v>
      </c>
      <c r="M537" s="12">
        <v>1143.3320000000001</v>
      </c>
      <c r="N537" t="s">
        <v>48</v>
      </c>
      <c r="O537"/>
      <c r="P537" s="2">
        <f>IF(BD_Receitas[[#This Row],[TIPO DE COBRANÇA]]="Operação Normal",
_xlfn.XLOOKUP(BD_Receitas[[#This Row],[ID]],TabCondicoesComerciais[ID],TabCondicoesComerciais[Volume mínimo 
(m3)],0),"")</f>
        <v>3210</v>
      </c>
      <c r="Q537" s="2">
        <f>_xlfn.XLOOKUP(BD_Receitas[[#This Row],[ID]],TabCondicoesComerciais[ID],TabCondicoesComerciais[Vol. 1ºGiro],0)</f>
        <v>1070</v>
      </c>
      <c r="R5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537" s="1">
        <f xml:space="preserve"> IF(BD_Receitas[[#This Row],[TIPO DE COBRANÇA]]="Operação Normal",
_xlfn.XLOOKUP(BD_Receitas[[#This Row],[ID]],TabCondicoesComerciais[ID],TabCondicoesComerciais[Tarifa 2º Giro],0),0)</f>
        <v>32.64</v>
      </c>
      <c r="T537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53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59.775923353846466</v>
      </c>
      <c r="V53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53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37318.356480000009</v>
      </c>
      <c r="X5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38" spans="1:24" hidden="1" x14ac:dyDescent="0.35">
      <c r="A538" s="3" t="s">
        <v>177</v>
      </c>
      <c r="B538" s="11">
        <v>45901</v>
      </c>
      <c r="C538" t="s">
        <v>31</v>
      </c>
      <c r="D538" t="s">
        <v>62</v>
      </c>
      <c r="E538" t="s">
        <v>33</v>
      </c>
      <c r="F538" s="10" t="s">
        <v>46</v>
      </c>
      <c r="G538" s="3" t="s">
        <v>87</v>
      </c>
      <c r="H538" s="3" t="s">
        <v>9</v>
      </c>
      <c r="I538" s="3" t="s">
        <v>65</v>
      </c>
      <c r="J538" s="1">
        <v>0</v>
      </c>
      <c r="K538" s="12">
        <v>0</v>
      </c>
      <c r="L538" s="1">
        <v>5262</v>
      </c>
      <c r="M538" s="12">
        <v>0</v>
      </c>
      <c r="N538" t="s">
        <v>48</v>
      </c>
      <c r="O538"/>
      <c r="P538" s="2" t="str">
        <f>IF(BD_Receitas[[#This Row],[TIPO DE COBRANÇA]]="Operação Normal",
_xlfn.XLOOKUP(BD_Receitas[[#This Row],[ID]],TabCondicoesComerciais[ID],TabCondicoesComerciais[Volume mínimo 
(m3)],0),"")</f>
        <v/>
      </c>
      <c r="Q538" s="2">
        <f>_xlfn.XLOOKUP(BD_Receitas[[#This Row],[ID]],TabCondicoesComerciais[ID],TabCondicoesComerciais[Vol. 1ºGiro],0)</f>
        <v>1070</v>
      </c>
      <c r="R5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38" s="1">
        <f xml:space="preserve"> IF(BD_Receitas[[#This Row],[TIPO DE COBRANÇA]]="Operação Normal",
_xlfn.XLOOKUP(BD_Receitas[[#This Row],[ID]],TabCondicoesComerciais[ID],TabCondicoesComerciais[Tarifa 2º Giro],0),0)</f>
        <v>0</v>
      </c>
      <c r="T5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39" spans="1:24" hidden="1" x14ac:dyDescent="0.35">
      <c r="A539" s="3" t="s">
        <v>200</v>
      </c>
      <c r="B539" s="11">
        <v>45901</v>
      </c>
      <c r="C539" t="s">
        <v>31</v>
      </c>
      <c r="D539" t="s">
        <v>203</v>
      </c>
      <c r="E539" t="s">
        <v>32</v>
      </c>
      <c r="F539" s="10" t="s">
        <v>25</v>
      </c>
      <c r="G539" s="3" t="s">
        <v>12</v>
      </c>
      <c r="H539" s="3" t="s">
        <v>10</v>
      </c>
      <c r="I539" s="3" t="s">
        <v>7</v>
      </c>
      <c r="J539" s="1">
        <v>0</v>
      </c>
      <c r="K539" s="12">
        <v>0</v>
      </c>
      <c r="L539" s="1">
        <v>3445.23</v>
      </c>
      <c r="M539" s="12">
        <v>123.044</v>
      </c>
      <c r="N539" t="s">
        <v>198</v>
      </c>
      <c r="O539" t="s">
        <v>129</v>
      </c>
      <c r="P539" s="2" t="str">
        <f>IF(BD_Receitas[[#This Row],[TIPO DE COBRANÇA]]="Operação Normal",
_xlfn.XLOOKUP(BD_Receitas[[#This Row],[ID]],TabCondicoesComerciais[ID],TabCondicoesComerciais[Volume mínimo 
(m3)],0),"")</f>
        <v/>
      </c>
      <c r="Q539" s="2">
        <f>_xlfn.XLOOKUP(BD_Receitas[[#This Row],[ID]],TabCondicoesComerciais[ID],TabCondicoesComerciais[Vol. 1ºGiro],0)</f>
        <v>2000</v>
      </c>
      <c r="R5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39" s="1">
        <f xml:space="preserve"> IF(BD_Receitas[[#This Row],[TIPO DE COBRANÇA]]="Operação Normal",
_xlfn.XLOOKUP(BD_Receitas[[#This Row],[ID]],TabCondicoesComerciais[ID],TabCondicoesComerciais[Tarifa 2º Giro],0),0)</f>
        <v>0</v>
      </c>
      <c r="T53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3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3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3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0" spans="1:24" hidden="1" x14ac:dyDescent="0.35">
      <c r="A540" s="3" t="s">
        <v>200</v>
      </c>
      <c r="B540" s="11">
        <v>45901</v>
      </c>
      <c r="C540" t="s">
        <v>31</v>
      </c>
      <c r="D540" t="s">
        <v>203</v>
      </c>
      <c r="E540" t="s">
        <v>32</v>
      </c>
      <c r="F540" s="10" t="s">
        <v>25</v>
      </c>
      <c r="G540" s="3" t="s">
        <v>12</v>
      </c>
      <c r="H540" s="3" t="s">
        <v>10</v>
      </c>
      <c r="I540" s="3" t="s">
        <v>7</v>
      </c>
      <c r="J540" s="1">
        <v>0</v>
      </c>
      <c r="K540" s="12">
        <v>0</v>
      </c>
      <c r="L540" s="1">
        <v>3445.23</v>
      </c>
      <c r="M540" s="12">
        <v>123.044</v>
      </c>
      <c r="N540" t="s">
        <v>198</v>
      </c>
      <c r="O540" t="s">
        <v>129</v>
      </c>
      <c r="P540" s="2" t="str">
        <f>IF(BD_Receitas[[#This Row],[TIPO DE COBRANÇA]]="Operação Normal",
_xlfn.XLOOKUP(BD_Receitas[[#This Row],[ID]],TabCondicoesComerciais[ID],TabCondicoesComerciais[Volume mínimo 
(m3)],0),"")</f>
        <v/>
      </c>
      <c r="Q540" s="2">
        <f>_xlfn.XLOOKUP(BD_Receitas[[#This Row],[ID]],TabCondicoesComerciais[ID],TabCondicoesComerciais[Vol. 1ºGiro],0)</f>
        <v>2000</v>
      </c>
      <c r="R5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40" s="1">
        <f xml:space="preserve"> IF(BD_Receitas[[#This Row],[TIPO DE COBRANÇA]]="Operação Normal",
_xlfn.XLOOKUP(BD_Receitas[[#This Row],[ID]],TabCondicoesComerciais[ID],TabCondicoesComerciais[Tarifa 2º Giro],0),0)</f>
        <v>0</v>
      </c>
      <c r="T5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1" spans="1:24" hidden="1" x14ac:dyDescent="0.35">
      <c r="A541" s="3" t="s">
        <v>200</v>
      </c>
      <c r="B541" s="11">
        <v>45901</v>
      </c>
      <c r="C541" t="s">
        <v>31</v>
      </c>
      <c r="D541" t="s">
        <v>203</v>
      </c>
      <c r="E541" t="s">
        <v>32</v>
      </c>
      <c r="F541" s="10" t="s">
        <v>25</v>
      </c>
      <c r="G541" s="3" t="s">
        <v>12</v>
      </c>
      <c r="H541" s="3" t="s">
        <v>10</v>
      </c>
      <c r="I541" s="3" t="s">
        <v>7</v>
      </c>
      <c r="J541" s="1">
        <v>0</v>
      </c>
      <c r="K541" s="12">
        <v>0</v>
      </c>
      <c r="L541" s="1">
        <v>3445.23</v>
      </c>
      <c r="M541" s="12">
        <v>123.044</v>
      </c>
      <c r="N541" t="s">
        <v>198</v>
      </c>
      <c r="O541" t="s">
        <v>129</v>
      </c>
      <c r="P541" s="2" t="str">
        <f>IF(BD_Receitas[[#This Row],[TIPO DE COBRANÇA]]="Operação Normal",
_xlfn.XLOOKUP(BD_Receitas[[#This Row],[ID]],TabCondicoesComerciais[ID],TabCondicoesComerciais[Volume mínimo 
(m3)],0),"")</f>
        <v/>
      </c>
      <c r="Q541" s="2">
        <f>_xlfn.XLOOKUP(BD_Receitas[[#This Row],[ID]],TabCondicoesComerciais[ID],TabCondicoesComerciais[Vol. 1ºGiro],0)</f>
        <v>2000</v>
      </c>
      <c r="R5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41" s="1">
        <f xml:space="preserve"> IF(BD_Receitas[[#This Row],[TIPO DE COBRANÇA]]="Operação Normal",
_xlfn.XLOOKUP(BD_Receitas[[#This Row],[ID]],TabCondicoesComerciais[ID],TabCondicoesComerciais[Tarifa 2º Giro],0),0)</f>
        <v>0</v>
      </c>
      <c r="T5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2" spans="1:24" hidden="1" x14ac:dyDescent="0.35">
      <c r="A542" s="3" t="s">
        <v>200</v>
      </c>
      <c r="B542" s="11">
        <v>45901</v>
      </c>
      <c r="C542" t="s">
        <v>31</v>
      </c>
      <c r="D542" t="s">
        <v>203</v>
      </c>
      <c r="E542" t="s">
        <v>32</v>
      </c>
      <c r="F542" s="10" t="s">
        <v>25</v>
      </c>
      <c r="G542" s="3" t="s">
        <v>12</v>
      </c>
      <c r="H542" s="3" t="s">
        <v>10</v>
      </c>
      <c r="I542" s="3" t="s">
        <v>8</v>
      </c>
      <c r="J542" s="1">
        <v>0</v>
      </c>
      <c r="K542" s="12">
        <v>0</v>
      </c>
      <c r="L542" s="1"/>
      <c r="M542" s="12"/>
      <c r="N542"/>
      <c r="O542"/>
      <c r="P542" s="2" t="str">
        <f>IF(BD_Receitas[[#This Row],[TIPO DE COBRANÇA]]="Operação Normal",
_xlfn.XLOOKUP(BD_Receitas[[#This Row],[ID]],TabCondicoesComerciais[ID],TabCondicoesComerciais[Volume mínimo 
(m3)],0),"")</f>
        <v/>
      </c>
      <c r="Q542" s="2">
        <f>_xlfn.XLOOKUP(BD_Receitas[[#This Row],[ID]],TabCondicoesComerciais[ID],TabCondicoesComerciais[Vol. 1ºGiro],0)</f>
        <v>2000</v>
      </c>
      <c r="R5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42" s="1">
        <f xml:space="preserve"> IF(BD_Receitas[[#This Row],[TIPO DE COBRANÇA]]="Operação Normal",
_xlfn.XLOOKUP(BD_Receitas[[#This Row],[ID]],TabCondicoesComerciais[ID],TabCondicoesComerciais[Tarifa 2º Giro],0),0)</f>
        <v>0</v>
      </c>
      <c r="T5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3" spans="1:24" hidden="1" x14ac:dyDescent="0.35">
      <c r="A543" s="3" t="s">
        <v>200</v>
      </c>
      <c r="B543" s="11">
        <v>45901</v>
      </c>
      <c r="C543" t="s">
        <v>31</v>
      </c>
      <c r="D543" t="s">
        <v>203</v>
      </c>
      <c r="E543" t="s">
        <v>32</v>
      </c>
      <c r="F543" s="10" t="s">
        <v>25</v>
      </c>
      <c r="G543" s="3" t="s">
        <v>12</v>
      </c>
      <c r="H543" s="3" t="s">
        <v>10</v>
      </c>
      <c r="I543" s="3" t="s">
        <v>15</v>
      </c>
      <c r="J543" s="1">
        <v>0</v>
      </c>
      <c r="K543" s="12">
        <v>0</v>
      </c>
      <c r="L543" s="1">
        <v>253606.94</v>
      </c>
      <c r="M543" s="12">
        <v>12680.347</v>
      </c>
      <c r="N543" t="s">
        <v>198</v>
      </c>
      <c r="O543" t="s">
        <v>155</v>
      </c>
      <c r="P543" s="2">
        <f>IF(BD_Receitas[[#This Row],[TIPO DE COBRANÇA]]="Operação Normal",
_xlfn.XLOOKUP(BD_Receitas[[#This Row],[ID]],TabCondicoesComerciais[ID],TabCondicoesComerciais[Volume mínimo 
(m3)],0),"")</f>
        <v>8000</v>
      </c>
      <c r="Q543" s="2">
        <f>_xlfn.XLOOKUP(BD_Receitas[[#This Row],[ID]],TabCondicoesComerciais[ID],TabCondicoesComerciais[Vol. 1ºGiro],0)</f>
        <v>2000</v>
      </c>
      <c r="R5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543" s="1">
        <f xml:space="preserve"> IF(BD_Receitas[[#This Row],[TIPO DE COBRANÇA]]="Operação Normal",
_xlfn.XLOOKUP(BD_Receitas[[#This Row],[ID]],TabCondicoesComerciais[ID],TabCondicoesComerciais[Tarifa 2º Giro],0),0)</f>
        <v>20</v>
      </c>
      <c r="T543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5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60.815095202047708</v>
      </c>
      <c r="V5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5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253606.94</v>
      </c>
      <c r="X5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544" spans="1:24" hidden="1" x14ac:dyDescent="0.35">
      <c r="A544" s="3" t="s">
        <v>200</v>
      </c>
      <c r="B544" s="11">
        <v>45901</v>
      </c>
      <c r="C544" t="s">
        <v>31</v>
      </c>
      <c r="D544" t="s">
        <v>203</v>
      </c>
      <c r="E544" t="s">
        <v>32</v>
      </c>
      <c r="F544" s="10" t="s">
        <v>25</v>
      </c>
      <c r="G544" s="3" t="s">
        <v>12</v>
      </c>
      <c r="H544" s="3" t="s">
        <v>10</v>
      </c>
      <c r="I544" s="3" t="s">
        <v>15</v>
      </c>
      <c r="J544" s="1">
        <v>0</v>
      </c>
      <c r="K544" s="12">
        <v>0</v>
      </c>
      <c r="L544" s="1">
        <v>253606.94</v>
      </c>
      <c r="M544" s="12">
        <v>12680.347</v>
      </c>
      <c r="N544" t="s">
        <v>198</v>
      </c>
      <c r="O544" t="s">
        <v>155</v>
      </c>
      <c r="P544" s="2">
        <f>IF(BD_Receitas[[#This Row],[TIPO DE COBRANÇA]]="Operação Normal",
_xlfn.XLOOKUP(BD_Receitas[[#This Row],[ID]],TabCondicoesComerciais[ID],TabCondicoesComerciais[Volume mínimo 
(m3)],0),"")</f>
        <v>8000</v>
      </c>
      <c r="Q544" s="2">
        <f>_xlfn.XLOOKUP(BD_Receitas[[#This Row],[ID]],TabCondicoesComerciais[ID],TabCondicoesComerciais[Vol. 1ºGiro],0)</f>
        <v>2000</v>
      </c>
      <c r="R5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544" s="1">
        <f xml:space="preserve"> IF(BD_Receitas[[#This Row],[TIPO DE COBRANÇA]]="Operação Normal",
_xlfn.XLOOKUP(BD_Receitas[[#This Row],[ID]],TabCondicoesComerciais[ID],TabCondicoesComerciais[Tarifa 2º Giro],0),0)</f>
        <v>20</v>
      </c>
      <c r="T544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54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60.815095202047708</v>
      </c>
      <c r="V54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54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253606.94</v>
      </c>
      <c r="X5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545" spans="1:24" hidden="1" x14ac:dyDescent="0.35">
      <c r="A545" s="3" t="s">
        <v>200</v>
      </c>
      <c r="B545" s="11">
        <v>45901</v>
      </c>
      <c r="C545" t="s">
        <v>31</v>
      </c>
      <c r="D545" t="s">
        <v>203</v>
      </c>
      <c r="E545" t="s">
        <v>32</v>
      </c>
      <c r="F545" s="10" t="s">
        <v>25</v>
      </c>
      <c r="G545" s="3" t="s">
        <v>12</v>
      </c>
      <c r="H545" s="3" t="s">
        <v>10</v>
      </c>
      <c r="I545" s="3" t="s">
        <v>15</v>
      </c>
      <c r="J545" s="1">
        <v>0</v>
      </c>
      <c r="K545" s="12">
        <v>0</v>
      </c>
      <c r="L545" s="1">
        <v>253606.94</v>
      </c>
      <c r="M545" s="12">
        <v>12680.347</v>
      </c>
      <c r="N545" t="s">
        <v>198</v>
      </c>
      <c r="O545" t="s">
        <v>155</v>
      </c>
      <c r="P545" s="2">
        <f>IF(BD_Receitas[[#This Row],[TIPO DE COBRANÇA]]="Operação Normal",
_xlfn.XLOOKUP(BD_Receitas[[#This Row],[ID]],TabCondicoesComerciais[ID],TabCondicoesComerciais[Volume mínimo 
(m3)],0),"")</f>
        <v>8000</v>
      </c>
      <c r="Q545" s="2">
        <f>_xlfn.XLOOKUP(BD_Receitas[[#This Row],[ID]],TabCondicoesComerciais[ID],TabCondicoesComerciais[Vol. 1ºGiro],0)</f>
        <v>2000</v>
      </c>
      <c r="R5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545" s="1">
        <f xml:space="preserve"> IF(BD_Receitas[[#This Row],[TIPO DE COBRANÇA]]="Operação Normal",
_xlfn.XLOOKUP(BD_Receitas[[#This Row],[ID]],TabCondicoesComerciais[ID],TabCondicoesComerciais[Tarifa 2º Giro],0),0)</f>
        <v>20</v>
      </c>
      <c r="T54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54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60.815095202047708</v>
      </c>
      <c r="V54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54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253606.94</v>
      </c>
      <c r="X5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546" spans="1:24" hidden="1" x14ac:dyDescent="0.35">
      <c r="A546" s="3" t="s">
        <v>200</v>
      </c>
      <c r="B546" s="11">
        <v>45901</v>
      </c>
      <c r="C546" t="s">
        <v>31</v>
      </c>
      <c r="D546" t="s">
        <v>203</v>
      </c>
      <c r="E546" t="s">
        <v>32</v>
      </c>
      <c r="F546" s="10" t="s">
        <v>25</v>
      </c>
      <c r="G546" s="3" t="s">
        <v>12</v>
      </c>
      <c r="H546" s="3" t="s">
        <v>10</v>
      </c>
      <c r="I546" s="3" t="s">
        <v>65</v>
      </c>
      <c r="J546" s="1">
        <v>0</v>
      </c>
      <c r="K546" s="12">
        <v>0</v>
      </c>
      <c r="L546" s="1"/>
      <c r="M546" s="12"/>
      <c r="N546"/>
      <c r="O546"/>
      <c r="P546" s="2" t="str">
        <f>IF(BD_Receitas[[#This Row],[TIPO DE COBRANÇA]]="Operação Normal",
_xlfn.XLOOKUP(BD_Receitas[[#This Row],[ID]],TabCondicoesComerciais[ID],TabCondicoesComerciais[Volume mínimo 
(m3)],0),"")</f>
        <v/>
      </c>
      <c r="Q546" s="2">
        <f>_xlfn.XLOOKUP(BD_Receitas[[#This Row],[ID]],TabCondicoesComerciais[ID],TabCondicoesComerciais[Vol. 1ºGiro],0)</f>
        <v>2000</v>
      </c>
      <c r="R5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46" s="1">
        <f xml:space="preserve"> IF(BD_Receitas[[#This Row],[TIPO DE COBRANÇA]]="Operação Normal",
_xlfn.XLOOKUP(BD_Receitas[[#This Row],[ID]],TabCondicoesComerciais[ID],TabCondicoesComerciais[Tarifa 2º Giro],0),0)</f>
        <v>0</v>
      </c>
      <c r="T5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7" spans="1:24" hidden="1" x14ac:dyDescent="0.35">
      <c r="A547" s="3" t="s">
        <v>264</v>
      </c>
      <c r="B547" s="11">
        <v>45901</v>
      </c>
      <c r="C547" t="s">
        <v>31</v>
      </c>
      <c r="D547" t="s">
        <v>203</v>
      </c>
      <c r="E547" t="s">
        <v>32</v>
      </c>
      <c r="F547" s="10" t="s">
        <v>25</v>
      </c>
      <c r="G547" s="3" t="s">
        <v>12</v>
      </c>
      <c r="H547" s="3" t="s">
        <v>9</v>
      </c>
      <c r="I547" s="3" t="s">
        <v>7</v>
      </c>
      <c r="J547" s="1">
        <v>0</v>
      </c>
      <c r="K547" s="12">
        <v>0</v>
      </c>
      <c r="L547" s="1">
        <v>2467</v>
      </c>
      <c r="M547" s="12">
        <v>274.11200000000002</v>
      </c>
      <c r="N547" t="s">
        <v>187</v>
      </c>
      <c r="O547" t="s">
        <v>129</v>
      </c>
      <c r="P547" s="2" t="str">
        <f>IF(BD_Receitas[[#This Row],[TIPO DE COBRANÇA]]="Operação Normal",
_xlfn.XLOOKUP(BD_Receitas[[#This Row],[ID]],TabCondicoesComerciais[ID],TabCondicoesComerciais[Volume mínimo 
(m3)],0),"")</f>
        <v/>
      </c>
      <c r="Q547" s="2">
        <f>_xlfn.XLOOKUP(BD_Receitas[[#This Row],[ID]],TabCondicoesComerciais[ID],TabCondicoesComerciais[Vol. 1ºGiro],0)</f>
        <v>1125</v>
      </c>
      <c r="R5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547" s="1">
        <f xml:space="preserve"> IF(BD_Receitas[[#This Row],[TIPO DE COBRANÇA]]="Operação Normal",
_xlfn.XLOOKUP(BD_Receitas[[#This Row],[ID]],TabCondicoesComerciais[ID],TabCondicoesComerciais[Tarifa 2º Giro],0),0)</f>
        <v>0</v>
      </c>
      <c r="T54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8" spans="1:24" hidden="1" x14ac:dyDescent="0.35">
      <c r="A548" s="3" t="s">
        <v>264</v>
      </c>
      <c r="B548" s="11">
        <v>45901</v>
      </c>
      <c r="C548" t="s">
        <v>31</v>
      </c>
      <c r="D548" t="s">
        <v>203</v>
      </c>
      <c r="E548" t="s">
        <v>32</v>
      </c>
      <c r="F548" s="10" t="s">
        <v>25</v>
      </c>
      <c r="G548" s="3" t="s">
        <v>12</v>
      </c>
      <c r="H548" s="3" t="s">
        <v>9</v>
      </c>
      <c r="I548" s="3" t="s">
        <v>7</v>
      </c>
      <c r="J548" s="1">
        <v>0</v>
      </c>
      <c r="K548" s="12">
        <v>0</v>
      </c>
      <c r="L548" s="1">
        <v>2467</v>
      </c>
      <c r="M548" s="12">
        <v>274.11200000000002</v>
      </c>
      <c r="N548" t="s">
        <v>187</v>
      </c>
      <c r="O548" t="s">
        <v>129</v>
      </c>
      <c r="P548" s="2" t="str">
        <f>IF(BD_Receitas[[#This Row],[TIPO DE COBRANÇA]]="Operação Normal",
_xlfn.XLOOKUP(BD_Receitas[[#This Row],[ID]],TabCondicoesComerciais[ID],TabCondicoesComerciais[Volume mínimo 
(m3)],0),"")</f>
        <v/>
      </c>
      <c r="Q548" s="2">
        <f>_xlfn.XLOOKUP(BD_Receitas[[#This Row],[ID]],TabCondicoesComerciais[ID],TabCondicoesComerciais[Vol. 1ºGiro],0)</f>
        <v>1125</v>
      </c>
      <c r="R5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548" s="1">
        <f xml:space="preserve"> IF(BD_Receitas[[#This Row],[TIPO DE COBRANÇA]]="Operação Normal",
_xlfn.XLOOKUP(BD_Receitas[[#This Row],[ID]],TabCondicoesComerciais[ID],TabCondicoesComerciais[Tarifa 2º Giro],0),0)</f>
        <v>0</v>
      </c>
      <c r="T5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49" spans="1:24" hidden="1" x14ac:dyDescent="0.35">
      <c r="A549" s="3" t="s">
        <v>264</v>
      </c>
      <c r="B549" s="11">
        <v>45901</v>
      </c>
      <c r="C549" t="s">
        <v>31</v>
      </c>
      <c r="D549" t="s">
        <v>203</v>
      </c>
      <c r="E549" t="s">
        <v>32</v>
      </c>
      <c r="F549" s="10" t="s">
        <v>25</v>
      </c>
      <c r="G549" s="3" t="s">
        <v>12</v>
      </c>
      <c r="H549" s="3" t="s">
        <v>9</v>
      </c>
      <c r="I549" s="3" t="s">
        <v>7</v>
      </c>
      <c r="J549" s="1">
        <v>0</v>
      </c>
      <c r="K549" s="12">
        <v>0</v>
      </c>
      <c r="L549" s="1">
        <v>2467</v>
      </c>
      <c r="M549" s="12">
        <v>274.11200000000002</v>
      </c>
      <c r="N549" t="s">
        <v>187</v>
      </c>
      <c r="O549" t="s">
        <v>129</v>
      </c>
      <c r="P549" s="2" t="str">
        <f>IF(BD_Receitas[[#This Row],[TIPO DE COBRANÇA]]="Operação Normal",
_xlfn.XLOOKUP(BD_Receitas[[#This Row],[ID]],TabCondicoesComerciais[ID],TabCondicoesComerciais[Volume mínimo 
(m3)],0),"")</f>
        <v/>
      </c>
      <c r="Q549" s="2">
        <f>_xlfn.XLOOKUP(BD_Receitas[[#This Row],[ID]],TabCondicoesComerciais[ID],TabCondicoesComerciais[Vol. 1ºGiro],0)</f>
        <v>1125</v>
      </c>
      <c r="R5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549" s="1">
        <f xml:space="preserve"> IF(BD_Receitas[[#This Row],[TIPO DE COBRANÇA]]="Operação Normal",
_xlfn.XLOOKUP(BD_Receitas[[#This Row],[ID]],TabCondicoesComerciais[ID],TabCondicoesComerciais[Tarifa 2º Giro],0),0)</f>
        <v>0</v>
      </c>
      <c r="T5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0" spans="1:24" hidden="1" x14ac:dyDescent="0.35">
      <c r="A550" s="3" t="s">
        <v>264</v>
      </c>
      <c r="B550" s="11">
        <v>45901</v>
      </c>
      <c r="C550" t="s">
        <v>31</v>
      </c>
      <c r="D550" t="s">
        <v>203</v>
      </c>
      <c r="E550" t="s">
        <v>32</v>
      </c>
      <c r="F550" s="10" t="s">
        <v>25</v>
      </c>
      <c r="G550" s="3" t="s">
        <v>12</v>
      </c>
      <c r="H550" s="3" t="s">
        <v>9</v>
      </c>
      <c r="I550" s="3" t="s">
        <v>8</v>
      </c>
      <c r="J550" s="1">
        <v>0</v>
      </c>
      <c r="K550" s="12">
        <v>0</v>
      </c>
      <c r="L550" s="1"/>
      <c r="M550" s="12"/>
      <c r="N550"/>
      <c r="O550"/>
      <c r="P550" s="2" t="str">
        <f>IF(BD_Receitas[[#This Row],[TIPO DE COBRANÇA]]="Operação Normal",
_xlfn.XLOOKUP(BD_Receitas[[#This Row],[ID]],TabCondicoesComerciais[ID],TabCondicoesComerciais[Volume mínimo 
(m3)],0),"")</f>
        <v/>
      </c>
      <c r="Q550" s="2">
        <f>_xlfn.XLOOKUP(BD_Receitas[[#This Row],[ID]],TabCondicoesComerciais[ID],TabCondicoesComerciais[Vol. 1ºGiro],0)</f>
        <v>1125</v>
      </c>
      <c r="R5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550" s="1">
        <f xml:space="preserve"> IF(BD_Receitas[[#This Row],[TIPO DE COBRANÇA]]="Operação Normal",
_xlfn.XLOOKUP(BD_Receitas[[#This Row],[ID]],TabCondicoesComerciais[ID],TabCondicoesComerciais[Tarifa 2º Giro],0),0)</f>
        <v>0</v>
      </c>
      <c r="T5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1" spans="1:24" hidden="1" x14ac:dyDescent="0.35">
      <c r="A551" s="3" t="s">
        <v>264</v>
      </c>
      <c r="B551" s="11">
        <v>45901</v>
      </c>
      <c r="C551" t="s">
        <v>31</v>
      </c>
      <c r="D551" t="s">
        <v>203</v>
      </c>
      <c r="E551" t="s">
        <v>32</v>
      </c>
      <c r="F551" s="10" t="s">
        <v>25</v>
      </c>
      <c r="G551" s="3" t="s">
        <v>12</v>
      </c>
      <c r="H551" s="3" t="s">
        <v>9</v>
      </c>
      <c r="I551" s="3" t="s">
        <v>15</v>
      </c>
      <c r="J551" s="1">
        <v>165115.51999999999</v>
      </c>
      <c r="K551" s="12">
        <v>5625</v>
      </c>
      <c r="L551" s="1">
        <v>165859</v>
      </c>
      <c r="M551" s="12">
        <v>5261.0370000000003</v>
      </c>
      <c r="N551" t="s">
        <v>187</v>
      </c>
      <c r="O551" t="s">
        <v>155</v>
      </c>
      <c r="P551" s="2">
        <f>IF(BD_Receitas[[#This Row],[TIPO DE COBRANÇA]]="Operação Normal",
_xlfn.XLOOKUP(BD_Receitas[[#This Row],[ID]],TabCondicoesComerciais[ID],TabCondicoesComerciais[Volume mínimo 
(m3)],0),"")</f>
        <v>5625</v>
      </c>
      <c r="Q551" s="2">
        <f>_xlfn.XLOOKUP(BD_Receitas[[#This Row],[ID]],TabCondicoesComerciais[ID],TabCondicoesComerciais[Vol. 1ºGiro],0)</f>
        <v>1125</v>
      </c>
      <c r="R5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551" s="1">
        <f xml:space="preserve"> IF(BD_Receitas[[#This Row],[TIPO DE COBRANÇA]]="Operação Normal",
_xlfn.XLOOKUP(BD_Receitas[[#This Row],[ID]],TabCondicoesComerciais[ID],TabCondicoesComerciais[Tarifa 2º Giro],0),0)</f>
        <v>27.19</v>
      </c>
      <c r="T551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5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32.93267087838386</v>
      </c>
      <c r="V5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5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143047.59603000002</v>
      </c>
      <c r="X5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52" spans="1:24" hidden="1" x14ac:dyDescent="0.35">
      <c r="A552" s="3" t="s">
        <v>264</v>
      </c>
      <c r="B552" s="11">
        <v>45901</v>
      </c>
      <c r="C552" t="s">
        <v>31</v>
      </c>
      <c r="D552" t="s">
        <v>203</v>
      </c>
      <c r="E552" t="s">
        <v>32</v>
      </c>
      <c r="F552" s="10" t="s">
        <v>25</v>
      </c>
      <c r="G552" s="3" t="s">
        <v>12</v>
      </c>
      <c r="H552" s="3" t="s">
        <v>9</v>
      </c>
      <c r="I552" s="3" t="s">
        <v>65</v>
      </c>
      <c r="J552" s="1">
        <v>0</v>
      </c>
      <c r="K552" s="12">
        <v>0</v>
      </c>
      <c r="L552" s="1"/>
      <c r="M552" s="12"/>
      <c r="N552"/>
      <c r="O552"/>
      <c r="P552" s="2" t="str">
        <f>IF(BD_Receitas[[#This Row],[TIPO DE COBRANÇA]]="Operação Normal",
_xlfn.XLOOKUP(BD_Receitas[[#This Row],[ID]],TabCondicoesComerciais[ID],TabCondicoesComerciais[Volume mínimo 
(m3)],0),"")</f>
        <v/>
      </c>
      <c r="Q552" s="2">
        <f>_xlfn.XLOOKUP(BD_Receitas[[#This Row],[ID]],TabCondicoesComerciais[ID],TabCondicoesComerciais[Vol. 1ºGiro],0)</f>
        <v>1125</v>
      </c>
      <c r="R5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52" s="1">
        <f xml:space="preserve"> IF(BD_Receitas[[#This Row],[TIPO DE COBRANÇA]]="Operação Normal",
_xlfn.XLOOKUP(BD_Receitas[[#This Row],[ID]],TabCondicoesComerciais[ID],TabCondicoesComerciais[Tarifa 2º Giro],0),0)</f>
        <v>0</v>
      </c>
      <c r="T5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3" spans="1:24" hidden="1" x14ac:dyDescent="0.35">
      <c r="A553" s="3" t="s">
        <v>169</v>
      </c>
      <c r="B553" s="11">
        <v>45901</v>
      </c>
      <c r="C553" t="s">
        <v>31</v>
      </c>
      <c r="D553" t="s">
        <v>203</v>
      </c>
      <c r="E553" t="s">
        <v>32</v>
      </c>
      <c r="F553" s="10" t="s">
        <v>25</v>
      </c>
      <c r="G553" s="3" t="s">
        <v>12</v>
      </c>
      <c r="H553" s="3" t="s">
        <v>170</v>
      </c>
      <c r="I553" s="3" t="s">
        <v>7</v>
      </c>
      <c r="J553" s="1">
        <v>0</v>
      </c>
      <c r="K553" s="12">
        <v>0</v>
      </c>
      <c r="L553" s="1"/>
      <c r="M553" s="12"/>
      <c r="N553"/>
      <c r="O553"/>
      <c r="P553" s="2" t="str">
        <f>IF(BD_Receitas[[#This Row],[TIPO DE COBRANÇA]]="Operação Normal",
_xlfn.XLOOKUP(BD_Receitas[[#This Row],[ID]],TabCondicoesComerciais[ID],TabCondicoesComerciais[Volume mínimo 
(m3)],0),"")</f>
        <v/>
      </c>
      <c r="Q553" s="2">
        <f>_xlfn.XLOOKUP(BD_Receitas[[#This Row],[ID]],TabCondicoesComerciais[ID],TabCondicoesComerciais[Vol. 1ºGiro],0)</f>
        <v>1040</v>
      </c>
      <c r="R5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553" s="1">
        <f xml:space="preserve"> IF(BD_Receitas[[#This Row],[TIPO DE COBRANÇA]]="Operação Normal",
_xlfn.XLOOKUP(BD_Receitas[[#This Row],[ID]],TabCondicoesComerciais[ID],TabCondicoesComerciais[Tarifa 2º Giro],0),0)</f>
        <v>0</v>
      </c>
      <c r="T5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4" spans="1:24" hidden="1" x14ac:dyDescent="0.35">
      <c r="A554" s="3" t="s">
        <v>169</v>
      </c>
      <c r="B554" s="11">
        <v>45901</v>
      </c>
      <c r="C554" t="s">
        <v>31</v>
      </c>
      <c r="D554" t="s">
        <v>203</v>
      </c>
      <c r="E554" t="s">
        <v>32</v>
      </c>
      <c r="F554" s="10" t="s">
        <v>25</v>
      </c>
      <c r="G554" s="3" t="s">
        <v>12</v>
      </c>
      <c r="H554" s="3" t="s">
        <v>170</v>
      </c>
      <c r="I554" s="3" t="s">
        <v>8</v>
      </c>
      <c r="J554" s="1">
        <v>0</v>
      </c>
      <c r="K554" s="12">
        <v>0</v>
      </c>
      <c r="L554" s="1"/>
      <c r="M554" s="12"/>
      <c r="N554"/>
      <c r="O554"/>
      <c r="P554" s="2" t="str">
        <f>IF(BD_Receitas[[#This Row],[TIPO DE COBRANÇA]]="Operação Normal",
_xlfn.XLOOKUP(BD_Receitas[[#This Row],[ID]],TabCondicoesComerciais[ID],TabCondicoesComerciais[Volume mínimo 
(m3)],0),"")</f>
        <v/>
      </c>
      <c r="Q554" s="2">
        <f>_xlfn.XLOOKUP(BD_Receitas[[#This Row],[ID]],TabCondicoesComerciais[ID],TabCondicoesComerciais[Vol. 1ºGiro],0)</f>
        <v>1040</v>
      </c>
      <c r="R5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554" s="1">
        <f xml:space="preserve"> IF(BD_Receitas[[#This Row],[TIPO DE COBRANÇA]]="Operação Normal",
_xlfn.XLOOKUP(BD_Receitas[[#This Row],[ID]],TabCondicoesComerciais[ID],TabCondicoesComerciais[Tarifa 2º Giro],0),0)</f>
        <v>0</v>
      </c>
      <c r="T5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5" spans="1:24" hidden="1" x14ac:dyDescent="0.35">
      <c r="A555" s="3" t="s">
        <v>169</v>
      </c>
      <c r="B555" s="11">
        <v>45901</v>
      </c>
      <c r="C555" t="s">
        <v>31</v>
      </c>
      <c r="D555" t="s">
        <v>203</v>
      </c>
      <c r="E555" t="s">
        <v>32</v>
      </c>
      <c r="F555" s="10" t="s">
        <v>25</v>
      </c>
      <c r="G555" s="3" t="s">
        <v>12</v>
      </c>
      <c r="H555" s="3" t="s">
        <v>170</v>
      </c>
      <c r="I555" s="3" t="s">
        <v>15</v>
      </c>
      <c r="J555" s="1">
        <v>123240</v>
      </c>
      <c r="K555" s="12">
        <v>4160</v>
      </c>
      <c r="L555" s="1">
        <v>118310.39999999999</v>
      </c>
      <c r="M555" s="12">
        <v>811.88400000000001</v>
      </c>
      <c r="N555" t="s">
        <v>55</v>
      </c>
      <c r="O555" t="s">
        <v>155</v>
      </c>
      <c r="P555" s="2">
        <f>IF(BD_Receitas[[#This Row],[TIPO DE COBRANÇA]]="Operação Normal",
_xlfn.XLOOKUP(BD_Receitas[[#This Row],[ID]],TabCondicoesComerciais[ID],TabCondicoesComerciais[Volume mínimo 
(m3)],0),"")</f>
        <v>4160</v>
      </c>
      <c r="Q555" s="2">
        <f>_xlfn.XLOOKUP(BD_Receitas[[#This Row],[ID]],TabCondicoesComerciais[ID],TabCondicoesComerciais[Vol. 1ºGiro],0)</f>
        <v>1040</v>
      </c>
      <c r="R5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555" s="1">
        <f xml:space="preserve"> IF(BD_Receitas[[#This Row],[TIPO DE COBRANÇA]]="Operação Normal",
_xlfn.XLOOKUP(BD_Receitas[[#This Row],[ID]],TabCondicoesComerciais[ID],TabCondicoesComerciais[Tarifa 2º Giro],0),0)</f>
        <v>28.44</v>
      </c>
      <c r="T555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5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145.72328066571086</v>
      </c>
      <c r="V5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5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23089.980960000001</v>
      </c>
      <c r="X5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556" spans="1:24" hidden="1" x14ac:dyDescent="0.35">
      <c r="A556" s="3" t="s">
        <v>169</v>
      </c>
      <c r="B556" s="11">
        <v>45901</v>
      </c>
      <c r="C556" t="s">
        <v>31</v>
      </c>
      <c r="D556" t="s">
        <v>203</v>
      </c>
      <c r="E556" t="s">
        <v>32</v>
      </c>
      <c r="F556" s="10" t="s">
        <v>25</v>
      </c>
      <c r="G556" s="3" t="s">
        <v>12</v>
      </c>
      <c r="H556" s="3" t="s">
        <v>170</v>
      </c>
      <c r="I556" s="3" t="s">
        <v>65</v>
      </c>
      <c r="J556" s="1">
        <v>0</v>
      </c>
      <c r="K556" s="12">
        <v>0</v>
      </c>
      <c r="L556" s="1"/>
      <c r="M556" s="12"/>
      <c r="N556"/>
      <c r="O556"/>
      <c r="P556" s="2" t="str">
        <f>IF(BD_Receitas[[#This Row],[TIPO DE COBRANÇA]]="Operação Normal",
_xlfn.XLOOKUP(BD_Receitas[[#This Row],[ID]],TabCondicoesComerciais[ID],TabCondicoesComerciais[Volume mínimo 
(m3)],0),"")</f>
        <v/>
      </c>
      <c r="Q556" s="2">
        <f>_xlfn.XLOOKUP(BD_Receitas[[#This Row],[ID]],TabCondicoesComerciais[ID],TabCondicoesComerciais[Vol. 1ºGiro],0)</f>
        <v>1040</v>
      </c>
      <c r="R5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56" s="1">
        <f xml:space="preserve"> IF(BD_Receitas[[#This Row],[TIPO DE COBRANÇA]]="Operação Normal",
_xlfn.XLOOKUP(BD_Receitas[[#This Row],[ID]],TabCondicoesComerciais[ID],TabCondicoesComerciais[Tarifa 2º Giro],0),0)</f>
        <v>0</v>
      </c>
      <c r="T5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7" spans="1:24" hidden="1" x14ac:dyDescent="0.35">
      <c r="A557" s="3" t="s">
        <v>134</v>
      </c>
      <c r="B557" s="11">
        <v>45901</v>
      </c>
      <c r="C557" t="s">
        <v>31</v>
      </c>
      <c r="D557" t="s">
        <v>62</v>
      </c>
      <c r="E557" t="s">
        <v>37</v>
      </c>
      <c r="F557" s="10" t="s">
        <v>57</v>
      </c>
      <c r="G557" s="3" t="s">
        <v>58</v>
      </c>
      <c r="H557" s="3" t="s">
        <v>10</v>
      </c>
      <c r="I557" s="3" t="s">
        <v>7</v>
      </c>
      <c r="J557" s="1">
        <v>0</v>
      </c>
      <c r="K557" s="12">
        <v>0</v>
      </c>
      <c r="L557" s="1"/>
      <c r="M557" s="12"/>
      <c r="N557"/>
      <c r="O557"/>
      <c r="P557" s="2" t="str">
        <f>IF(BD_Receitas[[#This Row],[TIPO DE COBRANÇA]]="Operação Normal",
_xlfn.XLOOKUP(BD_Receitas[[#This Row],[ID]],TabCondicoesComerciais[ID],TabCondicoesComerciais[Volume mínimo 
(m3)],0),"")</f>
        <v/>
      </c>
      <c r="Q557" s="2">
        <f>_xlfn.XLOOKUP(BD_Receitas[[#This Row],[ID]],TabCondicoesComerciais[ID],TabCondicoesComerciais[Vol. 1ºGiro],0)</f>
        <v>310</v>
      </c>
      <c r="R5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57" s="1">
        <f xml:space="preserve"> IF(BD_Receitas[[#This Row],[TIPO DE COBRANÇA]]="Operação Normal",
_xlfn.XLOOKUP(BD_Receitas[[#This Row],[ID]],TabCondicoesComerciais[ID],TabCondicoesComerciais[Tarifa 2º Giro],0),0)</f>
        <v>0</v>
      </c>
      <c r="T5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8" spans="1:24" hidden="1" x14ac:dyDescent="0.35">
      <c r="A558" s="3" t="s">
        <v>134</v>
      </c>
      <c r="B558" s="11">
        <v>45901</v>
      </c>
      <c r="C558" t="s">
        <v>31</v>
      </c>
      <c r="D558" t="s">
        <v>62</v>
      </c>
      <c r="E558" t="s">
        <v>37</v>
      </c>
      <c r="F558" s="10" t="s">
        <v>57</v>
      </c>
      <c r="G558" s="3" t="s">
        <v>58</v>
      </c>
      <c r="H558" s="3" t="s">
        <v>10</v>
      </c>
      <c r="I558" s="3" t="s">
        <v>8</v>
      </c>
      <c r="J558" s="1">
        <v>0</v>
      </c>
      <c r="K558" s="12">
        <v>0</v>
      </c>
      <c r="L558" s="1"/>
      <c r="M558" s="12"/>
      <c r="N558"/>
      <c r="O558"/>
      <c r="P558" s="2" t="str">
        <f>IF(BD_Receitas[[#This Row],[TIPO DE COBRANÇA]]="Operação Normal",
_xlfn.XLOOKUP(BD_Receitas[[#This Row],[ID]],TabCondicoesComerciais[ID],TabCondicoesComerciais[Volume mínimo 
(m3)],0),"")</f>
        <v/>
      </c>
      <c r="Q558" s="2">
        <f>_xlfn.XLOOKUP(BD_Receitas[[#This Row],[ID]],TabCondicoesComerciais[ID],TabCondicoesComerciais[Vol. 1ºGiro],0)</f>
        <v>310</v>
      </c>
      <c r="R5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558" s="1">
        <f xml:space="preserve"> IF(BD_Receitas[[#This Row],[TIPO DE COBRANÇA]]="Operação Normal",
_xlfn.XLOOKUP(BD_Receitas[[#This Row],[ID]],TabCondicoesComerciais[ID],TabCondicoesComerciais[Tarifa 2º Giro],0),0)</f>
        <v>0</v>
      </c>
      <c r="T5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59" spans="1:24" hidden="1" x14ac:dyDescent="0.35">
      <c r="A559" s="3" t="s">
        <v>134</v>
      </c>
      <c r="B559" s="11">
        <v>45901</v>
      </c>
      <c r="C559" t="s">
        <v>31</v>
      </c>
      <c r="D559" t="s">
        <v>62</v>
      </c>
      <c r="E559" t="s">
        <v>37</v>
      </c>
      <c r="F559" s="10" t="s">
        <v>57</v>
      </c>
      <c r="G559" s="3" t="s">
        <v>58</v>
      </c>
      <c r="H559" s="3" t="s">
        <v>10</v>
      </c>
      <c r="I559" s="3" t="s">
        <v>15</v>
      </c>
      <c r="J559" s="1">
        <v>35019.49</v>
      </c>
      <c r="K559" s="12">
        <v>1100</v>
      </c>
      <c r="L559" s="1">
        <v>16583.57</v>
      </c>
      <c r="M559" s="12">
        <v>1065.423</v>
      </c>
      <c r="N559" t="s">
        <v>252</v>
      </c>
      <c r="O559" t="s">
        <v>253</v>
      </c>
      <c r="P559" s="2">
        <f>IF(BD_Receitas[[#This Row],[TIPO DE COBRANÇA]]="Operação Normal",
_xlfn.XLOOKUP(BD_Receitas[[#This Row],[ID]],TabCondicoesComerciais[ID],TabCondicoesComerciais[Volume mínimo 
(m3)],0),"")</f>
        <v>1100</v>
      </c>
      <c r="Q559" s="2">
        <f>_xlfn.XLOOKUP(BD_Receitas[[#This Row],[ID]],TabCondicoesComerciais[ID],TabCondicoesComerciais[Vol. 1ºGiro],0)</f>
        <v>310</v>
      </c>
      <c r="R5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559" s="1">
        <f xml:space="preserve"> IF(BD_Receitas[[#This Row],[TIPO DE COBRANÇA]]="Operação Normal",
_xlfn.XLOOKUP(BD_Receitas[[#This Row],[ID]],TabCondicoesComerciais[ID],TabCondicoesComerciais[Tarifa 2º Giro],0),0)</f>
        <v>31.04</v>
      </c>
      <c r="T559" s="5">
        <f>IFERROR(IF(BD_Receitas[[#This Row],[TIPO DE COBRANÇA]]&lt;&gt;"Operação Normal","",BD_Receitas[[#This Row],[Valor Total R$]]/ MAX(BD_Receitas[[#This Row],[Vol. Movimentado M³]],
BD_Receitas[[#This Row],[Volume Mínimo ]])
),0)</f>
        <v>15.075972727272728</v>
      </c>
      <c r="U5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15.565244977816322</v>
      </c>
      <c r="V5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5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33070.729919999998</v>
      </c>
      <c r="X5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60" spans="1:24" hidden="1" x14ac:dyDescent="0.35">
      <c r="A560" s="3" t="s">
        <v>134</v>
      </c>
      <c r="B560" s="11">
        <v>45901</v>
      </c>
      <c r="C560" t="s">
        <v>31</v>
      </c>
      <c r="D560" t="s">
        <v>62</v>
      </c>
      <c r="E560" t="s">
        <v>37</v>
      </c>
      <c r="F560" s="10" t="s">
        <v>57</v>
      </c>
      <c r="G560" s="3" t="s">
        <v>58</v>
      </c>
      <c r="H560" s="3" t="s">
        <v>10</v>
      </c>
      <c r="I560" s="3" t="s">
        <v>65</v>
      </c>
      <c r="J560" s="1">
        <v>0</v>
      </c>
      <c r="K560" s="12">
        <v>0</v>
      </c>
      <c r="L560" s="1"/>
      <c r="M560" s="12"/>
      <c r="N560"/>
      <c r="O560"/>
      <c r="P560" s="2" t="str">
        <f>IF(BD_Receitas[[#This Row],[TIPO DE COBRANÇA]]="Operação Normal",
_xlfn.XLOOKUP(BD_Receitas[[#This Row],[ID]],TabCondicoesComerciais[ID],TabCondicoesComerciais[Volume mínimo 
(m3)],0),"")</f>
        <v/>
      </c>
      <c r="Q560" s="2">
        <f>_xlfn.XLOOKUP(BD_Receitas[[#This Row],[ID]],TabCondicoesComerciais[ID],TabCondicoesComerciais[Vol. 1ºGiro],0)</f>
        <v>310</v>
      </c>
      <c r="R5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0" s="1">
        <f xml:space="preserve"> IF(BD_Receitas[[#This Row],[TIPO DE COBRANÇA]]="Operação Normal",
_xlfn.XLOOKUP(BD_Receitas[[#This Row],[ID]],TabCondicoesComerciais[ID],TabCondicoesComerciais[Tarifa 2º Giro],0),0)</f>
        <v>0</v>
      </c>
      <c r="T5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1" spans="1:24" hidden="1" x14ac:dyDescent="0.35">
      <c r="A561" s="3" t="s">
        <v>173</v>
      </c>
      <c r="B561" s="11">
        <v>45901</v>
      </c>
      <c r="C561" t="s">
        <v>31</v>
      </c>
      <c r="D561" t="s">
        <v>62</v>
      </c>
      <c r="E561" t="s">
        <v>37</v>
      </c>
      <c r="F561" s="10" t="s">
        <v>57</v>
      </c>
      <c r="G561" s="3" t="s">
        <v>58</v>
      </c>
      <c r="H561" s="3" t="s">
        <v>6</v>
      </c>
      <c r="I561" s="3" t="s">
        <v>7</v>
      </c>
      <c r="J561" s="1">
        <v>0</v>
      </c>
      <c r="K561" s="12">
        <v>0</v>
      </c>
      <c r="L561" s="1"/>
      <c r="M561" s="12"/>
      <c r="N561"/>
      <c r="O561"/>
      <c r="P561" s="2" t="str">
        <f>IF(BD_Receitas[[#This Row],[TIPO DE COBRANÇA]]="Operação Normal",
_xlfn.XLOOKUP(BD_Receitas[[#This Row],[ID]],TabCondicoesComerciais[ID],TabCondicoesComerciais[Volume mínimo 
(m3)],0),"")</f>
        <v/>
      </c>
      <c r="Q561" s="2">
        <f>_xlfn.XLOOKUP(BD_Receitas[[#This Row],[ID]],TabCondicoesComerciais[ID],TabCondicoesComerciais[Vol. 1ºGiro],0)</f>
        <v>1070</v>
      </c>
      <c r="R5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1" s="1">
        <f xml:space="preserve"> IF(BD_Receitas[[#This Row],[TIPO DE COBRANÇA]]="Operação Normal",
_xlfn.XLOOKUP(BD_Receitas[[#This Row],[ID]],TabCondicoesComerciais[ID],TabCondicoesComerciais[Tarifa 2º Giro],0),0)</f>
        <v>0</v>
      </c>
      <c r="T5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2" spans="1:24" hidden="1" x14ac:dyDescent="0.35">
      <c r="A562" s="3" t="s">
        <v>173</v>
      </c>
      <c r="B562" s="11">
        <v>45901</v>
      </c>
      <c r="C562" t="s">
        <v>31</v>
      </c>
      <c r="D562" t="s">
        <v>62</v>
      </c>
      <c r="E562" t="s">
        <v>37</v>
      </c>
      <c r="F562" s="10" t="s">
        <v>57</v>
      </c>
      <c r="G562" s="3" t="s">
        <v>58</v>
      </c>
      <c r="H562" s="3" t="s">
        <v>6</v>
      </c>
      <c r="I562" s="3" t="s">
        <v>8</v>
      </c>
      <c r="J562" s="1">
        <v>0</v>
      </c>
      <c r="K562" s="12">
        <v>0</v>
      </c>
      <c r="L562" s="1"/>
      <c r="M562" s="12"/>
      <c r="N562"/>
      <c r="O562"/>
      <c r="P562" s="2" t="str">
        <f>IF(BD_Receitas[[#This Row],[TIPO DE COBRANÇA]]="Operação Normal",
_xlfn.XLOOKUP(BD_Receitas[[#This Row],[ID]],TabCondicoesComerciais[ID],TabCondicoesComerciais[Volume mínimo 
(m3)],0),"")</f>
        <v/>
      </c>
      <c r="Q562" s="2">
        <f>_xlfn.XLOOKUP(BD_Receitas[[#This Row],[ID]],TabCondicoesComerciais[ID],TabCondicoesComerciais[Vol. 1ºGiro],0)</f>
        <v>1070</v>
      </c>
      <c r="R5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2" s="1">
        <f xml:space="preserve"> IF(BD_Receitas[[#This Row],[TIPO DE COBRANÇA]]="Operação Normal",
_xlfn.XLOOKUP(BD_Receitas[[#This Row],[ID]],TabCondicoesComerciais[ID],TabCondicoesComerciais[Tarifa 2º Giro],0),0)</f>
        <v>0</v>
      </c>
      <c r="T5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3" spans="1:24" hidden="1" x14ac:dyDescent="0.35">
      <c r="A563" s="3" t="s">
        <v>173</v>
      </c>
      <c r="B563" s="11">
        <v>45901</v>
      </c>
      <c r="C563" t="s">
        <v>31</v>
      </c>
      <c r="D563" t="s">
        <v>62</v>
      </c>
      <c r="E563" t="s">
        <v>37</v>
      </c>
      <c r="F563" s="10" t="s">
        <v>57</v>
      </c>
      <c r="G563" s="3" t="s">
        <v>58</v>
      </c>
      <c r="H563" s="3" t="s">
        <v>6</v>
      </c>
      <c r="I563" s="3" t="s">
        <v>15</v>
      </c>
      <c r="J563" s="1">
        <v>82153.039999999994</v>
      </c>
      <c r="K563" s="12">
        <v>3300</v>
      </c>
      <c r="L563" s="1">
        <v>101987.31</v>
      </c>
      <c r="M563" s="12">
        <v>4354.7110000000002</v>
      </c>
      <c r="N563" t="s">
        <v>254</v>
      </c>
      <c r="O563"/>
      <c r="P563" s="2">
        <f>IF(BD_Receitas[[#This Row],[TIPO DE COBRANÇA]]="Operação Normal",
_xlfn.XLOOKUP(BD_Receitas[[#This Row],[ID]],TabCondicoesComerciais[ID],TabCondicoesComerciais[Volume mínimo 
(m3)],0),"")</f>
        <v>3300</v>
      </c>
      <c r="Q563" s="2">
        <f>_xlfn.XLOOKUP(BD_Receitas[[#This Row],[ID]],TabCondicoesComerciais[ID],TabCondicoesComerciais[Vol. 1ºGiro],0)</f>
        <v>1070</v>
      </c>
      <c r="R5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563" s="1">
        <f xml:space="preserve"> IF(BD_Receitas[[#This Row],[TIPO DE COBRANÇA]]="Operação Normal",
_xlfn.XLOOKUP(BD_Receitas[[#This Row],[ID]],TabCondicoesComerciais[ID],TabCondicoesComerciais[Tarifa 2º Giro],0),0)</f>
        <v>23.42</v>
      </c>
      <c r="T563" s="5">
        <f>IFERROR(IF(BD_Receitas[[#This Row],[TIPO DE COBRANÇA]]&lt;&gt;"Operação Normal","",BD_Receitas[[#This Row],[Valor Total R$]]/ MAX(BD_Receitas[[#This Row],[Vol. Movimentado M³]],
BD_Receitas[[#This Row],[Volume Mínimo ]])
),0)</f>
        <v>23.41999503526181</v>
      </c>
      <c r="U5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23.41999503526181</v>
      </c>
      <c r="V5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5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101987.33162000001</v>
      </c>
      <c r="X5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564" spans="1:24" hidden="1" x14ac:dyDescent="0.35">
      <c r="A564" s="3" t="s">
        <v>173</v>
      </c>
      <c r="B564" s="11">
        <v>45901</v>
      </c>
      <c r="C564" t="s">
        <v>31</v>
      </c>
      <c r="D564" t="s">
        <v>62</v>
      </c>
      <c r="E564" t="s">
        <v>37</v>
      </c>
      <c r="F564" s="10" t="s">
        <v>57</v>
      </c>
      <c r="G564" s="3" t="s">
        <v>58</v>
      </c>
      <c r="H564" s="3" t="s">
        <v>6</v>
      </c>
      <c r="I564" s="3" t="s">
        <v>65</v>
      </c>
      <c r="J564" s="1">
        <v>0</v>
      </c>
      <c r="K564" s="12">
        <v>0</v>
      </c>
      <c r="L564" s="1"/>
      <c r="M564" s="12"/>
      <c r="N564"/>
      <c r="O564"/>
      <c r="P564" s="2" t="str">
        <f>IF(BD_Receitas[[#This Row],[TIPO DE COBRANÇA]]="Operação Normal",
_xlfn.XLOOKUP(BD_Receitas[[#This Row],[ID]],TabCondicoesComerciais[ID],TabCondicoesComerciais[Volume mínimo 
(m3)],0),"")</f>
        <v/>
      </c>
      <c r="Q564" s="2">
        <f>_xlfn.XLOOKUP(BD_Receitas[[#This Row],[ID]],TabCondicoesComerciais[ID],TabCondicoesComerciais[Vol. 1ºGiro],0)</f>
        <v>1070</v>
      </c>
      <c r="R5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4" s="1">
        <f xml:space="preserve"> IF(BD_Receitas[[#This Row],[TIPO DE COBRANÇA]]="Operação Normal",
_xlfn.XLOOKUP(BD_Receitas[[#This Row],[ID]],TabCondicoesComerciais[ID],TabCondicoesComerciais[Tarifa 2º Giro],0),0)</f>
        <v>0</v>
      </c>
      <c r="T5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5" spans="1:24" hidden="1" x14ac:dyDescent="0.35">
      <c r="A565" s="3" t="s">
        <v>184</v>
      </c>
      <c r="B565" s="11">
        <v>45901</v>
      </c>
      <c r="C565" t="s">
        <v>31</v>
      </c>
      <c r="D565" t="s">
        <v>203</v>
      </c>
      <c r="E565" t="s">
        <v>34</v>
      </c>
      <c r="F565" s="10" t="s">
        <v>26</v>
      </c>
      <c r="G565" s="3" t="s">
        <v>19</v>
      </c>
      <c r="H565" s="3" t="s">
        <v>13</v>
      </c>
      <c r="I565" s="3" t="s">
        <v>7</v>
      </c>
      <c r="J565" s="1">
        <v>0</v>
      </c>
      <c r="K565" s="12">
        <v>0</v>
      </c>
      <c r="L565" s="1"/>
      <c r="M565" s="12"/>
      <c r="N565"/>
      <c r="O565"/>
      <c r="P565" s="2" t="str">
        <f>IF(BD_Receitas[[#This Row],[TIPO DE COBRANÇA]]="Operação Normal",
_xlfn.XLOOKUP(BD_Receitas[[#This Row],[ID]],TabCondicoesComerciais[ID],TabCondicoesComerciais[Volume mínimo 
(m3)],0),"")</f>
        <v/>
      </c>
      <c r="Q565" s="2">
        <f>_xlfn.XLOOKUP(BD_Receitas[[#This Row],[ID]],TabCondicoesComerciais[ID],TabCondicoesComerciais[Vol. 1ºGiro],0)</f>
        <v>340</v>
      </c>
      <c r="R5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5" s="1">
        <f xml:space="preserve"> IF(BD_Receitas[[#This Row],[TIPO DE COBRANÇA]]="Operação Normal",
_xlfn.XLOOKUP(BD_Receitas[[#This Row],[ID]],TabCondicoesComerciais[ID],TabCondicoesComerciais[Tarifa 2º Giro],0),0)</f>
        <v>0</v>
      </c>
      <c r="T5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6" spans="1:24" hidden="1" x14ac:dyDescent="0.35">
      <c r="A566" s="3" t="s">
        <v>184</v>
      </c>
      <c r="B566" s="11">
        <v>45901</v>
      </c>
      <c r="C566" t="s">
        <v>31</v>
      </c>
      <c r="D566" t="s">
        <v>203</v>
      </c>
      <c r="E566" t="s">
        <v>34</v>
      </c>
      <c r="F566" s="10" t="s">
        <v>26</v>
      </c>
      <c r="G566" s="3" t="s">
        <v>19</v>
      </c>
      <c r="H566" s="3" t="s">
        <v>13</v>
      </c>
      <c r="I566" s="3" t="s">
        <v>8</v>
      </c>
      <c r="J566" s="1">
        <v>0</v>
      </c>
      <c r="K566" s="12">
        <v>0</v>
      </c>
      <c r="L566" s="1"/>
      <c r="M566" s="12"/>
      <c r="N566"/>
      <c r="O566"/>
      <c r="P566" s="2" t="str">
        <f>IF(BD_Receitas[[#This Row],[TIPO DE COBRANÇA]]="Operação Normal",
_xlfn.XLOOKUP(BD_Receitas[[#This Row],[ID]],TabCondicoesComerciais[ID],TabCondicoesComerciais[Volume mínimo 
(m3)],0),"")</f>
        <v/>
      </c>
      <c r="Q566" s="2">
        <f>_xlfn.XLOOKUP(BD_Receitas[[#This Row],[ID]],TabCondicoesComerciais[ID],TabCondicoesComerciais[Vol. 1ºGiro],0)</f>
        <v>340</v>
      </c>
      <c r="R5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566" s="1">
        <f xml:space="preserve"> IF(BD_Receitas[[#This Row],[TIPO DE COBRANÇA]]="Operação Normal",
_xlfn.XLOOKUP(BD_Receitas[[#This Row],[ID]],TabCondicoesComerciais[ID],TabCondicoesComerciais[Tarifa 2º Giro],0),0)</f>
        <v>0</v>
      </c>
      <c r="T5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7" spans="1:24" hidden="1" x14ac:dyDescent="0.35">
      <c r="A567" s="3" t="s">
        <v>184</v>
      </c>
      <c r="B567" s="11">
        <v>45901</v>
      </c>
      <c r="C567" t="s">
        <v>31</v>
      </c>
      <c r="D567" t="s">
        <v>203</v>
      </c>
      <c r="E567" t="s">
        <v>34</v>
      </c>
      <c r="F567" s="10" t="s">
        <v>26</v>
      </c>
      <c r="G567" s="3" t="s">
        <v>19</v>
      </c>
      <c r="H567" s="3" t="s">
        <v>13</v>
      </c>
      <c r="I567" s="3" t="s">
        <v>15</v>
      </c>
      <c r="J567" s="1">
        <v>15310.52</v>
      </c>
      <c r="K567" s="12">
        <v>510</v>
      </c>
      <c r="L567" s="1">
        <v>14280</v>
      </c>
      <c r="M567" s="12">
        <v>790.33</v>
      </c>
      <c r="N567" t="s">
        <v>243</v>
      </c>
      <c r="O567" t="s">
        <v>199</v>
      </c>
      <c r="P567" s="2">
        <f>IF(BD_Receitas[[#This Row],[TIPO DE COBRANÇA]]="Operação Normal",
_xlfn.XLOOKUP(BD_Receitas[[#This Row],[ID]],TabCondicoesComerciais[ID],TabCondicoesComerciais[Volume mínimo 
(m3)],0),"")</f>
        <v>1020</v>
      </c>
      <c r="Q567" s="2">
        <f>_xlfn.XLOOKUP(BD_Receitas[[#This Row],[ID]],TabCondicoesComerciais[ID],TabCondicoesComerciais[Vol. 1ºGiro],0)</f>
        <v>340</v>
      </c>
      <c r="R5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567" s="1">
        <f xml:space="preserve"> IF(BD_Receitas[[#This Row],[TIPO DE COBRANÇA]]="Operação Normal",
_xlfn.XLOOKUP(BD_Receitas[[#This Row],[ID]],TabCondicoesComerciais[ID],TabCondicoesComerciais[Tarifa 2º Giro],0),0)</f>
        <v>28</v>
      </c>
      <c r="T567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5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18.068401806840178</v>
      </c>
      <c r="V5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5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22129.24</v>
      </c>
      <c r="X5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68" spans="1:24" hidden="1" x14ac:dyDescent="0.35">
      <c r="A568" s="3" t="s">
        <v>184</v>
      </c>
      <c r="B568" s="11">
        <v>45901</v>
      </c>
      <c r="C568" t="s">
        <v>31</v>
      </c>
      <c r="D568" t="s">
        <v>203</v>
      </c>
      <c r="E568" t="s">
        <v>34</v>
      </c>
      <c r="F568" s="10" t="s">
        <v>26</v>
      </c>
      <c r="G568" s="3" t="s">
        <v>19</v>
      </c>
      <c r="H568" s="3" t="s">
        <v>13</v>
      </c>
      <c r="I568" s="3" t="s">
        <v>65</v>
      </c>
      <c r="J568" s="1">
        <v>0</v>
      </c>
      <c r="K568" s="12">
        <v>0</v>
      </c>
      <c r="L568" s="1"/>
      <c r="M568" s="12"/>
      <c r="N568"/>
      <c r="O568"/>
      <c r="P568" s="2" t="str">
        <f>IF(BD_Receitas[[#This Row],[TIPO DE COBRANÇA]]="Operação Normal",
_xlfn.XLOOKUP(BD_Receitas[[#This Row],[ID]],TabCondicoesComerciais[ID],TabCondicoesComerciais[Volume mínimo 
(m3)],0),"")</f>
        <v/>
      </c>
      <c r="Q568" s="2">
        <f>_xlfn.XLOOKUP(BD_Receitas[[#This Row],[ID]],TabCondicoesComerciais[ID],TabCondicoesComerciais[Vol. 1ºGiro],0)</f>
        <v>340</v>
      </c>
      <c r="R5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68" s="1">
        <f xml:space="preserve"> IF(BD_Receitas[[#This Row],[TIPO DE COBRANÇA]]="Operação Normal",
_xlfn.XLOOKUP(BD_Receitas[[#This Row],[ID]],TabCondicoesComerciais[ID],TabCondicoesComerciais[Tarifa 2º Giro],0),0)</f>
        <v>0</v>
      </c>
      <c r="T5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69" spans="1:24" hidden="1" x14ac:dyDescent="0.35">
      <c r="A569" s="3" t="s">
        <v>274</v>
      </c>
      <c r="B569" s="11">
        <v>45931</v>
      </c>
      <c r="C569" t="s">
        <v>31</v>
      </c>
      <c r="D569" t="s">
        <v>202</v>
      </c>
      <c r="E569" t="s">
        <v>36</v>
      </c>
      <c r="F569" s="10" t="s">
        <v>48</v>
      </c>
      <c r="G569" s="3" t="s">
        <v>49</v>
      </c>
      <c r="H569" s="3" t="s">
        <v>52</v>
      </c>
      <c r="I569" s="3" t="s">
        <v>7</v>
      </c>
      <c r="J569" s="1">
        <v>0</v>
      </c>
      <c r="K569" s="12">
        <v>0</v>
      </c>
      <c r="L569" s="1"/>
      <c r="M569" s="12"/>
      <c r="N569"/>
      <c r="O569"/>
      <c r="P569" s="2" t="str">
        <f>IF(BD_Receitas[[#This Row],[TIPO DE COBRANÇA]]="Operação Normal",
_xlfn.XLOOKUP(BD_Receitas[[#This Row],[ID]],TabCondicoesComerciais[ID],TabCondicoesComerciais[Volume mínimo 
(m3)],0),"")</f>
        <v/>
      </c>
      <c r="Q569" s="2">
        <f>_xlfn.XLOOKUP(BD_Receitas[[#This Row],[ID]],TabCondicoesComerciais[ID],TabCondicoesComerciais[Vol. 1ºGiro],0)</f>
        <v>360</v>
      </c>
      <c r="R5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569" s="1">
        <f xml:space="preserve"> IF(BD_Receitas[[#This Row],[TIPO DE COBRANÇA]]="Operação Normal",
_xlfn.XLOOKUP(BD_Receitas[[#This Row],[ID]],TabCondicoesComerciais[ID],TabCondicoesComerciais[Tarifa 2º Giro],0),0)</f>
        <v>0</v>
      </c>
      <c r="T5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0" spans="1:24" hidden="1" x14ac:dyDescent="0.35">
      <c r="A570" s="3" t="s">
        <v>274</v>
      </c>
      <c r="B570" s="11">
        <v>45931</v>
      </c>
      <c r="C570" t="s">
        <v>31</v>
      </c>
      <c r="D570" t="s">
        <v>202</v>
      </c>
      <c r="E570" t="s">
        <v>36</v>
      </c>
      <c r="F570" s="10" t="s">
        <v>48</v>
      </c>
      <c r="G570" s="3" t="s">
        <v>49</v>
      </c>
      <c r="H570" s="3" t="s">
        <v>52</v>
      </c>
      <c r="I570" s="3" t="s">
        <v>8</v>
      </c>
      <c r="J570" s="1">
        <v>0</v>
      </c>
      <c r="K570" s="12">
        <v>0</v>
      </c>
      <c r="L570" s="1"/>
      <c r="M570" s="12"/>
      <c r="N570"/>
      <c r="O570"/>
      <c r="P570" s="2" t="str">
        <f>IF(BD_Receitas[[#This Row],[TIPO DE COBRANÇA]]="Operação Normal",
_xlfn.XLOOKUP(BD_Receitas[[#This Row],[ID]],TabCondicoesComerciais[ID],TabCondicoesComerciais[Volume mínimo 
(m3)],0),"")</f>
        <v/>
      </c>
      <c r="Q570" s="2">
        <f>_xlfn.XLOOKUP(BD_Receitas[[#This Row],[ID]],TabCondicoesComerciais[ID],TabCondicoesComerciais[Vol. 1ºGiro],0)</f>
        <v>360</v>
      </c>
      <c r="R5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570" s="1">
        <f xml:space="preserve"> IF(BD_Receitas[[#This Row],[TIPO DE COBRANÇA]]="Operação Normal",
_xlfn.XLOOKUP(BD_Receitas[[#This Row],[ID]],TabCondicoesComerciais[ID],TabCondicoesComerciais[Tarifa 2º Giro],0),0)</f>
        <v>0</v>
      </c>
      <c r="T5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1" spans="1:24" hidden="1" x14ac:dyDescent="0.35">
      <c r="A571" s="3" t="s">
        <v>274</v>
      </c>
      <c r="B571" s="11">
        <v>45931</v>
      </c>
      <c r="C571" t="s">
        <v>31</v>
      </c>
      <c r="D571" t="s">
        <v>202</v>
      </c>
      <c r="E571" t="s">
        <v>36</v>
      </c>
      <c r="F571" s="10" t="s">
        <v>48</v>
      </c>
      <c r="G571" s="3" t="s">
        <v>49</v>
      </c>
      <c r="H571" s="3" t="s">
        <v>52</v>
      </c>
      <c r="I571" s="3" t="s">
        <v>15</v>
      </c>
      <c r="J571" s="1">
        <v>93380.944900000002</v>
      </c>
      <c r="K571" s="12">
        <v>2040</v>
      </c>
      <c r="L571" s="1">
        <v>89596.800000000003</v>
      </c>
      <c r="M571" s="12">
        <v>871.41499999999996</v>
      </c>
      <c r="N571" t="s">
        <v>259</v>
      </c>
      <c r="O571" t="s">
        <v>239</v>
      </c>
      <c r="P571" s="2">
        <f>IF(BD_Receitas[[#This Row],[TIPO DE COBRANÇA]]="Operação Normal",
_xlfn.XLOOKUP(BD_Receitas[[#This Row],[ID]],TabCondicoesComerciais[ID],TabCondicoesComerciais[Volume mínimo 
(m3)],0),"")</f>
        <v>2040</v>
      </c>
      <c r="Q571" s="2">
        <f>_xlfn.XLOOKUP(BD_Receitas[[#This Row],[ID]],TabCondicoesComerciais[ID],TabCondicoesComerciais[Vol. 1ºGiro],0)</f>
        <v>360</v>
      </c>
      <c r="R5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571" s="1">
        <f xml:space="preserve"> IF(BD_Receitas[[#This Row],[TIPO DE COBRANÇA]]="Operação Normal",
_xlfn.XLOOKUP(BD_Receitas[[#This Row],[ID]],TabCondicoesComerciais[ID],TabCondicoesComerciais[Tarifa 2º Giro],0),0)</f>
        <v>43.92</v>
      </c>
      <c r="T571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5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102.81760125772452</v>
      </c>
      <c r="V5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5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38272.546799999996</v>
      </c>
      <c r="X5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572" spans="1:24" hidden="1" x14ac:dyDescent="0.35">
      <c r="A572" s="3" t="s">
        <v>274</v>
      </c>
      <c r="B572" s="11">
        <v>45931</v>
      </c>
      <c r="C572" t="s">
        <v>31</v>
      </c>
      <c r="D572" t="s">
        <v>202</v>
      </c>
      <c r="E572" t="s">
        <v>36</v>
      </c>
      <c r="F572" s="10" t="s">
        <v>48</v>
      </c>
      <c r="G572" s="3" t="s">
        <v>49</v>
      </c>
      <c r="H572" s="3" t="s">
        <v>52</v>
      </c>
      <c r="I572" s="3" t="s">
        <v>65</v>
      </c>
      <c r="J572" s="1">
        <v>0</v>
      </c>
      <c r="K572" s="12">
        <v>0</v>
      </c>
      <c r="L572" s="1"/>
      <c r="M572" s="12"/>
      <c r="N572"/>
      <c r="O572"/>
      <c r="P572" s="2" t="str">
        <f>IF(BD_Receitas[[#This Row],[TIPO DE COBRANÇA]]="Operação Normal",
_xlfn.XLOOKUP(BD_Receitas[[#This Row],[ID]],TabCondicoesComerciais[ID],TabCondicoesComerciais[Volume mínimo 
(m3)],0),"")</f>
        <v/>
      </c>
      <c r="Q572" s="2">
        <f>_xlfn.XLOOKUP(BD_Receitas[[#This Row],[ID]],TabCondicoesComerciais[ID],TabCondicoesComerciais[Vol. 1ºGiro],0)</f>
        <v>360</v>
      </c>
      <c r="R5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2" s="1">
        <f xml:space="preserve"> IF(BD_Receitas[[#This Row],[TIPO DE COBRANÇA]]="Operação Normal",
_xlfn.XLOOKUP(BD_Receitas[[#This Row],[ID]],TabCondicoesComerciais[ID],TabCondicoesComerciais[Tarifa 2º Giro],0),0)</f>
        <v>0</v>
      </c>
      <c r="T5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3" spans="1:24" hidden="1" x14ac:dyDescent="0.35">
      <c r="A573" s="3" t="s">
        <v>275</v>
      </c>
      <c r="B573" s="11">
        <v>45931</v>
      </c>
      <c r="C573" t="s">
        <v>31</v>
      </c>
      <c r="D573" t="s">
        <v>202</v>
      </c>
      <c r="E573" t="s">
        <v>36</v>
      </c>
      <c r="F573" s="10" t="s">
        <v>48</v>
      </c>
      <c r="G573" s="3" t="s">
        <v>49</v>
      </c>
      <c r="H573" s="3" t="s">
        <v>14</v>
      </c>
      <c r="I573" s="3" t="s">
        <v>7</v>
      </c>
      <c r="J573" s="1">
        <v>0</v>
      </c>
      <c r="K573" s="12">
        <v>0</v>
      </c>
      <c r="L573" s="1"/>
      <c r="M573" s="12"/>
      <c r="N573"/>
      <c r="O573"/>
      <c r="P573" s="2" t="str">
        <f>IF(BD_Receitas[[#This Row],[TIPO DE COBRANÇA]]="Operação Normal",
_xlfn.XLOOKUP(BD_Receitas[[#This Row],[ID]],TabCondicoesComerciais[ID],TabCondicoesComerciais[Volume mínimo 
(m3)],0),"")</f>
        <v/>
      </c>
      <c r="Q573" s="2">
        <f>_xlfn.XLOOKUP(BD_Receitas[[#This Row],[ID]],TabCondicoesComerciais[ID],TabCondicoesComerciais[Vol. 1ºGiro],0)</f>
        <v>365</v>
      </c>
      <c r="R5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3" s="1">
        <f xml:space="preserve"> IF(BD_Receitas[[#This Row],[TIPO DE COBRANÇA]]="Operação Normal",
_xlfn.XLOOKUP(BD_Receitas[[#This Row],[ID]],TabCondicoesComerciais[ID],TabCondicoesComerciais[Tarifa 2º Giro],0),0)</f>
        <v>0</v>
      </c>
      <c r="T5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4" spans="1:24" hidden="1" x14ac:dyDescent="0.35">
      <c r="A574" s="3" t="s">
        <v>275</v>
      </c>
      <c r="B574" s="11">
        <v>45931</v>
      </c>
      <c r="C574" t="s">
        <v>31</v>
      </c>
      <c r="D574" t="s">
        <v>202</v>
      </c>
      <c r="E574" t="s">
        <v>36</v>
      </c>
      <c r="F574" s="10" t="s">
        <v>48</v>
      </c>
      <c r="G574" s="3" t="s">
        <v>49</v>
      </c>
      <c r="H574" s="3" t="s">
        <v>14</v>
      </c>
      <c r="I574" s="3" t="s">
        <v>8</v>
      </c>
      <c r="J574" s="1">
        <v>0</v>
      </c>
      <c r="K574" s="12">
        <v>0</v>
      </c>
      <c r="L574" s="1"/>
      <c r="M574" s="12"/>
      <c r="N574"/>
      <c r="O574"/>
      <c r="P574" s="2" t="str">
        <f>IF(BD_Receitas[[#This Row],[TIPO DE COBRANÇA]]="Operação Normal",
_xlfn.XLOOKUP(BD_Receitas[[#This Row],[ID]],TabCondicoesComerciais[ID],TabCondicoesComerciais[Volume mínimo 
(m3)],0),"")</f>
        <v/>
      </c>
      <c r="Q574" s="2">
        <f>_xlfn.XLOOKUP(BD_Receitas[[#This Row],[ID]],TabCondicoesComerciais[ID],TabCondicoesComerciais[Vol. 1ºGiro],0)</f>
        <v>365</v>
      </c>
      <c r="R5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4" s="1">
        <f xml:space="preserve"> IF(BD_Receitas[[#This Row],[TIPO DE COBRANÇA]]="Operação Normal",
_xlfn.XLOOKUP(BD_Receitas[[#This Row],[ID]],TabCondicoesComerciais[ID],TabCondicoesComerciais[Tarifa 2º Giro],0),0)</f>
        <v>0</v>
      </c>
      <c r="T5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5" spans="1:24" hidden="1" x14ac:dyDescent="0.35">
      <c r="A575" s="3" t="s">
        <v>275</v>
      </c>
      <c r="B575" s="11">
        <v>45931</v>
      </c>
      <c r="C575" t="s">
        <v>31</v>
      </c>
      <c r="D575" t="s">
        <v>202</v>
      </c>
      <c r="E575" t="s">
        <v>36</v>
      </c>
      <c r="F575" s="10" t="s">
        <v>48</v>
      </c>
      <c r="G575" s="3" t="s">
        <v>49</v>
      </c>
      <c r="H575" s="3" t="s">
        <v>14</v>
      </c>
      <c r="I575" s="3" t="s">
        <v>15</v>
      </c>
      <c r="J575" s="1">
        <v>17995.57</v>
      </c>
      <c r="K575" s="12">
        <v>936</v>
      </c>
      <c r="L575" s="1">
        <v>16726.32</v>
      </c>
      <c r="M575" s="12">
        <v>489</v>
      </c>
      <c r="N575" t="s">
        <v>260</v>
      </c>
      <c r="O575" t="s">
        <v>239</v>
      </c>
      <c r="P575" s="2">
        <f>IF(BD_Receitas[[#This Row],[TIPO DE COBRANÇA]]="Operação Normal",
_xlfn.XLOOKUP(BD_Receitas[[#This Row],[ID]],TabCondicoesComerciais[ID],TabCondicoesComerciais[Volume mínimo 
(m3)],0),"")</f>
        <v>936</v>
      </c>
      <c r="Q575" s="2">
        <f>_xlfn.XLOOKUP(BD_Receitas[[#This Row],[ID]],TabCondicoesComerciais[ID],TabCondicoesComerciais[Vol. 1ºGiro],0)</f>
        <v>365</v>
      </c>
      <c r="R5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575" s="1">
        <f xml:space="preserve"> IF(BD_Receitas[[#This Row],[TIPO DE COBRANÇA]]="Operação Normal",
_xlfn.XLOOKUP(BD_Receitas[[#This Row],[ID]],TabCondicoesComerciais[ID],TabCondicoesComerciais[Tarifa 2º Giro],0),0)</f>
        <v>18.93</v>
      </c>
      <c r="T575" s="5">
        <f>IFERROR(IF(BD_Receitas[[#This Row],[TIPO DE COBRANÇA]]&lt;&gt;"Operação Normal","",BD_Receitas[[#This Row],[Valor Total R$]]/ MAX(BD_Receitas[[#This Row],[Vol. Movimentado M³]],
BD_Receitas[[#This Row],[Volume Mínimo ]])
),0)</f>
        <v>17.87</v>
      </c>
      <c r="U5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34.205153374233127</v>
      </c>
      <c r="V5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5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9256.77</v>
      </c>
      <c r="X5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76" spans="1:24" hidden="1" x14ac:dyDescent="0.35">
      <c r="A576" s="3" t="s">
        <v>275</v>
      </c>
      <c r="B576" s="11">
        <v>45931</v>
      </c>
      <c r="C576" t="s">
        <v>31</v>
      </c>
      <c r="D576" t="s">
        <v>202</v>
      </c>
      <c r="E576" t="s">
        <v>36</v>
      </c>
      <c r="F576" s="10" t="s">
        <v>48</v>
      </c>
      <c r="G576" s="3" t="s">
        <v>49</v>
      </c>
      <c r="H576" s="3" t="s">
        <v>14</v>
      </c>
      <c r="I576" s="3" t="s">
        <v>65</v>
      </c>
      <c r="J576" s="1">
        <v>0</v>
      </c>
      <c r="K576" s="12">
        <v>0</v>
      </c>
      <c r="L576" s="1"/>
      <c r="M576" s="12"/>
      <c r="N576"/>
      <c r="O576"/>
      <c r="P576" s="2" t="str">
        <f>IF(BD_Receitas[[#This Row],[TIPO DE COBRANÇA]]="Operação Normal",
_xlfn.XLOOKUP(BD_Receitas[[#This Row],[ID]],TabCondicoesComerciais[ID],TabCondicoesComerciais[Volume mínimo 
(m3)],0),"")</f>
        <v/>
      </c>
      <c r="Q576" s="2">
        <f>_xlfn.XLOOKUP(BD_Receitas[[#This Row],[ID]],TabCondicoesComerciais[ID],TabCondicoesComerciais[Vol. 1ºGiro],0)</f>
        <v>365</v>
      </c>
      <c r="R5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6" s="1">
        <f xml:space="preserve"> IF(BD_Receitas[[#This Row],[TIPO DE COBRANÇA]]="Operação Normal",
_xlfn.XLOOKUP(BD_Receitas[[#This Row],[ID]],TabCondicoesComerciais[ID],TabCondicoesComerciais[Tarifa 2º Giro],0),0)</f>
        <v>0</v>
      </c>
      <c r="T5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7" spans="1:24" hidden="1" x14ac:dyDescent="0.35">
      <c r="A577" s="3" t="s">
        <v>25</v>
      </c>
      <c r="B577" s="11">
        <v>45931</v>
      </c>
      <c r="C577" t="s">
        <v>31</v>
      </c>
      <c r="D577" t="s">
        <v>202</v>
      </c>
      <c r="E577" t="s">
        <v>36</v>
      </c>
      <c r="F577" s="10" t="s">
        <v>48</v>
      </c>
      <c r="G577" s="3" t="s">
        <v>49</v>
      </c>
      <c r="H577" s="3" t="s">
        <v>116</v>
      </c>
      <c r="I577" s="3" t="s">
        <v>7</v>
      </c>
      <c r="J577" s="1">
        <v>0</v>
      </c>
      <c r="K577" s="12">
        <v>0</v>
      </c>
      <c r="L577" s="1"/>
      <c r="M577" s="12"/>
      <c r="N577"/>
      <c r="O577"/>
      <c r="P577" s="2" t="str">
        <f>IF(BD_Receitas[[#This Row],[TIPO DE COBRANÇA]]="Operação Normal",
_xlfn.XLOOKUP(BD_Receitas[[#This Row],[ID]],TabCondicoesComerciais[ID],TabCondicoesComerciais[Volume mínimo 
(m3)],0),"")</f>
        <v/>
      </c>
      <c r="Q577" s="2">
        <f>_xlfn.XLOOKUP(BD_Receitas[[#This Row],[ID]],TabCondicoesComerciais[ID],TabCondicoesComerciais[Vol. 1ºGiro],0)</f>
        <v>100</v>
      </c>
      <c r="R5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7" s="1">
        <f xml:space="preserve"> IF(BD_Receitas[[#This Row],[TIPO DE COBRANÇA]]="Operação Normal",
_xlfn.XLOOKUP(BD_Receitas[[#This Row],[ID]],TabCondicoesComerciais[ID],TabCondicoesComerciais[Tarifa 2º Giro],0),0)</f>
        <v>0</v>
      </c>
      <c r="T5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8" spans="1:24" hidden="1" x14ac:dyDescent="0.35">
      <c r="A578" s="3" t="s">
        <v>25</v>
      </c>
      <c r="B578" s="11">
        <v>45931</v>
      </c>
      <c r="C578" t="s">
        <v>31</v>
      </c>
      <c r="D578" t="s">
        <v>202</v>
      </c>
      <c r="E578" t="s">
        <v>36</v>
      </c>
      <c r="F578" s="10" t="s">
        <v>48</v>
      </c>
      <c r="G578" s="3" t="s">
        <v>49</v>
      </c>
      <c r="H578" s="3" t="s">
        <v>116</v>
      </c>
      <c r="I578" s="3" t="s">
        <v>8</v>
      </c>
      <c r="J578" s="1">
        <v>0</v>
      </c>
      <c r="K578" s="12">
        <v>0</v>
      </c>
      <c r="L578" s="1"/>
      <c r="M578" s="12"/>
      <c r="N578"/>
      <c r="O578"/>
      <c r="P578" s="2" t="str">
        <f>IF(BD_Receitas[[#This Row],[TIPO DE COBRANÇA]]="Operação Normal",
_xlfn.XLOOKUP(BD_Receitas[[#This Row],[ID]],TabCondicoesComerciais[ID],TabCondicoesComerciais[Volume mínimo 
(m3)],0),"")</f>
        <v/>
      </c>
      <c r="Q578" s="2">
        <f>_xlfn.XLOOKUP(BD_Receitas[[#This Row],[ID]],TabCondicoesComerciais[ID],TabCondicoesComerciais[Vol. 1ºGiro],0)</f>
        <v>100</v>
      </c>
      <c r="R5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78" s="1">
        <f xml:space="preserve"> IF(BD_Receitas[[#This Row],[TIPO DE COBRANÇA]]="Operação Normal",
_xlfn.XLOOKUP(BD_Receitas[[#This Row],[ID]],TabCondicoesComerciais[ID],TabCondicoesComerciais[Tarifa 2º Giro],0),0)</f>
        <v>0</v>
      </c>
      <c r="T5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79" spans="1:24" hidden="1" x14ac:dyDescent="0.35">
      <c r="A579" s="3" t="s">
        <v>25</v>
      </c>
      <c r="B579" s="11">
        <v>45931</v>
      </c>
      <c r="C579" t="s">
        <v>31</v>
      </c>
      <c r="D579" t="s">
        <v>202</v>
      </c>
      <c r="E579" t="s">
        <v>36</v>
      </c>
      <c r="F579" s="10" t="s">
        <v>48</v>
      </c>
      <c r="G579" s="3" t="s">
        <v>49</v>
      </c>
      <c r="H579" s="3" t="s">
        <v>116</v>
      </c>
      <c r="I579" s="3" t="s">
        <v>15</v>
      </c>
      <c r="J579" s="1">
        <v>0</v>
      </c>
      <c r="K579" s="12">
        <v>0</v>
      </c>
      <c r="L579" s="1"/>
      <c r="M579" s="12"/>
      <c r="N579"/>
      <c r="O579"/>
      <c r="P579" s="2">
        <f>IF(BD_Receitas[[#This Row],[TIPO DE COBRANÇA]]="Operação Normal",
_xlfn.XLOOKUP(BD_Receitas[[#This Row],[ID]],TabCondicoesComerciais[ID],TabCondicoesComerciais[Volume mínimo 
(m3)],0),"")</f>
        <v>300</v>
      </c>
      <c r="Q579" s="2">
        <f>_xlfn.XLOOKUP(BD_Receitas[[#This Row],[ID]],TabCondicoesComerciais[ID],TabCondicoesComerciais[Vol. 1ºGiro],0)</f>
        <v>100</v>
      </c>
      <c r="R5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579" s="1">
        <f xml:space="preserve"> IF(BD_Receitas[[#This Row],[TIPO DE COBRANÇA]]="Operação Normal",
_xlfn.XLOOKUP(BD_Receitas[[#This Row],[ID]],TabCondicoesComerciais[ID],TabCondicoesComerciais[Tarifa 2º Giro],0),0)</f>
        <v>30</v>
      </c>
      <c r="T57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5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80" spans="1:24" hidden="1" x14ac:dyDescent="0.35">
      <c r="A580" s="3" t="s">
        <v>25</v>
      </c>
      <c r="B580" s="11">
        <v>45931</v>
      </c>
      <c r="C580" t="s">
        <v>31</v>
      </c>
      <c r="D580" t="s">
        <v>202</v>
      </c>
      <c r="E580" t="s">
        <v>36</v>
      </c>
      <c r="F580" s="10" t="s">
        <v>48</v>
      </c>
      <c r="G580" s="3" t="s">
        <v>49</v>
      </c>
      <c r="H580" s="3" t="s">
        <v>116</v>
      </c>
      <c r="I580" s="3" t="s">
        <v>65</v>
      </c>
      <c r="J580" s="1">
        <v>0</v>
      </c>
      <c r="K580" s="12">
        <v>0</v>
      </c>
      <c r="L580" s="1"/>
      <c r="M580" s="12"/>
      <c r="N580"/>
      <c r="O580"/>
      <c r="P580" s="2" t="str">
        <f>IF(BD_Receitas[[#This Row],[TIPO DE COBRANÇA]]="Operação Normal",
_xlfn.XLOOKUP(BD_Receitas[[#This Row],[ID]],TabCondicoesComerciais[ID],TabCondicoesComerciais[Volume mínimo 
(m3)],0),"")</f>
        <v/>
      </c>
      <c r="Q580" s="2">
        <f>_xlfn.XLOOKUP(BD_Receitas[[#This Row],[ID]],TabCondicoesComerciais[ID],TabCondicoesComerciais[Vol. 1ºGiro],0)</f>
        <v>100</v>
      </c>
      <c r="R5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80" s="1">
        <f xml:space="preserve"> IF(BD_Receitas[[#This Row],[TIPO DE COBRANÇA]]="Operação Normal",
_xlfn.XLOOKUP(BD_Receitas[[#This Row],[ID]],TabCondicoesComerciais[ID],TabCondicoesComerciais[Tarifa 2º Giro],0),0)</f>
        <v>0</v>
      </c>
      <c r="T5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1" spans="1:24" hidden="1" x14ac:dyDescent="0.35">
      <c r="A581" s="3" t="s">
        <v>102</v>
      </c>
      <c r="B581" s="11">
        <v>45931</v>
      </c>
      <c r="C581" t="s">
        <v>31</v>
      </c>
      <c r="D581" t="s">
        <v>202</v>
      </c>
      <c r="E581" t="s">
        <v>36</v>
      </c>
      <c r="F581" s="10" t="s">
        <v>48</v>
      </c>
      <c r="G581" s="3" t="s">
        <v>49</v>
      </c>
      <c r="H581" s="3" t="s">
        <v>51</v>
      </c>
      <c r="I581" s="3" t="s">
        <v>7</v>
      </c>
      <c r="J581" s="1">
        <v>0</v>
      </c>
      <c r="K581" s="12">
        <v>0</v>
      </c>
      <c r="L581" s="1"/>
      <c r="M581" s="12"/>
      <c r="N581"/>
      <c r="O581"/>
      <c r="P581" s="2" t="str">
        <f>IF(BD_Receitas[[#This Row],[TIPO DE COBRANÇA]]="Operação Normal",
_xlfn.XLOOKUP(BD_Receitas[[#This Row],[ID]],TabCondicoesComerciais[ID],TabCondicoesComerciais[Volume mínimo 
(m3)],0),"")</f>
        <v/>
      </c>
      <c r="Q581" s="2">
        <f>_xlfn.XLOOKUP(BD_Receitas[[#This Row],[ID]],TabCondicoesComerciais[ID],TabCondicoesComerciais[Vol. 1ºGiro],0)</f>
        <v>750</v>
      </c>
      <c r="R5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581" s="1">
        <f xml:space="preserve"> IF(BD_Receitas[[#This Row],[TIPO DE COBRANÇA]]="Operação Normal",
_xlfn.XLOOKUP(BD_Receitas[[#This Row],[ID]],TabCondicoesComerciais[ID],TabCondicoesComerciais[Tarifa 2º Giro],0),0)</f>
        <v>0</v>
      </c>
      <c r="T5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2" spans="1:24" hidden="1" x14ac:dyDescent="0.35">
      <c r="A582" s="3" t="s">
        <v>102</v>
      </c>
      <c r="B582" s="11">
        <v>45931</v>
      </c>
      <c r="C582" t="s">
        <v>31</v>
      </c>
      <c r="D582" t="s">
        <v>202</v>
      </c>
      <c r="E582" t="s">
        <v>36</v>
      </c>
      <c r="F582" s="10" t="s">
        <v>48</v>
      </c>
      <c r="G582" s="3" t="s">
        <v>49</v>
      </c>
      <c r="H582" s="3" t="s">
        <v>51</v>
      </c>
      <c r="I582" s="3" t="s">
        <v>8</v>
      </c>
      <c r="J582" s="1">
        <v>0</v>
      </c>
      <c r="K582" s="12">
        <v>0</v>
      </c>
      <c r="L582" s="1"/>
      <c r="M582" s="12"/>
      <c r="N582"/>
      <c r="O582"/>
      <c r="P582" s="2" t="str">
        <f>IF(BD_Receitas[[#This Row],[TIPO DE COBRANÇA]]="Operação Normal",
_xlfn.XLOOKUP(BD_Receitas[[#This Row],[ID]],TabCondicoesComerciais[ID],TabCondicoesComerciais[Volume mínimo 
(m3)],0),"")</f>
        <v/>
      </c>
      <c r="Q582" s="2">
        <f>_xlfn.XLOOKUP(BD_Receitas[[#This Row],[ID]],TabCondicoesComerciais[ID],TabCondicoesComerciais[Vol. 1ºGiro],0)</f>
        <v>750</v>
      </c>
      <c r="R5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582" s="1">
        <f xml:space="preserve"> IF(BD_Receitas[[#This Row],[TIPO DE COBRANÇA]]="Operação Normal",
_xlfn.XLOOKUP(BD_Receitas[[#This Row],[ID]],TabCondicoesComerciais[ID],TabCondicoesComerciais[Tarifa 2º Giro],0),0)</f>
        <v>0</v>
      </c>
      <c r="T5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3" spans="1:24" hidden="1" x14ac:dyDescent="0.35">
      <c r="A583" s="3" t="s">
        <v>102</v>
      </c>
      <c r="B583" s="11">
        <v>45931</v>
      </c>
      <c r="C583" t="s">
        <v>31</v>
      </c>
      <c r="D583" t="s">
        <v>202</v>
      </c>
      <c r="E583" t="s">
        <v>36</v>
      </c>
      <c r="F583" s="10" t="s">
        <v>48</v>
      </c>
      <c r="G583" s="3" t="s">
        <v>49</v>
      </c>
      <c r="H583" s="3" t="s">
        <v>51</v>
      </c>
      <c r="I583" s="3" t="s">
        <v>15</v>
      </c>
      <c r="J583" s="1">
        <v>0</v>
      </c>
      <c r="K583" s="12">
        <v>0</v>
      </c>
      <c r="L583" s="1"/>
      <c r="M583" s="12"/>
      <c r="N583"/>
      <c r="O583"/>
      <c r="P583" s="2">
        <f>IF(BD_Receitas[[#This Row],[TIPO DE COBRANÇA]]="Operação Normal",
_xlfn.XLOOKUP(BD_Receitas[[#This Row],[ID]],TabCondicoesComerciais[ID],TabCondicoesComerciais[Volume mínimo 
(m3)],0),"")</f>
        <v>6500</v>
      </c>
      <c r="Q583" s="2">
        <f>_xlfn.XLOOKUP(BD_Receitas[[#This Row],[ID]],TabCondicoesComerciais[ID],TabCondicoesComerciais[Vol. 1ºGiro],0)</f>
        <v>750</v>
      </c>
      <c r="R5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583" s="1">
        <f xml:space="preserve"> IF(BD_Receitas[[#This Row],[TIPO DE COBRANÇA]]="Operação Normal",
_xlfn.XLOOKUP(BD_Receitas[[#This Row],[ID]],TabCondicoesComerciais[ID],TabCondicoesComerciais[Tarifa 2º Giro],0),0)</f>
        <v>32.42</v>
      </c>
      <c r="T58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5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84" spans="1:24" hidden="1" x14ac:dyDescent="0.35">
      <c r="A584" s="3" t="s">
        <v>102</v>
      </c>
      <c r="B584" s="11">
        <v>45931</v>
      </c>
      <c r="C584" t="s">
        <v>31</v>
      </c>
      <c r="D584" t="s">
        <v>202</v>
      </c>
      <c r="E584" t="s">
        <v>36</v>
      </c>
      <c r="F584" s="10" t="s">
        <v>48</v>
      </c>
      <c r="G584" s="3" t="s">
        <v>49</v>
      </c>
      <c r="H584" s="3" t="s">
        <v>51</v>
      </c>
      <c r="I584" s="3" t="s">
        <v>65</v>
      </c>
      <c r="J584" s="1">
        <v>0</v>
      </c>
      <c r="K584" s="12">
        <v>0</v>
      </c>
      <c r="L584" s="1"/>
      <c r="M584" s="12"/>
      <c r="N584"/>
      <c r="O584"/>
      <c r="P584" s="2" t="str">
        <f>IF(BD_Receitas[[#This Row],[TIPO DE COBRANÇA]]="Operação Normal",
_xlfn.XLOOKUP(BD_Receitas[[#This Row],[ID]],TabCondicoesComerciais[ID],TabCondicoesComerciais[Volume mínimo 
(m3)],0),"")</f>
        <v/>
      </c>
      <c r="Q584" s="2">
        <f>_xlfn.XLOOKUP(BD_Receitas[[#This Row],[ID]],TabCondicoesComerciais[ID],TabCondicoesComerciais[Vol. 1ºGiro],0)</f>
        <v>750</v>
      </c>
      <c r="R5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84" s="1">
        <f xml:space="preserve"> IF(BD_Receitas[[#This Row],[TIPO DE COBRANÇA]]="Operação Normal",
_xlfn.XLOOKUP(BD_Receitas[[#This Row],[ID]],TabCondicoesComerciais[ID],TabCondicoesComerciais[Tarifa 2º Giro],0),0)</f>
        <v>0</v>
      </c>
      <c r="T5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5" spans="1:24" hidden="1" x14ac:dyDescent="0.35">
      <c r="A585" s="3" t="s">
        <v>208</v>
      </c>
      <c r="B585" s="11">
        <v>45931</v>
      </c>
      <c r="C585" t="s">
        <v>31</v>
      </c>
      <c r="D585" t="s">
        <v>202</v>
      </c>
      <c r="E585" t="s">
        <v>35</v>
      </c>
      <c r="F585" s="10" t="s">
        <v>22</v>
      </c>
      <c r="G585" s="3" t="s">
        <v>11</v>
      </c>
      <c r="H585" s="3" t="s">
        <v>207</v>
      </c>
      <c r="I585" s="3" t="s">
        <v>7</v>
      </c>
      <c r="J585" s="1">
        <v>0</v>
      </c>
      <c r="K585" s="12">
        <v>0</v>
      </c>
      <c r="L585" s="1">
        <v>408.71850000000001</v>
      </c>
      <c r="M585" s="12">
        <v>47</v>
      </c>
      <c r="N585" t="s">
        <v>261</v>
      </c>
      <c r="O585" t="s">
        <v>109</v>
      </c>
      <c r="P585" s="2" t="str">
        <f>IF(BD_Receitas[[#This Row],[TIPO DE COBRANÇA]]="Operação Normal",
_xlfn.XLOOKUP(BD_Receitas[[#This Row],[ID]],TabCondicoesComerciais[ID],TabCondicoesComerciais[Volume mínimo 
(m3)],0),"")</f>
        <v/>
      </c>
      <c r="Q585" s="2">
        <f>_xlfn.XLOOKUP(BD_Receitas[[#This Row],[ID]],TabCondicoesComerciais[ID],TabCondicoesComerciais[Vol. 1ºGiro],0)</f>
        <v>625</v>
      </c>
      <c r="R5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585" s="1">
        <f xml:space="preserve"> IF(BD_Receitas[[#This Row],[TIPO DE COBRANÇA]]="Operação Normal",
_xlfn.XLOOKUP(BD_Receitas[[#This Row],[ID]],TabCondicoesComerciais[ID],TabCondicoesComerciais[Tarifa 2º Giro],0),0)</f>
        <v>0</v>
      </c>
      <c r="T5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6" spans="1:24" hidden="1" x14ac:dyDescent="0.35">
      <c r="A586" s="3" t="s">
        <v>208</v>
      </c>
      <c r="B586" s="11">
        <v>45931</v>
      </c>
      <c r="C586" t="s">
        <v>31</v>
      </c>
      <c r="D586" t="s">
        <v>202</v>
      </c>
      <c r="E586" t="s">
        <v>35</v>
      </c>
      <c r="F586" s="10" t="s">
        <v>22</v>
      </c>
      <c r="G586" s="3" t="s">
        <v>11</v>
      </c>
      <c r="H586" s="3" t="s">
        <v>207</v>
      </c>
      <c r="I586" s="3" t="s">
        <v>8</v>
      </c>
      <c r="J586" s="1">
        <v>0</v>
      </c>
      <c r="K586" s="12">
        <v>0</v>
      </c>
      <c r="L586" s="1"/>
      <c r="M586" s="12"/>
      <c r="N586"/>
      <c r="O586"/>
      <c r="P586" s="2" t="str">
        <f>IF(BD_Receitas[[#This Row],[TIPO DE COBRANÇA]]="Operação Normal",
_xlfn.XLOOKUP(BD_Receitas[[#This Row],[ID]],TabCondicoesComerciais[ID],TabCondicoesComerciais[Volume mínimo 
(m3)],0),"")</f>
        <v/>
      </c>
      <c r="Q586" s="2">
        <f>_xlfn.XLOOKUP(BD_Receitas[[#This Row],[ID]],TabCondicoesComerciais[ID],TabCondicoesComerciais[Vol. 1ºGiro],0)</f>
        <v>625</v>
      </c>
      <c r="R5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586" s="1">
        <f xml:space="preserve"> IF(BD_Receitas[[#This Row],[TIPO DE COBRANÇA]]="Operação Normal",
_xlfn.XLOOKUP(BD_Receitas[[#This Row],[ID]],TabCondicoesComerciais[ID],TabCondicoesComerciais[Tarifa 2º Giro],0),0)</f>
        <v>0</v>
      </c>
      <c r="T5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7" spans="1:24" hidden="1" x14ac:dyDescent="0.35">
      <c r="A587" s="3" t="s">
        <v>208</v>
      </c>
      <c r="B587" s="11">
        <v>45931</v>
      </c>
      <c r="C587" t="s">
        <v>31</v>
      </c>
      <c r="D587" t="s">
        <v>202</v>
      </c>
      <c r="E587" t="s">
        <v>35</v>
      </c>
      <c r="F587" s="10" t="s">
        <v>22</v>
      </c>
      <c r="G587" s="3" t="s">
        <v>11</v>
      </c>
      <c r="H587" s="3" t="s">
        <v>207</v>
      </c>
      <c r="I587" s="3" t="s">
        <v>15</v>
      </c>
      <c r="J587" s="1">
        <v>47210.53</v>
      </c>
      <c r="K587" s="12">
        <v>1875</v>
      </c>
      <c r="L587" s="1">
        <v>42527.291499999999</v>
      </c>
      <c r="M587" s="12">
        <v>2036</v>
      </c>
      <c r="N587" t="s">
        <v>261</v>
      </c>
      <c r="O587" t="s">
        <v>109</v>
      </c>
      <c r="P587" s="2">
        <f>IF(BD_Receitas[[#This Row],[TIPO DE COBRANÇA]]="Operação Normal",
_xlfn.XLOOKUP(BD_Receitas[[#This Row],[ID]],TabCondicoesComerciais[ID],TabCondicoesComerciais[Volume mínimo 
(m3)],0),"")</f>
        <v>1875</v>
      </c>
      <c r="Q587" s="2">
        <f>_xlfn.XLOOKUP(BD_Receitas[[#This Row],[ID]],TabCondicoesComerciais[ID],TabCondicoesComerciais[Vol. 1ºGiro],0)</f>
        <v>625</v>
      </c>
      <c r="R5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587" s="1">
        <f xml:space="preserve"> IF(BD_Receitas[[#This Row],[TIPO DE COBRANÇA]]="Operação Normal",
_xlfn.XLOOKUP(BD_Receitas[[#This Row],[ID]],TabCondicoesComerciais[ID],TabCondicoesComerciais[Tarifa 2º Giro],0),0)</f>
        <v>33</v>
      </c>
      <c r="T587" s="5">
        <f>IFERROR(IF(BD_Receitas[[#This Row],[TIPO DE COBRANÇA]]&lt;&gt;"Operação Normal","",BD_Receitas[[#This Row],[Valor Total R$]]/ MAX(BD_Receitas[[#This Row],[Vol. Movimentado M³]],
BD_Receitas[[#This Row],[Volume Mínimo ]])
),0)</f>
        <v>20.887667730844793</v>
      </c>
      <c r="U5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21.088413555992144</v>
      </c>
      <c r="V5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5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67188</v>
      </c>
      <c r="X5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88" spans="1:24" hidden="1" x14ac:dyDescent="0.35">
      <c r="A588" s="3" t="s">
        <v>208</v>
      </c>
      <c r="B588" s="11">
        <v>45931</v>
      </c>
      <c r="C588" t="s">
        <v>31</v>
      </c>
      <c r="D588" t="s">
        <v>202</v>
      </c>
      <c r="E588" t="s">
        <v>35</v>
      </c>
      <c r="F588" s="10" t="s">
        <v>22</v>
      </c>
      <c r="G588" s="3" t="s">
        <v>11</v>
      </c>
      <c r="H588" s="3" t="s">
        <v>207</v>
      </c>
      <c r="I588" s="3" t="s">
        <v>65</v>
      </c>
      <c r="J588" s="1">
        <v>0</v>
      </c>
      <c r="K588" s="12">
        <v>0</v>
      </c>
      <c r="L588" s="1"/>
      <c r="M588" s="12"/>
      <c r="N588"/>
      <c r="O588"/>
      <c r="P588" s="2" t="str">
        <f>IF(BD_Receitas[[#This Row],[TIPO DE COBRANÇA]]="Operação Normal",
_xlfn.XLOOKUP(BD_Receitas[[#This Row],[ID]],TabCondicoesComerciais[ID],TabCondicoesComerciais[Volume mínimo 
(m3)],0),"")</f>
        <v/>
      </c>
      <c r="Q588" s="2">
        <f>_xlfn.XLOOKUP(BD_Receitas[[#This Row],[ID]],TabCondicoesComerciais[ID],TabCondicoesComerciais[Vol. 1ºGiro],0)</f>
        <v>625</v>
      </c>
      <c r="R5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88" s="1">
        <f xml:space="preserve"> IF(BD_Receitas[[#This Row],[TIPO DE COBRANÇA]]="Operação Normal",
_xlfn.XLOOKUP(BD_Receitas[[#This Row],[ID]],TabCondicoesComerciais[ID],TabCondicoesComerciais[Tarifa 2º Giro],0),0)</f>
        <v>0</v>
      </c>
      <c r="T5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89" spans="1:24" hidden="1" x14ac:dyDescent="0.35">
      <c r="A589" s="3" t="s">
        <v>190</v>
      </c>
      <c r="B589" s="11">
        <v>45931</v>
      </c>
      <c r="C589" t="s">
        <v>31</v>
      </c>
      <c r="D589" t="s">
        <v>202</v>
      </c>
      <c r="E589" t="s">
        <v>35</v>
      </c>
      <c r="F589" s="10" t="s">
        <v>22</v>
      </c>
      <c r="G589" s="3" t="s">
        <v>11</v>
      </c>
      <c r="H589" s="3" t="s">
        <v>116</v>
      </c>
      <c r="I589" s="3" t="s">
        <v>7</v>
      </c>
      <c r="J589" s="1">
        <v>0</v>
      </c>
      <c r="K589" s="12">
        <v>0</v>
      </c>
      <c r="L589" s="1"/>
      <c r="M589" s="12"/>
      <c r="N589"/>
      <c r="O589"/>
      <c r="P589" s="2" t="str">
        <f>IF(BD_Receitas[[#This Row],[TIPO DE COBRANÇA]]="Operação Normal",
_xlfn.XLOOKUP(BD_Receitas[[#This Row],[ID]],TabCondicoesComerciais[ID],TabCondicoesComerciais[Volume mínimo 
(m3)],0),"")</f>
        <v/>
      </c>
      <c r="Q589" s="2">
        <f>_xlfn.XLOOKUP(BD_Receitas[[#This Row],[ID]],TabCondicoesComerciais[ID],TabCondicoesComerciais[Vol. 1ºGiro],0)</f>
        <v>580</v>
      </c>
      <c r="R5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89" s="1">
        <f xml:space="preserve"> IF(BD_Receitas[[#This Row],[TIPO DE COBRANÇA]]="Operação Normal",
_xlfn.XLOOKUP(BD_Receitas[[#This Row],[ID]],TabCondicoesComerciais[ID],TabCondicoesComerciais[Tarifa 2º Giro],0),0)</f>
        <v>0</v>
      </c>
      <c r="T5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0" spans="1:24" hidden="1" x14ac:dyDescent="0.35">
      <c r="A590" s="3" t="s">
        <v>190</v>
      </c>
      <c r="B590" s="11">
        <v>45931</v>
      </c>
      <c r="C590" t="s">
        <v>31</v>
      </c>
      <c r="D590" t="s">
        <v>202</v>
      </c>
      <c r="E590" t="s">
        <v>35</v>
      </c>
      <c r="F590" s="10" t="s">
        <v>22</v>
      </c>
      <c r="G590" s="3" t="s">
        <v>11</v>
      </c>
      <c r="H590" s="3" t="s">
        <v>116</v>
      </c>
      <c r="I590" s="3" t="s">
        <v>8</v>
      </c>
      <c r="J590" s="1">
        <v>0</v>
      </c>
      <c r="K590" s="12">
        <v>0</v>
      </c>
      <c r="L590" s="1"/>
      <c r="M590" s="12"/>
      <c r="N590"/>
      <c r="O590"/>
      <c r="P590" s="2" t="str">
        <f>IF(BD_Receitas[[#This Row],[TIPO DE COBRANÇA]]="Operação Normal",
_xlfn.XLOOKUP(BD_Receitas[[#This Row],[ID]],TabCondicoesComerciais[ID],TabCondicoesComerciais[Volume mínimo 
(m3)],0),"")</f>
        <v/>
      </c>
      <c r="Q590" s="2">
        <f>_xlfn.XLOOKUP(BD_Receitas[[#This Row],[ID]],TabCondicoesComerciais[ID],TabCondicoesComerciais[Vol. 1ºGiro],0)</f>
        <v>580</v>
      </c>
      <c r="R5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90" s="1">
        <f xml:space="preserve"> IF(BD_Receitas[[#This Row],[TIPO DE COBRANÇA]]="Operação Normal",
_xlfn.XLOOKUP(BD_Receitas[[#This Row],[ID]],TabCondicoesComerciais[ID],TabCondicoesComerciais[Tarifa 2º Giro],0),0)</f>
        <v>0</v>
      </c>
      <c r="T5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1" spans="1:24" hidden="1" x14ac:dyDescent="0.35">
      <c r="A591" s="3" t="s">
        <v>190</v>
      </c>
      <c r="B591" s="11">
        <v>45931</v>
      </c>
      <c r="C591" t="s">
        <v>31</v>
      </c>
      <c r="D591" t="s">
        <v>202</v>
      </c>
      <c r="E591" t="s">
        <v>35</v>
      </c>
      <c r="F591" s="10" t="s">
        <v>22</v>
      </c>
      <c r="G591" s="3" t="s">
        <v>11</v>
      </c>
      <c r="H591" s="3" t="s">
        <v>116</v>
      </c>
      <c r="I591" s="3" t="s">
        <v>15</v>
      </c>
      <c r="J591" s="1">
        <v>0</v>
      </c>
      <c r="K591" s="12">
        <v>0</v>
      </c>
      <c r="L591" s="1"/>
      <c r="M591" s="12"/>
      <c r="N591"/>
      <c r="O591"/>
      <c r="P591" s="2">
        <f>IF(BD_Receitas[[#This Row],[TIPO DE COBRANÇA]]="Operação Normal",
_xlfn.XLOOKUP(BD_Receitas[[#This Row],[ID]],TabCondicoesComerciais[ID],TabCondicoesComerciais[Volume mínimo 
(m3)],0),"")</f>
        <v>2000</v>
      </c>
      <c r="Q591" s="2">
        <f>_xlfn.XLOOKUP(BD_Receitas[[#This Row],[ID]],TabCondicoesComerciais[ID],TabCondicoesComerciais[Vol. 1ºGiro],0)</f>
        <v>580</v>
      </c>
      <c r="R5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591" s="1">
        <f xml:space="preserve"> IF(BD_Receitas[[#This Row],[TIPO DE COBRANÇA]]="Operação Normal",
_xlfn.XLOOKUP(BD_Receitas[[#This Row],[ID]],TabCondicoesComerciais[ID],TabCondicoesComerciais[Tarifa 2º Giro],0),0)</f>
        <v>27</v>
      </c>
      <c r="T59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5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92" spans="1:24" hidden="1" x14ac:dyDescent="0.35">
      <c r="A592" s="3" t="s">
        <v>190</v>
      </c>
      <c r="B592" s="11">
        <v>45931</v>
      </c>
      <c r="C592" t="s">
        <v>31</v>
      </c>
      <c r="D592" t="s">
        <v>202</v>
      </c>
      <c r="E592" t="s">
        <v>35</v>
      </c>
      <c r="F592" s="10" t="s">
        <v>22</v>
      </c>
      <c r="G592" s="3" t="s">
        <v>11</v>
      </c>
      <c r="H592" s="3" t="s">
        <v>116</v>
      </c>
      <c r="I592" s="3" t="s">
        <v>65</v>
      </c>
      <c r="J592" s="1">
        <v>0</v>
      </c>
      <c r="K592" s="12">
        <v>0</v>
      </c>
      <c r="L592" s="1"/>
      <c r="M592" s="12"/>
      <c r="N592"/>
      <c r="O592"/>
      <c r="P592" s="2" t="str">
        <f>IF(BD_Receitas[[#This Row],[TIPO DE COBRANÇA]]="Operação Normal",
_xlfn.XLOOKUP(BD_Receitas[[#This Row],[ID]],TabCondicoesComerciais[ID],TabCondicoesComerciais[Volume mínimo 
(m3)],0),"")</f>
        <v/>
      </c>
      <c r="Q592" s="2">
        <f>_xlfn.XLOOKUP(BD_Receitas[[#This Row],[ID]],TabCondicoesComerciais[ID],TabCondicoesComerciais[Vol. 1ºGiro],0)</f>
        <v>580</v>
      </c>
      <c r="R5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92" s="1">
        <f xml:space="preserve"> IF(BD_Receitas[[#This Row],[TIPO DE COBRANÇA]]="Operação Normal",
_xlfn.XLOOKUP(BD_Receitas[[#This Row],[ID]],TabCondicoesComerciais[ID],TabCondicoesComerciais[Tarifa 2º Giro],0),0)</f>
        <v>0</v>
      </c>
      <c r="T5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3" spans="1:24" hidden="1" x14ac:dyDescent="0.35">
      <c r="A593" s="3" t="s">
        <v>172</v>
      </c>
      <c r="B593" s="11">
        <v>45931</v>
      </c>
      <c r="C593" t="s">
        <v>31</v>
      </c>
      <c r="D593" t="s">
        <v>202</v>
      </c>
      <c r="E593" t="s">
        <v>35</v>
      </c>
      <c r="F593" s="10" t="s">
        <v>22</v>
      </c>
      <c r="G593" s="3" t="s">
        <v>11</v>
      </c>
      <c r="H593" s="3" t="s">
        <v>13</v>
      </c>
      <c r="I593" s="3" t="s">
        <v>7</v>
      </c>
      <c r="J593" s="1">
        <v>0</v>
      </c>
      <c r="K593" s="12">
        <v>0</v>
      </c>
      <c r="L593" s="1">
        <v>2432.4940000000001</v>
      </c>
      <c r="M593" s="12">
        <v>276</v>
      </c>
      <c r="N593" t="s">
        <v>262</v>
      </c>
      <c r="O593"/>
      <c r="P593" s="2" t="str">
        <f>IF(BD_Receitas[[#This Row],[TIPO DE COBRANÇA]]="Operação Normal",
_xlfn.XLOOKUP(BD_Receitas[[#This Row],[ID]],TabCondicoesComerciais[ID],TabCondicoesComerciais[Volume mínimo 
(m3)],0),"")</f>
        <v/>
      </c>
      <c r="Q593" s="2">
        <f>_xlfn.XLOOKUP(BD_Receitas[[#This Row],[ID]],TabCondicoesComerciais[ID],TabCondicoesComerciais[Vol. 1ºGiro],0)</f>
        <v>750</v>
      </c>
      <c r="R5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593" s="1">
        <f xml:space="preserve"> IF(BD_Receitas[[#This Row],[TIPO DE COBRANÇA]]="Operação Normal",
_xlfn.XLOOKUP(BD_Receitas[[#This Row],[ID]],TabCondicoesComerciais[ID],TabCondicoesComerciais[Tarifa 2º Giro],0),0)</f>
        <v>0</v>
      </c>
      <c r="T5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4" spans="1:24" hidden="1" x14ac:dyDescent="0.35">
      <c r="A594" s="3" t="s">
        <v>172</v>
      </c>
      <c r="B594" s="11">
        <v>45931</v>
      </c>
      <c r="C594" t="s">
        <v>31</v>
      </c>
      <c r="D594" t="s">
        <v>202</v>
      </c>
      <c r="E594" t="s">
        <v>35</v>
      </c>
      <c r="F594" s="10" t="s">
        <v>22</v>
      </c>
      <c r="G594" s="3" t="s">
        <v>11</v>
      </c>
      <c r="H594" s="3" t="s">
        <v>13</v>
      </c>
      <c r="I594" s="3" t="s">
        <v>8</v>
      </c>
      <c r="J594" s="1">
        <v>0</v>
      </c>
      <c r="K594" s="12">
        <v>0</v>
      </c>
      <c r="L594" s="1">
        <v>209.53200000000001</v>
      </c>
      <c r="M594" s="12">
        <v>25</v>
      </c>
      <c r="N594" t="s">
        <v>262</v>
      </c>
      <c r="O594"/>
      <c r="P594" s="2" t="str">
        <f>IF(BD_Receitas[[#This Row],[TIPO DE COBRANÇA]]="Operação Normal",
_xlfn.XLOOKUP(BD_Receitas[[#This Row],[ID]],TabCondicoesComerciais[ID],TabCondicoesComerciais[Volume mínimo 
(m3)],0),"")</f>
        <v/>
      </c>
      <c r="Q594" s="2">
        <f>_xlfn.XLOOKUP(BD_Receitas[[#This Row],[ID]],TabCondicoesComerciais[ID],TabCondicoesComerciais[Vol. 1ºGiro],0)</f>
        <v>750</v>
      </c>
      <c r="R5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594" s="1">
        <f xml:space="preserve"> IF(BD_Receitas[[#This Row],[TIPO DE COBRANÇA]]="Operação Normal",
_xlfn.XLOOKUP(BD_Receitas[[#This Row],[ID]],TabCondicoesComerciais[ID],TabCondicoesComerciais[Tarifa 2º Giro],0),0)</f>
        <v>0</v>
      </c>
      <c r="T5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5" spans="1:24" hidden="1" x14ac:dyDescent="0.35">
      <c r="A595" s="3" t="s">
        <v>172</v>
      </c>
      <c r="B595" s="11">
        <v>45931</v>
      </c>
      <c r="C595" t="s">
        <v>31</v>
      </c>
      <c r="D595" t="s">
        <v>202</v>
      </c>
      <c r="E595" t="s">
        <v>35</v>
      </c>
      <c r="F595" s="10" t="s">
        <v>22</v>
      </c>
      <c r="G595" s="3" t="s">
        <v>11</v>
      </c>
      <c r="H595" s="3" t="s">
        <v>13</v>
      </c>
      <c r="I595" s="3" t="s">
        <v>15</v>
      </c>
      <c r="J595" s="1">
        <v>0</v>
      </c>
      <c r="K595" s="12">
        <v>0</v>
      </c>
      <c r="L595" s="1">
        <v>15754.619500000001</v>
      </c>
      <c r="M595" s="12">
        <v>709</v>
      </c>
      <c r="N595" t="s">
        <v>262</v>
      </c>
      <c r="O595"/>
      <c r="P595" s="2">
        <f>IF(BD_Receitas[[#This Row],[TIPO DE COBRANÇA]]="Operação Normal",
_xlfn.XLOOKUP(BD_Receitas[[#This Row],[ID]],TabCondicoesComerciais[ID],TabCondicoesComerciais[Volume mínimo 
(m3)],0),"")</f>
        <v>0</v>
      </c>
      <c r="Q595" s="2">
        <f>_xlfn.XLOOKUP(BD_Receitas[[#This Row],[ID]],TabCondicoesComerciais[ID],TabCondicoesComerciais[Vol. 1ºGiro],0)</f>
        <v>750</v>
      </c>
      <c r="R5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595" s="1">
        <f xml:space="preserve"> IF(BD_Receitas[[#This Row],[TIPO DE COBRANÇA]]="Operação Normal",
_xlfn.XLOOKUP(BD_Receitas[[#This Row],[ID]],TabCondicoesComerciais[ID],TabCondicoesComerciais[Tarifa 2º Giro],0),0)</f>
        <v>22.2</v>
      </c>
      <c r="T595" s="5">
        <f>IFERROR(IF(BD_Receitas[[#This Row],[TIPO DE COBRANÇA]]&lt;&gt;"Operação Normal","",BD_Receitas[[#This Row],[Valor Total R$]]/ MAX(BD_Receitas[[#This Row],[Vol. Movimentado M³]],
BD_Receitas[[#This Row],[Volume Mínimo ]])
),0)</f>
        <v>22.220901974612129</v>
      </c>
      <c r="U5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25.947313822284912</v>
      </c>
      <c r="V5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5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15739.8</v>
      </c>
      <c r="X5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596" spans="1:24" hidden="1" x14ac:dyDescent="0.35">
      <c r="A596" s="3" t="s">
        <v>172</v>
      </c>
      <c r="B596" s="11">
        <v>45931</v>
      </c>
      <c r="C596" t="s">
        <v>31</v>
      </c>
      <c r="D596" t="s">
        <v>202</v>
      </c>
      <c r="E596" t="s">
        <v>35</v>
      </c>
      <c r="F596" s="10" t="s">
        <v>22</v>
      </c>
      <c r="G596" s="3" t="s">
        <v>11</v>
      </c>
      <c r="H596" s="3" t="s">
        <v>13</v>
      </c>
      <c r="I596" s="3" t="s">
        <v>65</v>
      </c>
      <c r="J596" s="1">
        <v>0</v>
      </c>
      <c r="K596" s="12">
        <v>0</v>
      </c>
      <c r="L596" s="1"/>
      <c r="M596" s="12"/>
      <c r="N596"/>
      <c r="O596"/>
      <c r="P596" s="2" t="str">
        <f>IF(BD_Receitas[[#This Row],[TIPO DE COBRANÇA]]="Operação Normal",
_xlfn.XLOOKUP(BD_Receitas[[#This Row],[ID]],TabCondicoesComerciais[ID],TabCondicoesComerciais[Volume mínimo 
(m3)],0),"")</f>
        <v/>
      </c>
      <c r="Q596" s="2">
        <f>_xlfn.XLOOKUP(BD_Receitas[[#This Row],[ID]],TabCondicoesComerciais[ID],TabCondicoesComerciais[Vol. 1ºGiro],0)</f>
        <v>750</v>
      </c>
      <c r="R5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596" s="1">
        <f xml:space="preserve"> IF(BD_Receitas[[#This Row],[TIPO DE COBRANÇA]]="Operação Normal",
_xlfn.XLOOKUP(BD_Receitas[[#This Row],[ID]],TabCondicoesComerciais[ID],TabCondicoesComerciais[Tarifa 2º Giro],0),0)</f>
        <v>0</v>
      </c>
      <c r="T5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7" spans="1:24" hidden="1" x14ac:dyDescent="0.35">
      <c r="A597" s="3" t="s">
        <v>149</v>
      </c>
      <c r="B597" s="11">
        <v>45931</v>
      </c>
      <c r="C597" t="s">
        <v>31</v>
      </c>
      <c r="D597" t="s">
        <v>110</v>
      </c>
      <c r="E597" t="s">
        <v>117</v>
      </c>
      <c r="F597" s="10" t="s">
        <v>23</v>
      </c>
      <c r="G597" s="3" t="s">
        <v>112</v>
      </c>
      <c r="H597" s="3" t="s">
        <v>113</v>
      </c>
      <c r="I597" s="3" t="s">
        <v>7</v>
      </c>
      <c r="J597" s="1">
        <v>0</v>
      </c>
      <c r="K597" s="12">
        <v>0</v>
      </c>
      <c r="L597" s="1"/>
      <c r="M597" s="12"/>
      <c r="N597"/>
      <c r="O597"/>
      <c r="P597" s="2" t="str">
        <f>IF(BD_Receitas[[#This Row],[TIPO DE COBRANÇA]]="Operação Normal",
_xlfn.XLOOKUP(BD_Receitas[[#This Row],[ID]],TabCondicoesComerciais[ID],TabCondicoesComerciais[Volume mínimo 
(m3)],0),"")</f>
        <v/>
      </c>
      <c r="Q597" s="2">
        <f>_xlfn.XLOOKUP(BD_Receitas[[#This Row],[ID]],TabCondicoesComerciais[ID],TabCondicoesComerciais[Vol. 1ºGiro],0)</f>
        <v>750</v>
      </c>
      <c r="R5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597" s="1">
        <f xml:space="preserve"> IF(BD_Receitas[[#This Row],[TIPO DE COBRANÇA]]="Operação Normal",
_xlfn.XLOOKUP(BD_Receitas[[#This Row],[ID]],TabCondicoesComerciais[ID],TabCondicoesComerciais[Tarifa 2º Giro],0),0)</f>
        <v>0</v>
      </c>
      <c r="T5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8" spans="1:24" hidden="1" x14ac:dyDescent="0.35">
      <c r="A598" s="3" t="s">
        <v>149</v>
      </c>
      <c r="B598" s="11">
        <v>45931</v>
      </c>
      <c r="C598" t="s">
        <v>31</v>
      </c>
      <c r="D598" t="s">
        <v>110</v>
      </c>
      <c r="E598" t="s">
        <v>117</v>
      </c>
      <c r="F598" s="10" t="s">
        <v>23</v>
      </c>
      <c r="G598" s="3" t="s">
        <v>112</v>
      </c>
      <c r="H598" s="3" t="s">
        <v>113</v>
      </c>
      <c r="I598" s="3" t="s">
        <v>8</v>
      </c>
      <c r="J598" s="1">
        <v>0</v>
      </c>
      <c r="K598" s="12">
        <v>0</v>
      </c>
      <c r="L598" s="1"/>
      <c r="M598" s="12"/>
      <c r="N598"/>
      <c r="O598"/>
      <c r="P598" s="2" t="str">
        <f>IF(BD_Receitas[[#This Row],[TIPO DE COBRANÇA]]="Operação Normal",
_xlfn.XLOOKUP(BD_Receitas[[#This Row],[ID]],TabCondicoesComerciais[ID],TabCondicoesComerciais[Volume mínimo 
(m3)],0),"")</f>
        <v/>
      </c>
      <c r="Q598" s="2">
        <f>_xlfn.XLOOKUP(BD_Receitas[[#This Row],[ID]],TabCondicoesComerciais[ID],TabCondicoesComerciais[Vol. 1ºGiro],0)</f>
        <v>750</v>
      </c>
      <c r="R5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598" s="1">
        <f xml:space="preserve"> IF(BD_Receitas[[#This Row],[TIPO DE COBRANÇA]]="Operação Normal",
_xlfn.XLOOKUP(BD_Receitas[[#This Row],[ID]],TabCondicoesComerciais[ID],TabCondicoesComerciais[Tarifa 2º Giro],0),0)</f>
        <v>0</v>
      </c>
      <c r="T5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5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5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5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5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599" spans="1:24" hidden="1" x14ac:dyDescent="0.35">
      <c r="A599" s="3" t="s">
        <v>149</v>
      </c>
      <c r="B599" s="11">
        <v>45931</v>
      </c>
      <c r="C599" t="s">
        <v>31</v>
      </c>
      <c r="D599" t="s">
        <v>110</v>
      </c>
      <c r="E599" t="s">
        <v>117</v>
      </c>
      <c r="F599" s="10" t="s">
        <v>23</v>
      </c>
      <c r="G599" s="3" t="s">
        <v>112</v>
      </c>
      <c r="H599" s="3" t="s">
        <v>113</v>
      </c>
      <c r="I599" s="3" t="s">
        <v>15</v>
      </c>
      <c r="J599" s="1">
        <v>0</v>
      </c>
      <c r="K599" s="12">
        <v>0</v>
      </c>
      <c r="L599" s="1"/>
      <c r="M599" s="12"/>
      <c r="N599"/>
      <c r="O599"/>
      <c r="P599" s="2">
        <f>IF(BD_Receitas[[#This Row],[TIPO DE COBRANÇA]]="Operação Normal",
_xlfn.XLOOKUP(BD_Receitas[[#This Row],[ID]],TabCondicoesComerciais[ID],TabCondicoesComerciais[Volume mínimo 
(m3)],0),"")</f>
        <v>3000</v>
      </c>
      <c r="Q599" s="2">
        <f>_xlfn.XLOOKUP(BD_Receitas[[#This Row],[ID]],TabCondicoesComerciais[ID],TabCondicoesComerciais[Vol. 1ºGiro],0)</f>
        <v>750</v>
      </c>
      <c r="R5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599" s="1">
        <f xml:space="preserve"> IF(BD_Receitas[[#This Row],[TIPO DE COBRANÇA]]="Operação Normal",
_xlfn.XLOOKUP(BD_Receitas[[#This Row],[ID]],TabCondicoesComerciais[ID],TabCondicoesComerciais[Tarifa 2º Giro],0),0)</f>
        <v>19.5</v>
      </c>
      <c r="T59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5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5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5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5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00" spans="1:24" hidden="1" x14ac:dyDescent="0.35">
      <c r="A600" s="3" t="s">
        <v>149</v>
      </c>
      <c r="B600" s="11">
        <v>45931</v>
      </c>
      <c r="C600" t="s">
        <v>31</v>
      </c>
      <c r="D600" t="s">
        <v>110</v>
      </c>
      <c r="E600" t="s">
        <v>117</v>
      </c>
      <c r="F600" s="10" t="s">
        <v>23</v>
      </c>
      <c r="G600" s="3" t="s">
        <v>112</v>
      </c>
      <c r="H600" s="3" t="s">
        <v>113</v>
      </c>
      <c r="I600" s="3" t="s">
        <v>65</v>
      </c>
      <c r="J600" s="1">
        <v>0</v>
      </c>
      <c r="K600" s="12">
        <v>0</v>
      </c>
      <c r="L600" s="1"/>
      <c r="M600" s="12"/>
      <c r="N600"/>
      <c r="O600"/>
      <c r="P600" s="2" t="str">
        <f>IF(BD_Receitas[[#This Row],[TIPO DE COBRANÇA]]="Operação Normal",
_xlfn.XLOOKUP(BD_Receitas[[#This Row],[ID]],TabCondicoesComerciais[ID],TabCondicoesComerciais[Volume mínimo 
(m3)],0),"")</f>
        <v/>
      </c>
      <c r="Q600" s="2">
        <f>_xlfn.XLOOKUP(BD_Receitas[[#This Row],[ID]],TabCondicoesComerciais[ID],TabCondicoesComerciais[Vol. 1ºGiro],0)</f>
        <v>750</v>
      </c>
      <c r="R6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00" s="1">
        <f xml:space="preserve"> IF(BD_Receitas[[#This Row],[TIPO DE COBRANÇA]]="Operação Normal",
_xlfn.XLOOKUP(BD_Receitas[[#This Row],[ID]],TabCondicoesComerciais[ID],TabCondicoesComerciais[Tarifa 2º Giro],0),0)</f>
        <v>0</v>
      </c>
      <c r="T6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1" spans="1:24" hidden="1" x14ac:dyDescent="0.35">
      <c r="A601" s="3" t="s">
        <v>263</v>
      </c>
      <c r="B601" s="11">
        <v>45931</v>
      </c>
      <c r="C601" t="s">
        <v>31</v>
      </c>
      <c r="D601" t="s">
        <v>62</v>
      </c>
      <c r="E601" t="s">
        <v>33</v>
      </c>
      <c r="F601" s="10" t="s">
        <v>46</v>
      </c>
      <c r="G601" s="3" t="s">
        <v>87</v>
      </c>
      <c r="H601" s="3" t="s">
        <v>9</v>
      </c>
      <c r="I601" s="3" t="s">
        <v>7</v>
      </c>
      <c r="J601" s="1">
        <v>0</v>
      </c>
      <c r="K601" s="12">
        <v>0</v>
      </c>
      <c r="L601" s="1"/>
      <c r="M601" s="12"/>
      <c r="N601"/>
      <c r="O601"/>
      <c r="P601" s="2" t="str">
        <f>IF(BD_Receitas[[#This Row],[TIPO DE COBRANÇA]]="Operação Normal",
_xlfn.XLOOKUP(BD_Receitas[[#This Row],[ID]],TabCondicoesComerciais[ID],TabCondicoesComerciais[Volume mínimo 
(m3)],0),"")</f>
        <v/>
      </c>
      <c r="Q601" s="2">
        <f>_xlfn.XLOOKUP(BD_Receitas[[#This Row],[ID]],TabCondicoesComerciais[ID],TabCondicoesComerciais[Vol. 1ºGiro],0)</f>
        <v>1070</v>
      </c>
      <c r="R6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601" s="1">
        <f xml:space="preserve"> IF(BD_Receitas[[#This Row],[TIPO DE COBRANÇA]]="Operação Normal",
_xlfn.XLOOKUP(BD_Receitas[[#This Row],[ID]],TabCondicoesComerciais[ID],TabCondicoesComerciais[Tarifa 2º Giro],0),0)</f>
        <v>0</v>
      </c>
      <c r="T6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2" spans="1:24" hidden="1" x14ac:dyDescent="0.35">
      <c r="A602" s="3" t="s">
        <v>263</v>
      </c>
      <c r="B602" s="11">
        <v>45931</v>
      </c>
      <c r="C602" t="s">
        <v>31</v>
      </c>
      <c r="D602" t="s">
        <v>62</v>
      </c>
      <c r="E602" t="s">
        <v>33</v>
      </c>
      <c r="F602" s="10" t="s">
        <v>46</v>
      </c>
      <c r="G602" s="3" t="s">
        <v>87</v>
      </c>
      <c r="H602" s="3" t="s">
        <v>9</v>
      </c>
      <c r="I602" s="3" t="s">
        <v>8</v>
      </c>
      <c r="J602" s="1">
        <v>0</v>
      </c>
      <c r="K602" s="12">
        <v>0</v>
      </c>
      <c r="L602" s="1">
        <v>96.834000000000003</v>
      </c>
      <c r="M602" s="12">
        <v>12.362</v>
      </c>
      <c r="N602" t="s">
        <v>258</v>
      </c>
      <c r="O602"/>
      <c r="P602" s="2" t="str">
        <f>IF(BD_Receitas[[#This Row],[TIPO DE COBRANÇA]]="Operação Normal",
_xlfn.XLOOKUP(BD_Receitas[[#This Row],[ID]],TabCondicoesComerciais[ID],TabCondicoesComerciais[Volume mínimo 
(m3)],0),"")</f>
        <v/>
      </c>
      <c r="Q602" s="2">
        <f>_xlfn.XLOOKUP(BD_Receitas[[#This Row],[ID]],TabCondicoesComerciais[ID],TabCondicoesComerciais[Vol. 1ºGiro],0)</f>
        <v>1070</v>
      </c>
      <c r="R6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602" s="1">
        <f xml:space="preserve"> IF(BD_Receitas[[#This Row],[TIPO DE COBRANÇA]]="Operação Normal",
_xlfn.XLOOKUP(BD_Receitas[[#This Row],[ID]],TabCondicoesComerciais[ID],TabCondicoesComerciais[Tarifa 2º Giro],0),0)</f>
        <v>0</v>
      </c>
      <c r="T6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3" spans="1:24" hidden="1" x14ac:dyDescent="0.35">
      <c r="A603" s="3" t="s">
        <v>263</v>
      </c>
      <c r="B603" s="11">
        <v>45931</v>
      </c>
      <c r="C603" t="s">
        <v>31</v>
      </c>
      <c r="D603" t="s">
        <v>62</v>
      </c>
      <c r="E603" t="s">
        <v>33</v>
      </c>
      <c r="F603" s="10" t="s">
        <v>46</v>
      </c>
      <c r="G603" s="3" t="s">
        <v>87</v>
      </c>
      <c r="H603" s="3" t="s">
        <v>9</v>
      </c>
      <c r="I603" s="3" t="s">
        <v>15</v>
      </c>
      <c r="J603" s="1">
        <v>65348.32</v>
      </c>
      <c r="K603" s="12">
        <v>1926</v>
      </c>
      <c r="L603" s="1">
        <v>62864.639999999999</v>
      </c>
      <c r="M603" s="12">
        <v>1268.0909999999999</v>
      </c>
      <c r="N603" t="s">
        <v>258</v>
      </c>
      <c r="O603"/>
      <c r="P603" s="2">
        <f>IF(BD_Receitas[[#This Row],[TIPO DE COBRANÇA]]="Operação Normal",
_xlfn.XLOOKUP(BD_Receitas[[#This Row],[ID]],TabCondicoesComerciais[ID],TabCondicoesComerciais[Volume mínimo 
(m3)],0),"")</f>
        <v>3210</v>
      </c>
      <c r="Q603" s="2">
        <f>_xlfn.XLOOKUP(BD_Receitas[[#This Row],[ID]],TabCondicoesComerciais[ID],TabCondicoesComerciais[Vol. 1ºGiro],0)</f>
        <v>1070</v>
      </c>
      <c r="R6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603" s="1">
        <f xml:space="preserve"> IF(BD_Receitas[[#This Row],[TIPO DE COBRANÇA]]="Operação Normal",
_xlfn.XLOOKUP(BD_Receitas[[#This Row],[ID]],TabCondicoesComerciais[ID],TabCondicoesComerciais[Tarifa 2º Giro],0),0)</f>
        <v>32.64</v>
      </c>
      <c r="T603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6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53.979938348273116</v>
      </c>
      <c r="V6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6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41390.490239999999</v>
      </c>
      <c r="X6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04" spans="1:24" hidden="1" x14ac:dyDescent="0.35">
      <c r="A604" s="3" t="s">
        <v>263</v>
      </c>
      <c r="B604" s="11">
        <v>45931</v>
      </c>
      <c r="C604" t="s">
        <v>31</v>
      </c>
      <c r="D604" t="s">
        <v>62</v>
      </c>
      <c r="E604" t="s">
        <v>33</v>
      </c>
      <c r="F604" s="10" t="s">
        <v>46</v>
      </c>
      <c r="G604" s="3" t="s">
        <v>87</v>
      </c>
      <c r="H604" s="3" t="s">
        <v>9</v>
      </c>
      <c r="I604" s="3" t="s">
        <v>65</v>
      </c>
      <c r="J604" s="1">
        <v>0</v>
      </c>
      <c r="K604" s="12">
        <v>0</v>
      </c>
      <c r="L604" s="1">
        <v>5490</v>
      </c>
      <c r="M604" s="12">
        <v>0</v>
      </c>
      <c r="N604" t="s">
        <v>258</v>
      </c>
      <c r="O604"/>
      <c r="P604" s="2" t="str">
        <f>IF(BD_Receitas[[#This Row],[TIPO DE COBRANÇA]]="Operação Normal",
_xlfn.XLOOKUP(BD_Receitas[[#This Row],[ID]],TabCondicoesComerciais[ID],TabCondicoesComerciais[Volume mínimo 
(m3)],0),"")</f>
        <v/>
      </c>
      <c r="Q604" s="2">
        <f>_xlfn.XLOOKUP(BD_Receitas[[#This Row],[ID]],TabCondicoesComerciais[ID],TabCondicoesComerciais[Vol. 1ºGiro],0)</f>
        <v>1070</v>
      </c>
      <c r="R6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04" s="1">
        <f xml:space="preserve"> IF(BD_Receitas[[#This Row],[TIPO DE COBRANÇA]]="Operação Normal",
_xlfn.XLOOKUP(BD_Receitas[[#This Row],[ID]],TabCondicoesComerciais[ID],TabCondicoesComerciais[Tarifa 2º Giro],0),0)</f>
        <v>0</v>
      </c>
      <c r="T6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5" spans="1:24" hidden="1" x14ac:dyDescent="0.35">
      <c r="A605" s="3" t="s">
        <v>200</v>
      </c>
      <c r="B605" s="11">
        <v>45931</v>
      </c>
      <c r="C605" t="s">
        <v>31</v>
      </c>
      <c r="D605" t="s">
        <v>203</v>
      </c>
      <c r="E605" t="s">
        <v>32</v>
      </c>
      <c r="F605" s="10" t="s">
        <v>25</v>
      </c>
      <c r="G605" s="3" t="s">
        <v>12</v>
      </c>
      <c r="H605" s="3" t="s">
        <v>10</v>
      </c>
      <c r="I605" s="3" t="s">
        <v>7</v>
      </c>
      <c r="J605" s="1">
        <v>0</v>
      </c>
      <c r="K605" s="12">
        <v>0</v>
      </c>
      <c r="L605" s="1">
        <v>214.17</v>
      </c>
      <c r="M605" s="12">
        <v>7.649</v>
      </c>
      <c r="N605" t="s">
        <v>226</v>
      </c>
      <c r="O605" t="s">
        <v>129</v>
      </c>
      <c r="P605" s="2" t="str">
        <f>IF(BD_Receitas[[#This Row],[TIPO DE COBRANÇA]]="Operação Normal",
_xlfn.XLOOKUP(BD_Receitas[[#This Row],[ID]],TabCondicoesComerciais[ID],TabCondicoesComerciais[Volume mínimo 
(m3)],0),"")</f>
        <v/>
      </c>
      <c r="Q605" s="2">
        <f>_xlfn.XLOOKUP(BD_Receitas[[#This Row],[ID]],TabCondicoesComerciais[ID],TabCondicoesComerciais[Vol. 1ºGiro],0)</f>
        <v>2000</v>
      </c>
      <c r="R6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05" s="1">
        <f xml:space="preserve"> IF(BD_Receitas[[#This Row],[TIPO DE COBRANÇA]]="Operação Normal",
_xlfn.XLOOKUP(BD_Receitas[[#This Row],[ID]],TabCondicoesComerciais[ID],TabCondicoesComerciais[Tarifa 2º Giro],0),0)</f>
        <v>0</v>
      </c>
      <c r="T6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6" spans="1:24" hidden="1" x14ac:dyDescent="0.35">
      <c r="A606" s="3" t="s">
        <v>200</v>
      </c>
      <c r="B606" s="11">
        <v>45931</v>
      </c>
      <c r="C606" t="s">
        <v>31</v>
      </c>
      <c r="D606" t="s">
        <v>203</v>
      </c>
      <c r="E606" t="s">
        <v>32</v>
      </c>
      <c r="F606" s="10" t="s">
        <v>25</v>
      </c>
      <c r="G606" s="3" t="s">
        <v>12</v>
      </c>
      <c r="H606" s="3" t="s">
        <v>10</v>
      </c>
      <c r="I606" s="3" t="s">
        <v>7</v>
      </c>
      <c r="J606" s="1">
        <v>0</v>
      </c>
      <c r="K606" s="12">
        <v>0</v>
      </c>
      <c r="L606" s="1">
        <v>214.17</v>
      </c>
      <c r="M606" s="12">
        <v>7.649</v>
      </c>
      <c r="N606" t="s">
        <v>226</v>
      </c>
      <c r="O606" t="s">
        <v>129</v>
      </c>
      <c r="P606" s="2" t="str">
        <f>IF(BD_Receitas[[#This Row],[TIPO DE COBRANÇA]]="Operação Normal",
_xlfn.XLOOKUP(BD_Receitas[[#This Row],[ID]],TabCondicoesComerciais[ID],TabCondicoesComerciais[Volume mínimo 
(m3)],0),"")</f>
        <v/>
      </c>
      <c r="Q606" s="2">
        <f>_xlfn.XLOOKUP(BD_Receitas[[#This Row],[ID]],TabCondicoesComerciais[ID],TabCondicoesComerciais[Vol. 1ºGiro],0)</f>
        <v>2000</v>
      </c>
      <c r="R6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06" s="1">
        <f xml:space="preserve"> IF(BD_Receitas[[#This Row],[TIPO DE COBRANÇA]]="Operação Normal",
_xlfn.XLOOKUP(BD_Receitas[[#This Row],[ID]],TabCondicoesComerciais[ID],TabCondicoesComerciais[Tarifa 2º Giro],0),0)</f>
        <v>0</v>
      </c>
      <c r="T6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7" spans="1:24" hidden="1" x14ac:dyDescent="0.35">
      <c r="A607" s="3" t="s">
        <v>200</v>
      </c>
      <c r="B607" s="11">
        <v>45931</v>
      </c>
      <c r="C607" t="s">
        <v>31</v>
      </c>
      <c r="D607" t="s">
        <v>203</v>
      </c>
      <c r="E607" t="s">
        <v>32</v>
      </c>
      <c r="F607" s="10" t="s">
        <v>25</v>
      </c>
      <c r="G607" s="3" t="s">
        <v>12</v>
      </c>
      <c r="H607" s="3" t="s">
        <v>10</v>
      </c>
      <c r="I607" s="3" t="s">
        <v>7</v>
      </c>
      <c r="J607" s="1">
        <v>0</v>
      </c>
      <c r="K607" s="12">
        <v>0</v>
      </c>
      <c r="L607" s="1">
        <v>214.17</v>
      </c>
      <c r="M607" s="12">
        <v>7.649</v>
      </c>
      <c r="N607" t="s">
        <v>226</v>
      </c>
      <c r="O607" t="s">
        <v>129</v>
      </c>
      <c r="P607" s="2" t="str">
        <f>IF(BD_Receitas[[#This Row],[TIPO DE COBRANÇA]]="Operação Normal",
_xlfn.XLOOKUP(BD_Receitas[[#This Row],[ID]],TabCondicoesComerciais[ID],TabCondicoesComerciais[Volume mínimo 
(m3)],0),"")</f>
        <v/>
      </c>
      <c r="Q607" s="2">
        <f>_xlfn.XLOOKUP(BD_Receitas[[#This Row],[ID]],TabCondicoesComerciais[ID],TabCondicoesComerciais[Vol. 1ºGiro],0)</f>
        <v>2000</v>
      </c>
      <c r="R6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07" s="1">
        <f xml:space="preserve"> IF(BD_Receitas[[#This Row],[TIPO DE COBRANÇA]]="Operação Normal",
_xlfn.XLOOKUP(BD_Receitas[[#This Row],[ID]],TabCondicoesComerciais[ID],TabCondicoesComerciais[Tarifa 2º Giro],0),0)</f>
        <v>0</v>
      </c>
      <c r="T60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8" spans="1:24" hidden="1" x14ac:dyDescent="0.35">
      <c r="A608" s="3" t="s">
        <v>200</v>
      </c>
      <c r="B608" s="11">
        <v>45931</v>
      </c>
      <c r="C608" t="s">
        <v>31</v>
      </c>
      <c r="D608" t="s">
        <v>203</v>
      </c>
      <c r="E608" t="s">
        <v>32</v>
      </c>
      <c r="F608" s="10" t="s">
        <v>25</v>
      </c>
      <c r="G608" s="3" t="s">
        <v>12</v>
      </c>
      <c r="H608" s="3" t="s">
        <v>10</v>
      </c>
      <c r="I608" s="3" t="s">
        <v>8</v>
      </c>
      <c r="J608" s="1">
        <v>0</v>
      </c>
      <c r="K608" s="12">
        <v>0</v>
      </c>
      <c r="L608" s="1"/>
      <c r="M608" s="12"/>
      <c r="N608"/>
      <c r="O608"/>
      <c r="P608" s="2" t="str">
        <f>IF(BD_Receitas[[#This Row],[TIPO DE COBRANÇA]]="Operação Normal",
_xlfn.XLOOKUP(BD_Receitas[[#This Row],[ID]],TabCondicoesComerciais[ID],TabCondicoesComerciais[Volume mínimo 
(m3)],0),"")</f>
        <v/>
      </c>
      <c r="Q608" s="2">
        <f>_xlfn.XLOOKUP(BD_Receitas[[#This Row],[ID]],TabCondicoesComerciais[ID],TabCondicoesComerciais[Vol. 1ºGiro],0)</f>
        <v>2000</v>
      </c>
      <c r="R6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08" s="1">
        <f xml:space="preserve"> IF(BD_Receitas[[#This Row],[TIPO DE COBRANÇA]]="Operação Normal",
_xlfn.XLOOKUP(BD_Receitas[[#This Row],[ID]],TabCondicoesComerciais[ID],TabCondicoesComerciais[Tarifa 2º Giro],0),0)</f>
        <v>0</v>
      </c>
      <c r="T6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09" spans="1:24" hidden="1" x14ac:dyDescent="0.35">
      <c r="A609" s="3" t="s">
        <v>200</v>
      </c>
      <c r="B609" s="11">
        <v>45931</v>
      </c>
      <c r="C609" t="s">
        <v>31</v>
      </c>
      <c r="D609" t="s">
        <v>203</v>
      </c>
      <c r="E609" t="s">
        <v>32</v>
      </c>
      <c r="F609" s="10" t="s">
        <v>25</v>
      </c>
      <c r="G609" s="3" t="s">
        <v>12</v>
      </c>
      <c r="H609" s="3" t="s">
        <v>10</v>
      </c>
      <c r="I609" s="3" t="s">
        <v>15</v>
      </c>
      <c r="J609" s="1">
        <v>0</v>
      </c>
      <c r="K609" s="12">
        <v>0</v>
      </c>
      <c r="L609" s="1">
        <v>248988.66</v>
      </c>
      <c r="M609" s="12">
        <v>12449.433000000001</v>
      </c>
      <c r="N609" t="s">
        <v>226</v>
      </c>
      <c r="O609" t="s">
        <v>155</v>
      </c>
      <c r="P609" s="2">
        <f>IF(BD_Receitas[[#This Row],[TIPO DE COBRANÇA]]="Operação Normal",
_xlfn.XLOOKUP(BD_Receitas[[#This Row],[ID]],TabCondicoesComerciais[ID],TabCondicoesComerciais[Volume mínimo 
(m3)],0),"")</f>
        <v>8000</v>
      </c>
      <c r="Q609" s="2">
        <f>_xlfn.XLOOKUP(BD_Receitas[[#This Row],[ID]],TabCondicoesComerciais[ID],TabCondicoesComerciais[Vol. 1ºGiro],0)</f>
        <v>2000</v>
      </c>
      <c r="R6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09" s="1">
        <f xml:space="preserve"> IF(BD_Receitas[[#This Row],[TIPO DE COBRANÇA]]="Operação Normal",
_xlfn.XLOOKUP(BD_Receitas[[#This Row],[ID]],TabCondicoesComerciais[ID],TabCondicoesComerciais[Tarifa 2º Giro],0),0)</f>
        <v>20</v>
      </c>
      <c r="T609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0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60.051609579327824</v>
      </c>
      <c r="V60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0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248988.66000000003</v>
      </c>
      <c r="X6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10" spans="1:24" hidden="1" x14ac:dyDescent="0.35">
      <c r="A610" s="3" t="s">
        <v>200</v>
      </c>
      <c r="B610" s="11">
        <v>45931</v>
      </c>
      <c r="C610" t="s">
        <v>31</v>
      </c>
      <c r="D610" t="s">
        <v>203</v>
      </c>
      <c r="E610" t="s">
        <v>32</v>
      </c>
      <c r="F610" s="10" t="s">
        <v>25</v>
      </c>
      <c r="G610" s="3" t="s">
        <v>12</v>
      </c>
      <c r="H610" s="3" t="s">
        <v>10</v>
      </c>
      <c r="I610" s="3" t="s">
        <v>15</v>
      </c>
      <c r="J610" s="1">
        <v>0</v>
      </c>
      <c r="K610" s="12">
        <v>0</v>
      </c>
      <c r="L610" s="1">
        <v>248988.66</v>
      </c>
      <c r="M610" s="12">
        <v>12449.433000000001</v>
      </c>
      <c r="N610" t="s">
        <v>226</v>
      </c>
      <c r="O610" t="s">
        <v>155</v>
      </c>
      <c r="P610" s="2">
        <f>IF(BD_Receitas[[#This Row],[TIPO DE COBRANÇA]]="Operação Normal",
_xlfn.XLOOKUP(BD_Receitas[[#This Row],[ID]],TabCondicoesComerciais[ID],TabCondicoesComerciais[Volume mínimo 
(m3)],0),"")</f>
        <v>8000</v>
      </c>
      <c r="Q610" s="2">
        <f>_xlfn.XLOOKUP(BD_Receitas[[#This Row],[ID]],TabCondicoesComerciais[ID],TabCondicoesComerciais[Vol. 1ºGiro],0)</f>
        <v>2000</v>
      </c>
      <c r="R6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10" s="1">
        <f xml:space="preserve"> IF(BD_Receitas[[#This Row],[TIPO DE COBRANÇA]]="Operação Normal",
_xlfn.XLOOKUP(BD_Receitas[[#This Row],[ID]],TabCondicoesComerciais[ID],TabCondicoesComerciais[Tarifa 2º Giro],0),0)</f>
        <v>20</v>
      </c>
      <c r="T610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1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60.051609579327824</v>
      </c>
      <c r="V61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1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248988.66000000003</v>
      </c>
      <c r="X6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11" spans="1:24" hidden="1" x14ac:dyDescent="0.35">
      <c r="A611" s="3" t="s">
        <v>200</v>
      </c>
      <c r="B611" s="11">
        <v>45931</v>
      </c>
      <c r="C611" t="s">
        <v>31</v>
      </c>
      <c r="D611" t="s">
        <v>203</v>
      </c>
      <c r="E611" t="s">
        <v>32</v>
      </c>
      <c r="F611" s="10" t="s">
        <v>25</v>
      </c>
      <c r="G611" s="3" t="s">
        <v>12</v>
      </c>
      <c r="H611" s="3" t="s">
        <v>10</v>
      </c>
      <c r="I611" s="3" t="s">
        <v>15</v>
      </c>
      <c r="J611" s="1">
        <v>0</v>
      </c>
      <c r="K611" s="12">
        <v>0</v>
      </c>
      <c r="L611" s="1">
        <v>248988.66</v>
      </c>
      <c r="M611" s="12">
        <v>12449.433000000001</v>
      </c>
      <c r="N611" t="s">
        <v>226</v>
      </c>
      <c r="O611" t="s">
        <v>155</v>
      </c>
      <c r="P611" s="2">
        <f>IF(BD_Receitas[[#This Row],[TIPO DE COBRANÇA]]="Operação Normal",
_xlfn.XLOOKUP(BD_Receitas[[#This Row],[ID]],TabCondicoesComerciais[ID],TabCondicoesComerciais[Volume mínimo 
(m3)],0),"")</f>
        <v>8000</v>
      </c>
      <c r="Q611" s="2">
        <f>_xlfn.XLOOKUP(BD_Receitas[[#This Row],[ID]],TabCondicoesComerciais[ID],TabCondicoesComerciais[Vol. 1ºGiro],0)</f>
        <v>2000</v>
      </c>
      <c r="R6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11" s="1">
        <f xml:space="preserve"> IF(BD_Receitas[[#This Row],[TIPO DE COBRANÇA]]="Operação Normal",
_xlfn.XLOOKUP(BD_Receitas[[#This Row],[ID]],TabCondicoesComerciais[ID],TabCondicoesComerciais[Tarifa 2º Giro],0),0)</f>
        <v>20</v>
      </c>
      <c r="T611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60.051609579327824</v>
      </c>
      <c r="V6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248988.66000000003</v>
      </c>
      <c r="X6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12" spans="1:24" hidden="1" x14ac:dyDescent="0.35">
      <c r="A612" s="3" t="s">
        <v>200</v>
      </c>
      <c r="B612" s="11">
        <v>45931</v>
      </c>
      <c r="C612" t="s">
        <v>31</v>
      </c>
      <c r="D612" t="s">
        <v>203</v>
      </c>
      <c r="E612" t="s">
        <v>32</v>
      </c>
      <c r="F612" s="10" t="s">
        <v>25</v>
      </c>
      <c r="G612" s="3" t="s">
        <v>12</v>
      </c>
      <c r="H612" s="3" t="s">
        <v>10</v>
      </c>
      <c r="I612" s="3" t="s">
        <v>65</v>
      </c>
      <c r="J612" s="1">
        <v>0</v>
      </c>
      <c r="K612" s="12">
        <v>0</v>
      </c>
      <c r="L612" s="1"/>
      <c r="M612" s="12"/>
      <c r="N612"/>
      <c r="O612"/>
      <c r="P612" s="2" t="str">
        <f>IF(BD_Receitas[[#This Row],[TIPO DE COBRANÇA]]="Operação Normal",
_xlfn.XLOOKUP(BD_Receitas[[#This Row],[ID]],TabCondicoesComerciais[ID],TabCondicoesComerciais[Volume mínimo 
(m3)],0),"")</f>
        <v/>
      </c>
      <c r="Q612" s="2">
        <f>_xlfn.XLOOKUP(BD_Receitas[[#This Row],[ID]],TabCondicoesComerciais[ID],TabCondicoesComerciais[Vol. 1ºGiro],0)</f>
        <v>2000</v>
      </c>
      <c r="R6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12" s="1">
        <f xml:space="preserve"> IF(BD_Receitas[[#This Row],[TIPO DE COBRANÇA]]="Operação Normal",
_xlfn.XLOOKUP(BD_Receitas[[#This Row],[ID]],TabCondicoesComerciais[ID],TabCondicoesComerciais[Tarifa 2º Giro],0),0)</f>
        <v>0</v>
      </c>
      <c r="T6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13" spans="1:24" hidden="1" x14ac:dyDescent="0.35">
      <c r="A613" s="3" t="s">
        <v>264</v>
      </c>
      <c r="B613" s="11">
        <v>45931</v>
      </c>
      <c r="C613" t="s">
        <v>31</v>
      </c>
      <c r="D613" t="s">
        <v>203</v>
      </c>
      <c r="E613" t="s">
        <v>32</v>
      </c>
      <c r="F613" s="10" t="s">
        <v>25</v>
      </c>
      <c r="G613" s="3" t="s">
        <v>12</v>
      </c>
      <c r="H613" s="3" t="s">
        <v>9</v>
      </c>
      <c r="I613" s="3" t="s">
        <v>7</v>
      </c>
      <c r="J613" s="1">
        <v>0</v>
      </c>
      <c r="K613" s="12">
        <v>0</v>
      </c>
      <c r="L613" s="1">
        <v>1827.97</v>
      </c>
      <c r="M613" s="12">
        <v>203.108</v>
      </c>
      <c r="N613" t="s">
        <v>205</v>
      </c>
      <c r="O613" t="s">
        <v>129</v>
      </c>
      <c r="P613" s="2" t="str">
        <f>IF(BD_Receitas[[#This Row],[TIPO DE COBRANÇA]]="Operação Normal",
_xlfn.XLOOKUP(BD_Receitas[[#This Row],[ID]],TabCondicoesComerciais[ID],TabCondicoesComerciais[Volume mínimo 
(m3)],0),"")</f>
        <v/>
      </c>
      <c r="Q613" s="2">
        <f>_xlfn.XLOOKUP(BD_Receitas[[#This Row],[ID]],TabCondicoesComerciais[ID],TabCondicoesComerciais[Vol. 1ºGiro],0)</f>
        <v>1125</v>
      </c>
      <c r="R6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13" s="1">
        <f xml:space="preserve"> IF(BD_Receitas[[#This Row],[TIPO DE COBRANÇA]]="Operação Normal",
_xlfn.XLOOKUP(BD_Receitas[[#This Row],[ID]],TabCondicoesComerciais[ID],TabCondicoesComerciais[Tarifa 2º Giro],0),0)</f>
        <v>0</v>
      </c>
      <c r="T6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14" spans="1:24" hidden="1" x14ac:dyDescent="0.35">
      <c r="A614" s="3" t="s">
        <v>264</v>
      </c>
      <c r="B614" s="11">
        <v>45931</v>
      </c>
      <c r="C614" t="s">
        <v>31</v>
      </c>
      <c r="D614" t="s">
        <v>203</v>
      </c>
      <c r="E614" t="s">
        <v>32</v>
      </c>
      <c r="F614" s="10" t="s">
        <v>25</v>
      </c>
      <c r="G614" s="3" t="s">
        <v>12</v>
      </c>
      <c r="H614" s="3" t="s">
        <v>9</v>
      </c>
      <c r="I614" s="3" t="s">
        <v>7</v>
      </c>
      <c r="J614" s="1">
        <v>0</v>
      </c>
      <c r="K614" s="12">
        <v>0</v>
      </c>
      <c r="L614" s="1">
        <v>1827.97</v>
      </c>
      <c r="M614" s="12">
        <v>203.108</v>
      </c>
      <c r="N614" t="s">
        <v>205</v>
      </c>
      <c r="O614" t="s">
        <v>129</v>
      </c>
      <c r="P614" s="2" t="str">
        <f>IF(BD_Receitas[[#This Row],[TIPO DE COBRANÇA]]="Operação Normal",
_xlfn.XLOOKUP(BD_Receitas[[#This Row],[ID]],TabCondicoesComerciais[ID],TabCondicoesComerciais[Volume mínimo 
(m3)],0),"")</f>
        <v/>
      </c>
      <c r="Q614" s="2">
        <f>_xlfn.XLOOKUP(BD_Receitas[[#This Row],[ID]],TabCondicoesComerciais[ID],TabCondicoesComerciais[Vol. 1ºGiro],0)</f>
        <v>1125</v>
      </c>
      <c r="R6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14" s="1">
        <f xml:space="preserve"> IF(BD_Receitas[[#This Row],[TIPO DE COBRANÇA]]="Operação Normal",
_xlfn.XLOOKUP(BD_Receitas[[#This Row],[ID]],TabCondicoesComerciais[ID],TabCondicoesComerciais[Tarifa 2º Giro],0),0)</f>
        <v>0</v>
      </c>
      <c r="T6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15" spans="1:24" hidden="1" x14ac:dyDescent="0.35">
      <c r="A615" s="3" t="s">
        <v>264</v>
      </c>
      <c r="B615" s="11">
        <v>45931</v>
      </c>
      <c r="C615" t="s">
        <v>31</v>
      </c>
      <c r="D615" t="s">
        <v>203</v>
      </c>
      <c r="E615" t="s">
        <v>32</v>
      </c>
      <c r="F615" s="10" t="s">
        <v>25</v>
      </c>
      <c r="G615" s="3" t="s">
        <v>12</v>
      </c>
      <c r="H615" s="3" t="s">
        <v>9</v>
      </c>
      <c r="I615" s="3" t="s">
        <v>7</v>
      </c>
      <c r="J615" s="1">
        <v>0</v>
      </c>
      <c r="K615" s="12">
        <v>0</v>
      </c>
      <c r="L615" s="1">
        <v>1827.97</v>
      </c>
      <c r="M615" s="12">
        <v>203.108</v>
      </c>
      <c r="N615" t="s">
        <v>205</v>
      </c>
      <c r="O615" t="s">
        <v>129</v>
      </c>
      <c r="P615" s="2" t="str">
        <f>IF(BD_Receitas[[#This Row],[TIPO DE COBRANÇA]]="Operação Normal",
_xlfn.XLOOKUP(BD_Receitas[[#This Row],[ID]],TabCondicoesComerciais[ID],TabCondicoesComerciais[Volume mínimo 
(m3)],0),"")</f>
        <v/>
      </c>
      <c r="Q615" s="2">
        <f>_xlfn.XLOOKUP(BD_Receitas[[#This Row],[ID]],TabCondicoesComerciais[ID],TabCondicoesComerciais[Vol. 1ºGiro],0)</f>
        <v>1125</v>
      </c>
      <c r="R6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15" s="1">
        <f xml:space="preserve"> IF(BD_Receitas[[#This Row],[TIPO DE COBRANÇA]]="Operação Normal",
_xlfn.XLOOKUP(BD_Receitas[[#This Row],[ID]],TabCondicoesComerciais[ID],TabCondicoesComerciais[Tarifa 2º Giro],0),0)</f>
        <v>0</v>
      </c>
      <c r="T6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16" spans="1:24" hidden="1" x14ac:dyDescent="0.35">
      <c r="A616" s="3" t="s">
        <v>264</v>
      </c>
      <c r="B616" s="11">
        <v>45931</v>
      </c>
      <c r="C616" t="s">
        <v>31</v>
      </c>
      <c r="D616" t="s">
        <v>203</v>
      </c>
      <c r="E616" t="s">
        <v>32</v>
      </c>
      <c r="F616" s="10" t="s">
        <v>25</v>
      </c>
      <c r="G616" s="3" t="s">
        <v>12</v>
      </c>
      <c r="H616" s="3" t="s">
        <v>9</v>
      </c>
      <c r="I616" s="3" t="s">
        <v>8</v>
      </c>
      <c r="J616" s="1">
        <v>0</v>
      </c>
      <c r="K616" s="12">
        <v>0</v>
      </c>
      <c r="L616" s="1"/>
      <c r="M616" s="12"/>
      <c r="N616"/>
      <c r="O616"/>
      <c r="P616" s="2" t="str">
        <f>IF(BD_Receitas[[#This Row],[TIPO DE COBRANÇA]]="Operação Normal",
_xlfn.XLOOKUP(BD_Receitas[[#This Row],[ID]],TabCondicoesComerciais[ID],TabCondicoesComerciais[Volume mínimo 
(m3)],0),"")</f>
        <v/>
      </c>
      <c r="Q616" s="2">
        <f>_xlfn.XLOOKUP(BD_Receitas[[#This Row],[ID]],TabCondicoesComerciais[ID],TabCondicoesComerciais[Vol. 1ºGiro],0)</f>
        <v>1125</v>
      </c>
      <c r="R6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16" s="1">
        <f xml:space="preserve"> IF(BD_Receitas[[#This Row],[TIPO DE COBRANÇA]]="Operação Normal",
_xlfn.XLOOKUP(BD_Receitas[[#This Row],[ID]],TabCondicoesComerciais[ID],TabCondicoesComerciais[Tarifa 2º Giro],0),0)</f>
        <v>0</v>
      </c>
      <c r="T6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17" spans="1:24" hidden="1" x14ac:dyDescent="0.35">
      <c r="A617" s="3" t="s">
        <v>264</v>
      </c>
      <c r="B617" s="11">
        <v>45931</v>
      </c>
      <c r="C617" t="s">
        <v>31</v>
      </c>
      <c r="D617" t="s">
        <v>203</v>
      </c>
      <c r="E617" t="s">
        <v>32</v>
      </c>
      <c r="F617" s="10" t="s">
        <v>25</v>
      </c>
      <c r="G617" s="3" t="s">
        <v>12</v>
      </c>
      <c r="H617" s="3" t="s">
        <v>9</v>
      </c>
      <c r="I617" s="3" t="s">
        <v>15</v>
      </c>
      <c r="J617" s="1">
        <v>165115.51999999999</v>
      </c>
      <c r="K617" s="12">
        <v>5625</v>
      </c>
      <c r="L617" s="1">
        <v>165859</v>
      </c>
      <c r="M617" s="12">
        <v>4884.59</v>
      </c>
      <c r="N617" t="s">
        <v>205</v>
      </c>
      <c r="O617" t="s">
        <v>155</v>
      </c>
      <c r="P617" s="2">
        <f>IF(BD_Receitas[[#This Row],[TIPO DE COBRANÇA]]="Operação Normal",
_xlfn.XLOOKUP(BD_Receitas[[#This Row],[ID]],TabCondicoesComerciais[ID],TabCondicoesComerciais[Volume mínimo 
(m3)],0),"")</f>
        <v>5625</v>
      </c>
      <c r="Q617" s="2">
        <f>_xlfn.XLOOKUP(BD_Receitas[[#This Row],[ID]],TabCondicoesComerciais[ID],TabCondicoesComerciais[Vol. 1ºGiro],0)</f>
        <v>1125</v>
      </c>
      <c r="R6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17" s="1">
        <f xml:space="preserve"> IF(BD_Receitas[[#This Row],[TIPO DE COBRANÇA]]="Operação Normal",
_xlfn.XLOOKUP(BD_Receitas[[#This Row],[ID]],TabCondicoesComerciais[ID],TabCondicoesComerciais[Tarifa 2º Giro],0),0)</f>
        <v>27.19</v>
      </c>
      <c r="T617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6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102.9893829369507</v>
      </c>
      <c r="V6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132812.00210000001</v>
      </c>
      <c r="X6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18" spans="1:24" hidden="1" x14ac:dyDescent="0.35">
      <c r="A618" s="3" t="s">
        <v>264</v>
      </c>
      <c r="B618" s="11">
        <v>45931</v>
      </c>
      <c r="C618" t="s">
        <v>31</v>
      </c>
      <c r="D618" t="s">
        <v>203</v>
      </c>
      <c r="E618" t="s">
        <v>32</v>
      </c>
      <c r="F618" s="10" t="s">
        <v>25</v>
      </c>
      <c r="G618" s="3" t="s">
        <v>12</v>
      </c>
      <c r="H618" s="3" t="s">
        <v>9</v>
      </c>
      <c r="I618" s="3" t="s">
        <v>15</v>
      </c>
      <c r="J618" s="1">
        <v>165115.51999999999</v>
      </c>
      <c r="K618" s="12">
        <v>5625</v>
      </c>
      <c r="L618" s="1">
        <v>165859</v>
      </c>
      <c r="M618" s="12">
        <v>6100</v>
      </c>
      <c r="N618" t="s">
        <v>205</v>
      </c>
      <c r="O618" t="s">
        <v>155</v>
      </c>
      <c r="P618" s="2">
        <f>IF(BD_Receitas[[#This Row],[TIPO DE COBRANÇA]]="Operação Normal",
_xlfn.XLOOKUP(BD_Receitas[[#This Row],[ID]],TabCondicoesComerciais[ID],TabCondicoesComerciais[Volume mínimo 
(m3)],0),"")</f>
        <v>5625</v>
      </c>
      <c r="Q618" s="2">
        <f>_xlfn.XLOOKUP(BD_Receitas[[#This Row],[ID]],TabCondicoesComerciais[ID],TabCondicoesComerciais[Vol. 1ºGiro],0)</f>
        <v>1125</v>
      </c>
      <c r="R6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18" s="1">
        <f xml:space="preserve"> IF(BD_Receitas[[#This Row],[TIPO DE COBRANÇA]]="Operação Normal",
_xlfn.XLOOKUP(BD_Receitas[[#This Row],[ID]],TabCondicoesComerciais[ID],TabCondicoesComerciais[Tarifa 2º Giro],0),0)</f>
        <v>27.19</v>
      </c>
      <c r="T618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61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82.46900163934427</v>
      </c>
      <c r="V61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1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6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19" spans="1:24" hidden="1" x14ac:dyDescent="0.35">
      <c r="A619" s="3" t="s">
        <v>264</v>
      </c>
      <c r="B619" s="11">
        <v>45931</v>
      </c>
      <c r="C619" t="s">
        <v>31</v>
      </c>
      <c r="D619" t="s">
        <v>203</v>
      </c>
      <c r="E619" t="s">
        <v>32</v>
      </c>
      <c r="F619" s="10" t="s">
        <v>25</v>
      </c>
      <c r="G619" s="3" t="s">
        <v>12</v>
      </c>
      <c r="H619" s="3" t="s">
        <v>9</v>
      </c>
      <c r="I619" s="3" t="s">
        <v>15</v>
      </c>
      <c r="J619" s="1">
        <v>165115.51999999999</v>
      </c>
      <c r="K619" s="12">
        <v>5625</v>
      </c>
      <c r="L619" s="1">
        <v>165859</v>
      </c>
      <c r="M619" s="12">
        <v>6100</v>
      </c>
      <c r="N619" t="s">
        <v>205</v>
      </c>
      <c r="O619" t="s">
        <v>155</v>
      </c>
      <c r="P619" s="2">
        <f>IF(BD_Receitas[[#This Row],[TIPO DE COBRANÇA]]="Operação Normal",
_xlfn.XLOOKUP(BD_Receitas[[#This Row],[ID]],TabCondicoesComerciais[ID],TabCondicoesComerciais[Volume mínimo 
(m3)],0),"")</f>
        <v>5625</v>
      </c>
      <c r="Q619" s="2">
        <f>_xlfn.XLOOKUP(BD_Receitas[[#This Row],[ID]],TabCondicoesComerciais[ID],TabCondicoesComerciais[Vol. 1ºGiro],0)</f>
        <v>1125</v>
      </c>
      <c r="R6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19" s="1">
        <f xml:space="preserve"> IF(BD_Receitas[[#This Row],[TIPO DE COBRANÇA]]="Operação Normal",
_xlfn.XLOOKUP(BD_Receitas[[#This Row],[ID]],TabCondicoesComerciais[ID],TabCondicoesComerciais[Tarifa 2º Giro],0),0)</f>
        <v>27.19</v>
      </c>
      <c r="T619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6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82.46900163934427</v>
      </c>
      <c r="V6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6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20" spans="1:24" hidden="1" x14ac:dyDescent="0.35">
      <c r="A620" s="3" t="s">
        <v>264</v>
      </c>
      <c r="B620" s="11">
        <v>45931</v>
      </c>
      <c r="C620" t="s">
        <v>31</v>
      </c>
      <c r="D620" t="s">
        <v>203</v>
      </c>
      <c r="E620" t="s">
        <v>32</v>
      </c>
      <c r="F620" s="10" t="s">
        <v>25</v>
      </c>
      <c r="G620" s="3" t="s">
        <v>12</v>
      </c>
      <c r="H620" s="3" t="s">
        <v>9</v>
      </c>
      <c r="I620" s="3" t="s">
        <v>65</v>
      </c>
      <c r="J620" s="1">
        <v>0</v>
      </c>
      <c r="K620" s="12">
        <v>0</v>
      </c>
      <c r="L620" s="1"/>
      <c r="M620" s="12"/>
      <c r="N620"/>
      <c r="O620"/>
      <c r="P620" s="2" t="str">
        <f>IF(BD_Receitas[[#This Row],[TIPO DE COBRANÇA]]="Operação Normal",
_xlfn.XLOOKUP(BD_Receitas[[#This Row],[ID]],TabCondicoesComerciais[ID],TabCondicoesComerciais[Volume mínimo 
(m3)],0),"")</f>
        <v/>
      </c>
      <c r="Q620" s="2">
        <f>_xlfn.XLOOKUP(BD_Receitas[[#This Row],[ID]],TabCondicoesComerciais[ID],TabCondicoesComerciais[Vol. 1ºGiro],0)</f>
        <v>1125</v>
      </c>
      <c r="R6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0" s="1">
        <f xml:space="preserve"> IF(BD_Receitas[[#This Row],[TIPO DE COBRANÇA]]="Operação Normal",
_xlfn.XLOOKUP(BD_Receitas[[#This Row],[ID]],TabCondicoesComerciais[ID],TabCondicoesComerciais[Tarifa 2º Giro],0),0)</f>
        <v>0</v>
      </c>
      <c r="T6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1" spans="1:24" hidden="1" x14ac:dyDescent="0.35">
      <c r="A621" s="3" t="s">
        <v>169</v>
      </c>
      <c r="B621" s="11">
        <v>45931</v>
      </c>
      <c r="C621" t="s">
        <v>31</v>
      </c>
      <c r="D621" t="s">
        <v>203</v>
      </c>
      <c r="E621" t="s">
        <v>32</v>
      </c>
      <c r="F621" s="10" t="s">
        <v>25</v>
      </c>
      <c r="G621" s="3" t="s">
        <v>12</v>
      </c>
      <c r="H621" s="3" t="s">
        <v>170</v>
      </c>
      <c r="I621" s="3" t="s">
        <v>7</v>
      </c>
      <c r="J621" s="1">
        <v>0</v>
      </c>
      <c r="K621" s="12">
        <v>0</v>
      </c>
      <c r="L621" s="1"/>
      <c r="M621" s="12"/>
      <c r="N621"/>
      <c r="O621"/>
      <c r="P621" s="2" t="str">
        <f>IF(BD_Receitas[[#This Row],[TIPO DE COBRANÇA]]="Operação Normal",
_xlfn.XLOOKUP(BD_Receitas[[#This Row],[ID]],TabCondicoesComerciais[ID],TabCondicoesComerciais[Volume mínimo 
(m3)],0),"")</f>
        <v/>
      </c>
      <c r="Q621" s="2">
        <f>_xlfn.XLOOKUP(BD_Receitas[[#This Row],[ID]],TabCondicoesComerciais[ID],TabCondicoesComerciais[Vol. 1ºGiro],0)</f>
        <v>1040</v>
      </c>
      <c r="R6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621" s="1">
        <f xml:space="preserve"> IF(BD_Receitas[[#This Row],[TIPO DE COBRANÇA]]="Operação Normal",
_xlfn.XLOOKUP(BD_Receitas[[#This Row],[ID]],TabCondicoesComerciais[ID],TabCondicoesComerciais[Tarifa 2º Giro],0),0)</f>
        <v>0</v>
      </c>
      <c r="T6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2" spans="1:24" hidden="1" x14ac:dyDescent="0.35">
      <c r="A622" s="3" t="s">
        <v>169</v>
      </c>
      <c r="B622" s="11">
        <v>45931</v>
      </c>
      <c r="C622" t="s">
        <v>31</v>
      </c>
      <c r="D622" t="s">
        <v>203</v>
      </c>
      <c r="E622" t="s">
        <v>32</v>
      </c>
      <c r="F622" s="10" t="s">
        <v>25</v>
      </c>
      <c r="G622" s="3" t="s">
        <v>12</v>
      </c>
      <c r="H622" s="3" t="s">
        <v>170</v>
      </c>
      <c r="I622" s="3" t="s">
        <v>8</v>
      </c>
      <c r="J622" s="1">
        <v>0</v>
      </c>
      <c r="K622" s="12">
        <v>0</v>
      </c>
      <c r="L622" s="1"/>
      <c r="M622" s="12"/>
      <c r="N622"/>
      <c r="O622"/>
      <c r="P622" s="2" t="str">
        <f>IF(BD_Receitas[[#This Row],[TIPO DE COBRANÇA]]="Operação Normal",
_xlfn.XLOOKUP(BD_Receitas[[#This Row],[ID]],TabCondicoesComerciais[ID],TabCondicoesComerciais[Volume mínimo 
(m3)],0),"")</f>
        <v/>
      </c>
      <c r="Q622" s="2">
        <f>_xlfn.XLOOKUP(BD_Receitas[[#This Row],[ID]],TabCondicoesComerciais[ID],TabCondicoesComerciais[Vol. 1ºGiro],0)</f>
        <v>1040</v>
      </c>
      <c r="R6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622" s="1">
        <f xml:space="preserve"> IF(BD_Receitas[[#This Row],[TIPO DE COBRANÇA]]="Operação Normal",
_xlfn.XLOOKUP(BD_Receitas[[#This Row],[ID]],TabCondicoesComerciais[ID],TabCondicoesComerciais[Tarifa 2º Giro],0),0)</f>
        <v>0</v>
      </c>
      <c r="T6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3" spans="1:24" hidden="1" x14ac:dyDescent="0.35">
      <c r="A623" s="3" t="s">
        <v>169</v>
      </c>
      <c r="B623" s="11">
        <v>45931</v>
      </c>
      <c r="C623" t="s">
        <v>31</v>
      </c>
      <c r="D623" t="s">
        <v>203</v>
      </c>
      <c r="E623" t="s">
        <v>32</v>
      </c>
      <c r="F623" s="10" t="s">
        <v>25</v>
      </c>
      <c r="G623" s="3" t="s">
        <v>12</v>
      </c>
      <c r="H623" s="3" t="s">
        <v>170</v>
      </c>
      <c r="I623" s="3" t="s">
        <v>15</v>
      </c>
      <c r="J623" s="1">
        <v>123240</v>
      </c>
      <c r="K623" s="12">
        <v>4160</v>
      </c>
      <c r="L623" s="1">
        <v>118310.39999999999</v>
      </c>
      <c r="M623" s="12">
        <v>421.42700000000002</v>
      </c>
      <c r="N623" t="s">
        <v>243</v>
      </c>
      <c r="O623"/>
      <c r="P623" s="2">
        <f>IF(BD_Receitas[[#This Row],[TIPO DE COBRANÇA]]="Operação Normal",
_xlfn.XLOOKUP(BD_Receitas[[#This Row],[ID]],TabCondicoesComerciais[ID],TabCondicoesComerciais[Volume mínimo 
(m3)],0),"")</f>
        <v>4160</v>
      </c>
      <c r="Q623" s="2">
        <f>_xlfn.XLOOKUP(BD_Receitas[[#This Row],[ID]],TabCondicoesComerciais[ID],TabCondicoesComerciais[Vol. 1ºGiro],0)</f>
        <v>1040</v>
      </c>
      <c r="R6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623" s="1">
        <f xml:space="preserve"> IF(BD_Receitas[[#This Row],[TIPO DE COBRANÇA]]="Operação Normal",
_xlfn.XLOOKUP(BD_Receitas[[#This Row],[ID]],TabCondicoesComerciais[ID],TabCondicoesComerciais[Tarifa 2º Giro],0),0)</f>
        <v>28.44</v>
      </c>
      <c r="T623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6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280.7375891910105</v>
      </c>
      <c r="V6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6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11985.383880000001</v>
      </c>
      <c r="X6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624" spans="1:24" hidden="1" x14ac:dyDescent="0.35">
      <c r="A624" s="3" t="s">
        <v>169</v>
      </c>
      <c r="B624" s="11">
        <v>45931</v>
      </c>
      <c r="C624" t="s">
        <v>31</v>
      </c>
      <c r="D624" t="s">
        <v>203</v>
      </c>
      <c r="E624" t="s">
        <v>32</v>
      </c>
      <c r="F624" s="10" t="s">
        <v>25</v>
      </c>
      <c r="G624" s="3" t="s">
        <v>12</v>
      </c>
      <c r="H624" s="3" t="s">
        <v>170</v>
      </c>
      <c r="I624" s="3" t="s">
        <v>65</v>
      </c>
      <c r="J624" s="1">
        <v>0</v>
      </c>
      <c r="K624" s="12">
        <v>0</v>
      </c>
      <c r="L624" s="1"/>
      <c r="M624" s="12"/>
      <c r="N624"/>
      <c r="O624"/>
      <c r="P624" s="2" t="str">
        <f>IF(BD_Receitas[[#This Row],[TIPO DE COBRANÇA]]="Operação Normal",
_xlfn.XLOOKUP(BD_Receitas[[#This Row],[ID]],TabCondicoesComerciais[ID],TabCondicoesComerciais[Volume mínimo 
(m3)],0),"")</f>
        <v/>
      </c>
      <c r="Q624" s="2">
        <f>_xlfn.XLOOKUP(BD_Receitas[[#This Row],[ID]],TabCondicoesComerciais[ID],TabCondicoesComerciais[Vol. 1ºGiro],0)</f>
        <v>1040</v>
      </c>
      <c r="R6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4" s="1">
        <f xml:space="preserve"> IF(BD_Receitas[[#This Row],[TIPO DE COBRANÇA]]="Operação Normal",
_xlfn.XLOOKUP(BD_Receitas[[#This Row],[ID]],TabCondicoesComerciais[ID],TabCondicoesComerciais[Tarifa 2º Giro],0),0)</f>
        <v>0</v>
      </c>
      <c r="T6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5" spans="1:24" hidden="1" x14ac:dyDescent="0.35">
      <c r="A625" s="3" t="s">
        <v>134</v>
      </c>
      <c r="B625" s="11">
        <v>45931</v>
      </c>
      <c r="C625" t="s">
        <v>31</v>
      </c>
      <c r="D625" t="s">
        <v>62</v>
      </c>
      <c r="E625" t="s">
        <v>37</v>
      </c>
      <c r="F625" s="10" t="s">
        <v>57</v>
      </c>
      <c r="G625" s="3" t="s">
        <v>58</v>
      </c>
      <c r="H625" s="3" t="s">
        <v>10</v>
      </c>
      <c r="I625" s="3" t="s">
        <v>7</v>
      </c>
      <c r="J625" s="1">
        <v>0</v>
      </c>
      <c r="K625" s="12">
        <v>0</v>
      </c>
      <c r="L625" s="1"/>
      <c r="M625" s="12"/>
      <c r="N625"/>
      <c r="O625"/>
      <c r="P625" s="2" t="str">
        <f>IF(BD_Receitas[[#This Row],[TIPO DE COBRANÇA]]="Operação Normal",
_xlfn.XLOOKUP(BD_Receitas[[#This Row],[ID]],TabCondicoesComerciais[ID],TabCondicoesComerciais[Volume mínimo 
(m3)],0),"")</f>
        <v/>
      </c>
      <c r="Q625" s="2">
        <f>_xlfn.XLOOKUP(BD_Receitas[[#This Row],[ID]],TabCondicoesComerciais[ID],TabCondicoesComerciais[Vol. 1ºGiro],0)</f>
        <v>310</v>
      </c>
      <c r="R6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5" s="1">
        <f xml:space="preserve"> IF(BD_Receitas[[#This Row],[TIPO DE COBRANÇA]]="Operação Normal",
_xlfn.XLOOKUP(BD_Receitas[[#This Row],[ID]],TabCondicoesComerciais[ID],TabCondicoesComerciais[Tarifa 2º Giro],0),0)</f>
        <v>0</v>
      </c>
      <c r="T6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6" spans="1:24" hidden="1" x14ac:dyDescent="0.35">
      <c r="A626" s="3" t="s">
        <v>134</v>
      </c>
      <c r="B626" s="11">
        <v>45931</v>
      </c>
      <c r="C626" t="s">
        <v>31</v>
      </c>
      <c r="D626" t="s">
        <v>62</v>
      </c>
      <c r="E626" t="s">
        <v>37</v>
      </c>
      <c r="F626" s="10" t="s">
        <v>57</v>
      </c>
      <c r="G626" s="3" t="s">
        <v>58</v>
      </c>
      <c r="H626" s="3" t="s">
        <v>10</v>
      </c>
      <c r="I626" s="3" t="s">
        <v>8</v>
      </c>
      <c r="J626" s="1">
        <v>0</v>
      </c>
      <c r="K626" s="12">
        <v>0</v>
      </c>
      <c r="L626" s="1"/>
      <c r="M626" s="12"/>
      <c r="N626"/>
      <c r="O626"/>
      <c r="P626" s="2" t="str">
        <f>IF(BD_Receitas[[#This Row],[TIPO DE COBRANÇA]]="Operação Normal",
_xlfn.XLOOKUP(BD_Receitas[[#This Row],[ID]],TabCondicoesComerciais[ID],TabCondicoesComerciais[Volume mínimo 
(m3)],0),"")</f>
        <v/>
      </c>
      <c r="Q626" s="2">
        <f>_xlfn.XLOOKUP(BD_Receitas[[#This Row],[ID]],TabCondicoesComerciais[ID],TabCondicoesComerciais[Vol. 1ºGiro],0)</f>
        <v>310</v>
      </c>
      <c r="R6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626" s="1">
        <f xml:space="preserve"> IF(BD_Receitas[[#This Row],[TIPO DE COBRANÇA]]="Operação Normal",
_xlfn.XLOOKUP(BD_Receitas[[#This Row],[ID]],TabCondicoesComerciais[ID],TabCondicoesComerciais[Tarifa 2º Giro],0),0)</f>
        <v>0</v>
      </c>
      <c r="T6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7" spans="1:24" hidden="1" x14ac:dyDescent="0.35">
      <c r="A627" s="3" t="s">
        <v>134</v>
      </c>
      <c r="B627" s="11">
        <v>45931</v>
      </c>
      <c r="C627" t="s">
        <v>31</v>
      </c>
      <c r="D627" t="s">
        <v>62</v>
      </c>
      <c r="E627" t="s">
        <v>37</v>
      </c>
      <c r="F627" s="10" t="s">
        <v>57</v>
      </c>
      <c r="G627" s="3" t="s">
        <v>58</v>
      </c>
      <c r="H627" s="3" t="s">
        <v>10</v>
      </c>
      <c r="I627" s="3" t="s">
        <v>15</v>
      </c>
      <c r="J627" s="1">
        <v>35019.49</v>
      </c>
      <c r="K627" s="12">
        <v>1100</v>
      </c>
      <c r="L627" s="1">
        <v>41850.639999999999</v>
      </c>
      <c r="M627" s="12">
        <v>1315</v>
      </c>
      <c r="N627" t="s">
        <v>256</v>
      </c>
      <c r="O627"/>
      <c r="P627" s="2">
        <f>IF(BD_Receitas[[#This Row],[TIPO DE COBRANÇA]]="Operação Normal",
_xlfn.XLOOKUP(BD_Receitas[[#This Row],[ID]],TabCondicoesComerciais[ID],TabCondicoesComerciais[Volume mínimo 
(m3)],0),"")</f>
        <v>1100</v>
      </c>
      <c r="Q627" s="2">
        <f>_xlfn.XLOOKUP(BD_Receitas[[#This Row],[ID]],TabCondicoesComerciais[ID],TabCondicoesComerciais[Vol. 1ºGiro],0)</f>
        <v>310</v>
      </c>
      <c r="R6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627" s="1">
        <f xml:space="preserve"> IF(BD_Receitas[[#This Row],[TIPO DE COBRANÇA]]="Operação Normal",
_xlfn.XLOOKUP(BD_Receitas[[#This Row],[ID]],TabCondicoesComerciais[ID],TabCondicoesComerciais[Tarifa 2º Giro],0),0)</f>
        <v>31.04</v>
      </c>
      <c r="T627" s="5">
        <f>IFERROR(IF(BD_Receitas[[#This Row],[TIPO DE COBRANÇA]]&lt;&gt;"Operação Normal","",BD_Receitas[[#This Row],[Valor Total R$]]/ MAX(BD_Receitas[[#This Row],[Vol. Movimentado M³]],
BD_Receitas[[#This Row],[Volume Mínimo ]])
),0)</f>
        <v>31.82558174904943</v>
      </c>
      <c r="U6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31.82558174904943</v>
      </c>
      <c r="V6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6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40817.599999999999</v>
      </c>
      <c r="X6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28" spans="1:24" hidden="1" x14ac:dyDescent="0.35">
      <c r="A628" s="3" t="s">
        <v>134</v>
      </c>
      <c r="B628" s="11">
        <v>45931</v>
      </c>
      <c r="C628" t="s">
        <v>31</v>
      </c>
      <c r="D628" t="s">
        <v>62</v>
      </c>
      <c r="E628" t="s">
        <v>37</v>
      </c>
      <c r="F628" s="10" t="s">
        <v>57</v>
      </c>
      <c r="G628" s="3" t="s">
        <v>58</v>
      </c>
      <c r="H628" s="3" t="s">
        <v>10</v>
      </c>
      <c r="I628" s="3" t="s">
        <v>65</v>
      </c>
      <c r="J628" s="1">
        <v>0</v>
      </c>
      <c r="K628" s="12">
        <v>0</v>
      </c>
      <c r="L628" s="1"/>
      <c r="M628" s="12"/>
      <c r="N628"/>
      <c r="O628"/>
      <c r="P628" s="2" t="str">
        <f>IF(BD_Receitas[[#This Row],[TIPO DE COBRANÇA]]="Operação Normal",
_xlfn.XLOOKUP(BD_Receitas[[#This Row],[ID]],TabCondicoesComerciais[ID],TabCondicoesComerciais[Volume mínimo 
(m3)],0),"")</f>
        <v/>
      </c>
      <c r="Q628" s="2">
        <f>_xlfn.XLOOKUP(BD_Receitas[[#This Row],[ID]],TabCondicoesComerciais[ID],TabCondicoesComerciais[Vol. 1ºGiro],0)</f>
        <v>310</v>
      </c>
      <c r="R6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8" s="1">
        <f xml:space="preserve"> IF(BD_Receitas[[#This Row],[TIPO DE COBRANÇA]]="Operação Normal",
_xlfn.XLOOKUP(BD_Receitas[[#This Row],[ID]],TabCondicoesComerciais[ID],TabCondicoesComerciais[Tarifa 2º Giro],0),0)</f>
        <v>0</v>
      </c>
      <c r="T6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29" spans="1:24" hidden="1" x14ac:dyDescent="0.35">
      <c r="A629" s="3" t="s">
        <v>173</v>
      </c>
      <c r="B629" s="11">
        <v>45931</v>
      </c>
      <c r="C629" t="s">
        <v>31</v>
      </c>
      <c r="D629" t="s">
        <v>62</v>
      </c>
      <c r="E629" t="s">
        <v>37</v>
      </c>
      <c r="F629" s="10" t="s">
        <v>57</v>
      </c>
      <c r="G629" s="3" t="s">
        <v>58</v>
      </c>
      <c r="H629" s="3" t="s">
        <v>6</v>
      </c>
      <c r="I629" s="3" t="s">
        <v>7</v>
      </c>
      <c r="J629" s="1">
        <v>0</v>
      </c>
      <c r="K629" s="12">
        <v>0</v>
      </c>
      <c r="L629" s="1"/>
      <c r="M629" s="12"/>
      <c r="N629"/>
      <c r="O629"/>
      <c r="P629" s="2" t="str">
        <f>IF(BD_Receitas[[#This Row],[TIPO DE COBRANÇA]]="Operação Normal",
_xlfn.XLOOKUP(BD_Receitas[[#This Row],[ID]],TabCondicoesComerciais[ID],TabCondicoesComerciais[Volume mínimo 
(m3)],0),"")</f>
        <v/>
      </c>
      <c r="Q629" s="2">
        <f>_xlfn.XLOOKUP(BD_Receitas[[#This Row],[ID]],TabCondicoesComerciais[ID],TabCondicoesComerciais[Vol. 1ºGiro],0)</f>
        <v>1070</v>
      </c>
      <c r="R6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29" s="1">
        <f xml:space="preserve"> IF(BD_Receitas[[#This Row],[TIPO DE COBRANÇA]]="Operação Normal",
_xlfn.XLOOKUP(BD_Receitas[[#This Row],[ID]],TabCondicoesComerciais[ID],TabCondicoesComerciais[Tarifa 2º Giro],0),0)</f>
        <v>0</v>
      </c>
      <c r="T6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0" spans="1:24" hidden="1" x14ac:dyDescent="0.35">
      <c r="A630" s="3" t="s">
        <v>173</v>
      </c>
      <c r="B630" s="11">
        <v>45931</v>
      </c>
      <c r="C630" t="s">
        <v>31</v>
      </c>
      <c r="D630" t="s">
        <v>62</v>
      </c>
      <c r="E630" t="s">
        <v>37</v>
      </c>
      <c r="F630" s="10" t="s">
        <v>57</v>
      </c>
      <c r="G630" s="3" t="s">
        <v>58</v>
      </c>
      <c r="H630" s="3" t="s">
        <v>6</v>
      </c>
      <c r="I630" s="3" t="s">
        <v>8</v>
      </c>
      <c r="J630" s="1">
        <v>0</v>
      </c>
      <c r="K630" s="12">
        <v>0</v>
      </c>
      <c r="L630" s="1"/>
      <c r="M630" s="12"/>
      <c r="N630"/>
      <c r="O630"/>
      <c r="P630" s="2" t="str">
        <f>IF(BD_Receitas[[#This Row],[TIPO DE COBRANÇA]]="Operação Normal",
_xlfn.XLOOKUP(BD_Receitas[[#This Row],[ID]],TabCondicoesComerciais[ID],TabCondicoesComerciais[Volume mínimo 
(m3)],0),"")</f>
        <v/>
      </c>
      <c r="Q630" s="2">
        <f>_xlfn.XLOOKUP(BD_Receitas[[#This Row],[ID]],TabCondicoesComerciais[ID],TabCondicoesComerciais[Vol. 1ºGiro],0)</f>
        <v>1070</v>
      </c>
      <c r="R6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30" s="1">
        <f xml:space="preserve"> IF(BD_Receitas[[#This Row],[TIPO DE COBRANÇA]]="Operação Normal",
_xlfn.XLOOKUP(BD_Receitas[[#This Row],[ID]],TabCondicoesComerciais[ID],TabCondicoesComerciais[Tarifa 2º Giro],0),0)</f>
        <v>0</v>
      </c>
      <c r="T6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1" spans="1:24" hidden="1" x14ac:dyDescent="0.35">
      <c r="A631" s="3" t="s">
        <v>173</v>
      </c>
      <c r="B631" s="11">
        <v>45931</v>
      </c>
      <c r="C631" t="s">
        <v>31</v>
      </c>
      <c r="D631" t="s">
        <v>62</v>
      </c>
      <c r="E631" t="s">
        <v>37</v>
      </c>
      <c r="F631" s="10" t="s">
        <v>57</v>
      </c>
      <c r="G631" s="3" t="s">
        <v>58</v>
      </c>
      <c r="H631" s="3" t="s">
        <v>6</v>
      </c>
      <c r="I631" s="3" t="s">
        <v>15</v>
      </c>
      <c r="J631" s="1">
        <v>82153.039999999994</v>
      </c>
      <c r="K631" s="12">
        <v>3300</v>
      </c>
      <c r="L631" s="1">
        <v>79323.59</v>
      </c>
      <c r="M631" s="12">
        <v>3302.3270000000002</v>
      </c>
      <c r="N631" t="s">
        <v>257</v>
      </c>
      <c r="O631"/>
      <c r="P631" s="2">
        <f>IF(BD_Receitas[[#This Row],[TIPO DE COBRANÇA]]="Operação Normal",
_xlfn.XLOOKUP(BD_Receitas[[#This Row],[ID]],TabCondicoesComerciais[ID],TabCondicoesComerciais[Volume mínimo 
(m3)],0),"")</f>
        <v>3300</v>
      </c>
      <c r="Q631" s="2">
        <f>_xlfn.XLOOKUP(BD_Receitas[[#This Row],[ID]],TabCondicoesComerciais[ID],TabCondicoesComerciais[Vol. 1ºGiro],0)</f>
        <v>1070</v>
      </c>
      <c r="R6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631" s="1">
        <f xml:space="preserve"> IF(BD_Receitas[[#This Row],[TIPO DE COBRANÇA]]="Operação Normal",
_xlfn.XLOOKUP(BD_Receitas[[#This Row],[ID]],TabCondicoesComerciais[ID],TabCondicoesComerciais[Tarifa 2º Giro],0),0)</f>
        <v>23.42</v>
      </c>
      <c r="T631" s="5">
        <f>IFERROR(IF(BD_Receitas[[#This Row],[TIPO DE COBRANÇA]]&lt;&gt;"Operação Normal","",BD_Receitas[[#This Row],[Valor Total R$]]/ MAX(BD_Receitas[[#This Row],[Vol. Movimentado M³]],
BD_Receitas[[#This Row],[Volume Mínimo ]])
),0)</f>
        <v>24.020513413723108</v>
      </c>
      <c r="U6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24.020513413723108</v>
      </c>
      <c r="V6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6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77340.49834000002</v>
      </c>
      <c r="X6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32" spans="1:24" hidden="1" x14ac:dyDescent="0.35">
      <c r="A632" s="3" t="s">
        <v>173</v>
      </c>
      <c r="B632" s="11">
        <v>45931</v>
      </c>
      <c r="C632" t="s">
        <v>31</v>
      </c>
      <c r="D632" t="s">
        <v>62</v>
      </c>
      <c r="E632" t="s">
        <v>37</v>
      </c>
      <c r="F632" s="10" t="s">
        <v>57</v>
      </c>
      <c r="G632" s="3" t="s">
        <v>58</v>
      </c>
      <c r="H632" s="3" t="s">
        <v>6</v>
      </c>
      <c r="I632" s="3" t="s">
        <v>65</v>
      </c>
      <c r="J632" s="1">
        <v>0</v>
      </c>
      <c r="K632" s="12">
        <v>0</v>
      </c>
      <c r="L632" s="1"/>
      <c r="M632" s="12"/>
      <c r="N632"/>
      <c r="O632"/>
      <c r="P632" s="2" t="str">
        <f>IF(BD_Receitas[[#This Row],[TIPO DE COBRANÇA]]="Operação Normal",
_xlfn.XLOOKUP(BD_Receitas[[#This Row],[ID]],TabCondicoesComerciais[ID],TabCondicoesComerciais[Volume mínimo 
(m3)],0),"")</f>
        <v/>
      </c>
      <c r="Q632" s="2">
        <f>_xlfn.XLOOKUP(BD_Receitas[[#This Row],[ID]],TabCondicoesComerciais[ID],TabCondicoesComerciais[Vol. 1ºGiro],0)</f>
        <v>1070</v>
      </c>
      <c r="R6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32" s="1">
        <f xml:space="preserve"> IF(BD_Receitas[[#This Row],[TIPO DE COBRANÇA]]="Operação Normal",
_xlfn.XLOOKUP(BD_Receitas[[#This Row],[ID]],TabCondicoesComerciais[ID],TabCondicoesComerciais[Tarifa 2º Giro],0),0)</f>
        <v>0</v>
      </c>
      <c r="T6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3" spans="1:24" hidden="1" x14ac:dyDescent="0.35">
      <c r="A633" s="3" t="s">
        <v>184</v>
      </c>
      <c r="B633" s="11">
        <v>45931</v>
      </c>
      <c r="C633" t="s">
        <v>31</v>
      </c>
      <c r="D633" t="s">
        <v>203</v>
      </c>
      <c r="E633" t="s">
        <v>34</v>
      </c>
      <c r="F633" s="10" t="s">
        <v>26</v>
      </c>
      <c r="G633" s="3" t="s">
        <v>19</v>
      </c>
      <c r="H633" s="3" t="s">
        <v>13</v>
      </c>
      <c r="I633" s="3" t="s">
        <v>7</v>
      </c>
      <c r="J633" s="1">
        <v>0</v>
      </c>
      <c r="K633" s="12">
        <v>0</v>
      </c>
      <c r="L633" s="1"/>
      <c r="M633" s="12"/>
      <c r="N633"/>
      <c r="O633"/>
      <c r="P633" s="2" t="str">
        <f>IF(BD_Receitas[[#This Row],[TIPO DE COBRANÇA]]="Operação Normal",
_xlfn.XLOOKUP(BD_Receitas[[#This Row],[ID]],TabCondicoesComerciais[ID],TabCondicoesComerciais[Volume mínimo 
(m3)],0),"")</f>
        <v/>
      </c>
      <c r="Q633" s="2">
        <f>_xlfn.XLOOKUP(BD_Receitas[[#This Row],[ID]],TabCondicoesComerciais[ID],TabCondicoesComerciais[Vol. 1ºGiro],0)</f>
        <v>340</v>
      </c>
      <c r="R6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33" s="1">
        <f xml:space="preserve"> IF(BD_Receitas[[#This Row],[TIPO DE COBRANÇA]]="Operação Normal",
_xlfn.XLOOKUP(BD_Receitas[[#This Row],[ID]],TabCondicoesComerciais[ID],TabCondicoesComerciais[Tarifa 2º Giro],0),0)</f>
        <v>0</v>
      </c>
      <c r="T6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4" spans="1:24" hidden="1" x14ac:dyDescent="0.35">
      <c r="A634" s="3" t="s">
        <v>184</v>
      </c>
      <c r="B634" s="11">
        <v>45931</v>
      </c>
      <c r="C634" t="s">
        <v>31</v>
      </c>
      <c r="D634" t="s">
        <v>203</v>
      </c>
      <c r="E634" t="s">
        <v>34</v>
      </c>
      <c r="F634" s="10" t="s">
        <v>26</v>
      </c>
      <c r="G634" s="3" t="s">
        <v>19</v>
      </c>
      <c r="H634" s="3" t="s">
        <v>13</v>
      </c>
      <c r="I634" s="3" t="s">
        <v>8</v>
      </c>
      <c r="J634" s="1">
        <v>0</v>
      </c>
      <c r="K634" s="12">
        <v>0</v>
      </c>
      <c r="L634" s="1"/>
      <c r="M634" s="12"/>
      <c r="N634"/>
      <c r="O634"/>
      <c r="P634" s="2" t="str">
        <f>IF(BD_Receitas[[#This Row],[TIPO DE COBRANÇA]]="Operação Normal",
_xlfn.XLOOKUP(BD_Receitas[[#This Row],[ID]],TabCondicoesComerciais[ID],TabCondicoesComerciais[Volume mínimo 
(m3)],0),"")</f>
        <v/>
      </c>
      <c r="Q634" s="2">
        <f>_xlfn.XLOOKUP(BD_Receitas[[#This Row],[ID]],TabCondicoesComerciais[ID],TabCondicoesComerciais[Vol. 1ºGiro],0)</f>
        <v>340</v>
      </c>
      <c r="R6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634" s="1">
        <f xml:space="preserve"> IF(BD_Receitas[[#This Row],[TIPO DE COBRANÇA]]="Operação Normal",
_xlfn.XLOOKUP(BD_Receitas[[#This Row],[ID]],TabCondicoesComerciais[ID],TabCondicoesComerciais[Tarifa 2º Giro],0),0)</f>
        <v>0</v>
      </c>
      <c r="T6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5" spans="1:24" hidden="1" x14ac:dyDescent="0.35">
      <c r="A635" s="3" t="s">
        <v>184</v>
      </c>
      <c r="B635" s="11">
        <v>45931</v>
      </c>
      <c r="C635" t="s">
        <v>31</v>
      </c>
      <c r="D635" t="s">
        <v>203</v>
      </c>
      <c r="E635" t="s">
        <v>34</v>
      </c>
      <c r="F635" s="10" t="s">
        <v>26</v>
      </c>
      <c r="G635" s="3" t="s">
        <v>19</v>
      </c>
      <c r="H635" s="3" t="s">
        <v>13</v>
      </c>
      <c r="I635" s="3" t="s">
        <v>15</v>
      </c>
      <c r="J635" s="1">
        <v>15310.52</v>
      </c>
      <c r="K635" s="12">
        <v>510</v>
      </c>
      <c r="L635" s="1">
        <v>14280</v>
      </c>
      <c r="M635" s="12">
        <v>486.13099999999997</v>
      </c>
      <c r="N635" t="s">
        <v>255</v>
      </c>
      <c r="O635" t="s">
        <v>199</v>
      </c>
      <c r="P635" s="2">
        <f>IF(BD_Receitas[[#This Row],[TIPO DE COBRANÇA]]="Operação Normal",
_xlfn.XLOOKUP(BD_Receitas[[#This Row],[ID]],TabCondicoesComerciais[ID],TabCondicoesComerciais[Volume mínimo 
(m3)],0),"")</f>
        <v>1020</v>
      </c>
      <c r="Q635" s="2">
        <f>_xlfn.XLOOKUP(BD_Receitas[[#This Row],[ID]],TabCondicoesComerciais[ID],TabCondicoesComerciais[Vol. 1ºGiro],0)</f>
        <v>340</v>
      </c>
      <c r="R6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35" s="1">
        <f xml:space="preserve"> IF(BD_Receitas[[#This Row],[TIPO DE COBRANÇA]]="Operação Normal",
_xlfn.XLOOKUP(BD_Receitas[[#This Row],[ID]],TabCondicoesComerciais[ID],TabCondicoesComerciais[Tarifa 2º Giro],0),0)</f>
        <v>28</v>
      </c>
      <c r="T635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6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29.374798151115648</v>
      </c>
      <c r="V6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6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13611.668</v>
      </c>
      <c r="X6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36" spans="1:24" hidden="1" x14ac:dyDescent="0.35">
      <c r="A636" s="3" t="s">
        <v>184</v>
      </c>
      <c r="B636" s="11">
        <v>45931</v>
      </c>
      <c r="C636" t="s">
        <v>31</v>
      </c>
      <c r="D636" t="s">
        <v>203</v>
      </c>
      <c r="E636" t="s">
        <v>34</v>
      </c>
      <c r="F636" s="10" t="s">
        <v>26</v>
      </c>
      <c r="G636" s="3" t="s">
        <v>19</v>
      </c>
      <c r="H636" s="3" t="s">
        <v>13</v>
      </c>
      <c r="I636" s="3" t="s">
        <v>65</v>
      </c>
      <c r="J636" s="1">
        <v>0</v>
      </c>
      <c r="K636" s="12">
        <v>0</v>
      </c>
      <c r="L636" s="1"/>
      <c r="M636" s="12"/>
      <c r="N636"/>
      <c r="O636"/>
      <c r="P636" s="2" t="str">
        <f>IF(BD_Receitas[[#This Row],[TIPO DE COBRANÇA]]="Operação Normal",
_xlfn.XLOOKUP(BD_Receitas[[#This Row],[ID]],TabCondicoesComerciais[ID],TabCondicoesComerciais[Volume mínimo 
(m3)],0),"")</f>
        <v/>
      </c>
      <c r="Q636" s="2">
        <f>_xlfn.XLOOKUP(BD_Receitas[[#This Row],[ID]],TabCondicoesComerciais[ID],TabCondicoesComerciais[Vol. 1ºGiro],0)</f>
        <v>340</v>
      </c>
      <c r="R6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36" s="1">
        <f xml:space="preserve"> IF(BD_Receitas[[#This Row],[TIPO DE COBRANÇA]]="Operação Normal",
_xlfn.XLOOKUP(BD_Receitas[[#This Row],[ID]],TabCondicoesComerciais[ID],TabCondicoesComerciais[Tarifa 2º Giro],0),0)</f>
        <v>0</v>
      </c>
      <c r="T6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7" spans="1:24" hidden="1" x14ac:dyDescent="0.35">
      <c r="A637" s="3" t="s">
        <v>274</v>
      </c>
      <c r="B637" s="11">
        <v>45962</v>
      </c>
      <c r="C637" t="s">
        <v>31</v>
      </c>
      <c r="D637" t="s">
        <v>202</v>
      </c>
      <c r="E637" t="s">
        <v>36</v>
      </c>
      <c r="F637" s="10" t="s">
        <v>48</v>
      </c>
      <c r="G637" s="3" t="s">
        <v>49</v>
      </c>
      <c r="H637" s="3" t="s">
        <v>52</v>
      </c>
      <c r="I637" s="3" t="s">
        <v>7</v>
      </c>
      <c r="J637" s="1">
        <v>0</v>
      </c>
      <c r="K637" s="12">
        <v>0</v>
      </c>
      <c r="L637" s="1"/>
      <c r="M637" s="12"/>
      <c r="N637"/>
      <c r="O637"/>
      <c r="P637" s="2" t="str">
        <f>IF(BD_Receitas[[#This Row],[TIPO DE COBRANÇA]]="Operação Normal",
_xlfn.XLOOKUP(BD_Receitas[[#This Row],[ID]],TabCondicoesComerciais[ID],TabCondicoesComerciais[Volume mínimo 
(m3)],0),"")</f>
        <v/>
      </c>
      <c r="Q637" s="2">
        <f>_xlfn.XLOOKUP(BD_Receitas[[#This Row],[ID]],TabCondicoesComerciais[ID],TabCondicoesComerciais[Vol. 1ºGiro],0)</f>
        <v>360</v>
      </c>
      <c r="R6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637" s="1">
        <f xml:space="preserve"> IF(BD_Receitas[[#This Row],[TIPO DE COBRANÇA]]="Operação Normal",
_xlfn.XLOOKUP(BD_Receitas[[#This Row],[ID]],TabCondicoesComerciais[ID],TabCondicoesComerciais[Tarifa 2º Giro],0),0)</f>
        <v>0</v>
      </c>
      <c r="T6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8" spans="1:24" hidden="1" x14ac:dyDescent="0.35">
      <c r="A638" s="3" t="s">
        <v>274</v>
      </c>
      <c r="B638" s="11">
        <v>45962</v>
      </c>
      <c r="C638" t="s">
        <v>31</v>
      </c>
      <c r="D638" t="s">
        <v>202</v>
      </c>
      <c r="E638" t="s">
        <v>36</v>
      </c>
      <c r="F638" s="10" t="s">
        <v>48</v>
      </c>
      <c r="G638" s="3" t="s">
        <v>49</v>
      </c>
      <c r="H638" s="3" t="s">
        <v>52</v>
      </c>
      <c r="I638" s="3" t="s">
        <v>8</v>
      </c>
      <c r="J638" s="1">
        <v>0</v>
      </c>
      <c r="K638" s="12">
        <v>0</v>
      </c>
      <c r="L638" s="1"/>
      <c r="M638" s="12"/>
      <c r="N638"/>
      <c r="O638"/>
      <c r="P638" s="2" t="str">
        <f>IF(BD_Receitas[[#This Row],[TIPO DE COBRANÇA]]="Operação Normal",
_xlfn.XLOOKUP(BD_Receitas[[#This Row],[ID]],TabCondicoesComerciais[ID],TabCondicoesComerciais[Volume mínimo 
(m3)],0),"")</f>
        <v/>
      </c>
      <c r="Q638" s="2">
        <f>_xlfn.XLOOKUP(BD_Receitas[[#This Row],[ID]],TabCondicoesComerciais[ID],TabCondicoesComerciais[Vol. 1ºGiro],0)</f>
        <v>360</v>
      </c>
      <c r="R6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638" s="1">
        <f xml:space="preserve"> IF(BD_Receitas[[#This Row],[TIPO DE COBRANÇA]]="Operação Normal",
_xlfn.XLOOKUP(BD_Receitas[[#This Row],[ID]],TabCondicoesComerciais[ID],TabCondicoesComerciais[Tarifa 2º Giro],0),0)</f>
        <v>0</v>
      </c>
      <c r="T6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39" spans="1:24" hidden="1" x14ac:dyDescent="0.35">
      <c r="A639" s="3" t="s">
        <v>274</v>
      </c>
      <c r="B639" s="11">
        <v>45962</v>
      </c>
      <c r="C639" t="s">
        <v>31</v>
      </c>
      <c r="D639" t="s">
        <v>202</v>
      </c>
      <c r="E639" t="s">
        <v>36</v>
      </c>
      <c r="F639" s="10" t="s">
        <v>48</v>
      </c>
      <c r="G639" s="3" t="s">
        <v>49</v>
      </c>
      <c r="H639" s="3" t="s">
        <v>52</v>
      </c>
      <c r="I639" s="3" t="s">
        <v>15</v>
      </c>
      <c r="J639" s="1">
        <v>93380.944900000002</v>
      </c>
      <c r="K639" s="12">
        <v>2040</v>
      </c>
      <c r="L639" s="1">
        <v>93135.97</v>
      </c>
      <c r="M639" s="12">
        <v>871.41499999999996</v>
      </c>
      <c r="N639" t="s">
        <v>272</v>
      </c>
      <c r="O639"/>
      <c r="P639" s="2">
        <f>IF(BD_Receitas[[#This Row],[TIPO DE COBRANÇA]]="Operação Normal",
_xlfn.XLOOKUP(BD_Receitas[[#This Row],[ID]],TabCondicoesComerciais[ID],TabCondicoesComerciais[Volume mínimo 
(m3)],0),"")</f>
        <v>2040</v>
      </c>
      <c r="Q639" s="2">
        <f>_xlfn.XLOOKUP(BD_Receitas[[#This Row],[ID]],TabCondicoesComerciais[ID],TabCondicoesComerciais[Vol. 1ºGiro],0)</f>
        <v>360</v>
      </c>
      <c r="R6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639" s="1">
        <f xml:space="preserve"> IF(BD_Receitas[[#This Row],[TIPO DE COBRANÇA]]="Operação Normal",
_xlfn.XLOOKUP(BD_Receitas[[#This Row],[ID]],TabCondicoesComerciais[ID],TabCondicoesComerciais[Tarifa 2º Giro],0),0)</f>
        <v>43.92</v>
      </c>
      <c r="T639" s="5">
        <f>IFERROR(IF(BD_Receitas[[#This Row],[TIPO DE COBRANÇA]]&lt;&gt;"Operação Normal","",BD_Receitas[[#This Row],[Valor Total R$]]/ MAX(BD_Receitas[[#This Row],[Vol. Movimentado M³]],
BD_Receitas[[#This Row],[Volume Mínimo ]])
),0)</f>
        <v>45.654887254901965</v>
      </c>
      <c r="U6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106.87900713207829</v>
      </c>
      <c r="V6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6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38272.546799999996</v>
      </c>
      <c r="X6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40" spans="1:24" hidden="1" x14ac:dyDescent="0.35">
      <c r="A640" s="3" t="s">
        <v>274</v>
      </c>
      <c r="B640" s="11">
        <v>45962</v>
      </c>
      <c r="C640" t="s">
        <v>31</v>
      </c>
      <c r="D640" t="s">
        <v>202</v>
      </c>
      <c r="E640" t="s">
        <v>36</v>
      </c>
      <c r="F640" s="10" t="s">
        <v>48</v>
      </c>
      <c r="G640" s="3" t="s">
        <v>49</v>
      </c>
      <c r="H640" s="3" t="s">
        <v>52</v>
      </c>
      <c r="I640" s="3" t="s">
        <v>65</v>
      </c>
      <c r="J640" s="1">
        <v>0</v>
      </c>
      <c r="K640" s="12">
        <v>0</v>
      </c>
      <c r="L640" s="1"/>
      <c r="M640" s="12"/>
      <c r="N640"/>
      <c r="O640"/>
      <c r="P640" s="2" t="str">
        <f>IF(BD_Receitas[[#This Row],[TIPO DE COBRANÇA]]="Operação Normal",
_xlfn.XLOOKUP(BD_Receitas[[#This Row],[ID]],TabCondicoesComerciais[ID],TabCondicoesComerciais[Volume mínimo 
(m3)],0),"")</f>
        <v/>
      </c>
      <c r="Q640" s="2">
        <f>_xlfn.XLOOKUP(BD_Receitas[[#This Row],[ID]],TabCondicoesComerciais[ID],TabCondicoesComerciais[Vol. 1ºGiro],0)</f>
        <v>360</v>
      </c>
      <c r="R6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0" s="1">
        <f xml:space="preserve"> IF(BD_Receitas[[#This Row],[TIPO DE COBRANÇA]]="Operação Normal",
_xlfn.XLOOKUP(BD_Receitas[[#This Row],[ID]],TabCondicoesComerciais[ID],TabCondicoesComerciais[Tarifa 2º Giro],0),0)</f>
        <v>0</v>
      </c>
      <c r="T6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1" spans="1:24" hidden="1" x14ac:dyDescent="0.35">
      <c r="A641" s="3" t="s">
        <v>275</v>
      </c>
      <c r="B641" s="11">
        <v>45962</v>
      </c>
      <c r="C641" t="s">
        <v>31</v>
      </c>
      <c r="D641" t="s">
        <v>202</v>
      </c>
      <c r="E641" t="s">
        <v>36</v>
      </c>
      <c r="F641" s="10" t="s">
        <v>48</v>
      </c>
      <c r="G641" s="3" t="s">
        <v>49</v>
      </c>
      <c r="H641" s="3" t="s">
        <v>14</v>
      </c>
      <c r="I641" s="3" t="s">
        <v>7</v>
      </c>
      <c r="J641" s="1">
        <v>0</v>
      </c>
      <c r="K641" s="12">
        <v>0</v>
      </c>
      <c r="L641" s="1"/>
      <c r="M641" s="12"/>
      <c r="N641"/>
      <c r="O641"/>
      <c r="P641" s="2" t="str">
        <f>IF(BD_Receitas[[#This Row],[TIPO DE COBRANÇA]]="Operação Normal",
_xlfn.XLOOKUP(BD_Receitas[[#This Row],[ID]],TabCondicoesComerciais[ID],TabCondicoesComerciais[Volume mínimo 
(m3)],0),"")</f>
        <v/>
      </c>
      <c r="Q641" s="2">
        <f>_xlfn.XLOOKUP(BD_Receitas[[#This Row],[ID]],TabCondicoesComerciais[ID],TabCondicoesComerciais[Vol. 1ºGiro],0)</f>
        <v>365</v>
      </c>
      <c r="R6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1" s="1">
        <f xml:space="preserve"> IF(BD_Receitas[[#This Row],[TIPO DE COBRANÇA]]="Operação Normal",
_xlfn.XLOOKUP(BD_Receitas[[#This Row],[ID]],TabCondicoesComerciais[ID],TabCondicoesComerciais[Tarifa 2º Giro],0),0)</f>
        <v>0</v>
      </c>
      <c r="T6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2" spans="1:24" hidden="1" x14ac:dyDescent="0.35">
      <c r="A642" s="3" t="s">
        <v>275</v>
      </c>
      <c r="B642" s="11">
        <v>45962</v>
      </c>
      <c r="C642" t="s">
        <v>31</v>
      </c>
      <c r="D642" t="s">
        <v>202</v>
      </c>
      <c r="E642" t="s">
        <v>36</v>
      </c>
      <c r="F642" s="10" t="s">
        <v>48</v>
      </c>
      <c r="G642" s="3" t="s">
        <v>49</v>
      </c>
      <c r="H642" s="3" t="s">
        <v>14</v>
      </c>
      <c r="I642" s="3" t="s">
        <v>8</v>
      </c>
      <c r="J642" s="1">
        <v>0</v>
      </c>
      <c r="K642" s="12">
        <v>0</v>
      </c>
      <c r="L642" s="1"/>
      <c r="M642" s="12"/>
      <c r="N642"/>
      <c r="O642"/>
      <c r="P642" s="2" t="str">
        <f>IF(BD_Receitas[[#This Row],[TIPO DE COBRANÇA]]="Operação Normal",
_xlfn.XLOOKUP(BD_Receitas[[#This Row],[ID]],TabCondicoesComerciais[ID],TabCondicoesComerciais[Volume mínimo 
(m3)],0),"")</f>
        <v/>
      </c>
      <c r="Q642" s="2">
        <f>_xlfn.XLOOKUP(BD_Receitas[[#This Row],[ID]],TabCondicoesComerciais[ID],TabCondicoesComerciais[Vol. 1ºGiro],0)</f>
        <v>365</v>
      </c>
      <c r="R6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2" s="1">
        <f xml:space="preserve"> IF(BD_Receitas[[#This Row],[TIPO DE COBRANÇA]]="Operação Normal",
_xlfn.XLOOKUP(BD_Receitas[[#This Row],[ID]],TabCondicoesComerciais[ID],TabCondicoesComerciais[Tarifa 2º Giro],0),0)</f>
        <v>0</v>
      </c>
      <c r="T6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3" spans="1:24" hidden="1" x14ac:dyDescent="0.35">
      <c r="A643" s="3" t="s">
        <v>275</v>
      </c>
      <c r="B643" s="11">
        <v>45962</v>
      </c>
      <c r="C643" t="s">
        <v>31</v>
      </c>
      <c r="D643" t="s">
        <v>202</v>
      </c>
      <c r="E643" t="s">
        <v>36</v>
      </c>
      <c r="F643" s="10" t="s">
        <v>48</v>
      </c>
      <c r="G643" s="3" t="s">
        <v>49</v>
      </c>
      <c r="H643" s="3" t="s">
        <v>14</v>
      </c>
      <c r="I643" s="3" t="s">
        <v>15</v>
      </c>
      <c r="J643" s="1">
        <v>18715.400000000001</v>
      </c>
      <c r="K643" s="12">
        <v>936</v>
      </c>
      <c r="L643" s="1">
        <v>17387.03</v>
      </c>
      <c r="M643" s="12">
        <v>701.37900000000002</v>
      </c>
      <c r="N643" t="s">
        <v>273</v>
      </c>
      <c r="O643"/>
      <c r="P643" s="2">
        <f>IF(BD_Receitas[[#This Row],[TIPO DE COBRANÇA]]="Operação Normal",
_xlfn.XLOOKUP(BD_Receitas[[#This Row],[ID]],TabCondicoesComerciais[ID],TabCondicoesComerciais[Volume mínimo 
(m3)],0),"")</f>
        <v>936</v>
      </c>
      <c r="Q643" s="2">
        <f>_xlfn.XLOOKUP(BD_Receitas[[#This Row],[ID]],TabCondicoesComerciais[ID],TabCondicoesComerciais[Vol. 1ºGiro],0)</f>
        <v>365</v>
      </c>
      <c r="R6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643" s="1">
        <f xml:space="preserve"> IF(BD_Receitas[[#This Row],[TIPO DE COBRANÇA]]="Operação Normal",
_xlfn.XLOOKUP(BD_Receitas[[#This Row],[ID]],TabCondicoesComerciais[ID],TabCondicoesComerciais[Tarifa 2º Giro],0),0)</f>
        <v>18.93</v>
      </c>
      <c r="T643" s="5">
        <f>IFERROR(IF(BD_Receitas[[#This Row],[TIPO DE COBRANÇA]]&lt;&gt;"Operação Normal","",BD_Receitas[[#This Row],[Valor Total R$]]/ MAX(BD_Receitas[[#This Row],[Vol. Movimentado M³]],
BD_Receitas[[#This Row],[Volume Mínimo ]])
),0)</f>
        <v>18.57588675213675</v>
      </c>
      <c r="U6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24.789778422222504</v>
      </c>
      <c r="V6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6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13277.10447</v>
      </c>
      <c r="X6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44" spans="1:24" hidden="1" x14ac:dyDescent="0.35">
      <c r="A644" s="3" t="s">
        <v>275</v>
      </c>
      <c r="B644" s="11">
        <v>45962</v>
      </c>
      <c r="C644" t="s">
        <v>31</v>
      </c>
      <c r="D644" t="s">
        <v>202</v>
      </c>
      <c r="E644" t="s">
        <v>36</v>
      </c>
      <c r="F644" s="10" t="s">
        <v>48</v>
      </c>
      <c r="G644" s="3" t="s">
        <v>49</v>
      </c>
      <c r="H644" s="3" t="s">
        <v>14</v>
      </c>
      <c r="I644" s="3" t="s">
        <v>65</v>
      </c>
      <c r="J644" s="1">
        <v>0</v>
      </c>
      <c r="K644" s="12">
        <v>0</v>
      </c>
      <c r="L644" s="1"/>
      <c r="M644" s="12"/>
      <c r="N644"/>
      <c r="O644"/>
      <c r="P644" s="2" t="str">
        <f>IF(BD_Receitas[[#This Row],[TIPO DE COBRANÇA]]="Operação Normal",
_xlfn.XLOOKUP(BD_Receitas[[#This Row],[ID]],TabCondicoesComerciais[ID],TabCondicoesComerciais[Volume mínimo 
(m3)],0),"")</f>
        <v/>
      </c>
      <c r="Q644" s="2">
        <f>_xlfn.XLOOKUP(BD_Receitas[[#This Row],[ID]],TabCondicoesComerciais[ID],TabCondicoesComerciais[Vol. 1ºGiro],0)</f>
        <v>365</v>
      </c>
      <c r="R6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4" s="1">
        <f xml:space="preserve"> IF(BD_Receitas[[#This Row],[TIPO DE COBRANÇA]]="Operação Normal",
_xlfn.XLOOKUP(BD_Receitas[[#This Row],[ID]],TabCondicoesComerciais[ID],TabCondicoesComerciais[Tarifa 2º Giro],0),0)</f>
        <v>0</v>
      </c>
      <c r="T6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5" spans="1:24" hidden="1" x14ac:dyDescent="0.35">
      <c r="A645" s="3" t="s">
        <v>25</v>
      </c>
      <c r="B645" s="11">
        <v>45962</v>
      </c>
      <c r="C645" t="s">
        <v>31</v>
      </c>
      <c r="D645" t="s">
        <v>202</v>
      </c>
      <c r="E645" t="s">
        <v>36</v>
      </c>
      <c r="F645" s="10" t="s">
        <v>48</v>
      </c>
      <c r="G645" s="3" t="s">
        <v>49</v>
      </c>
      <c r="H645" s="3" t="s">
        <v>116</v>
      </c>
      <c r="I645" s="3" t="s">
        <v>7</v>
      </c>
      <c r="J645" s="1">
        <v>0</v>
      </c>
      <c r="K645" s="12">
        <v>0</v>
      </c>
      <c r="L645" s="1"/>
      <c r="M645" s="12"/>
      <c r="N645"/>
      <c r="O645"/>
      <c r="P645" s="2" t="str">
        <f>IF(BD_Receitas[[#This Row],[TIPO DE COBRANÇA]]="Operação Normal",
_xlfn.XLOOKUP(BD_Receitas[[#This Row],[ID]],TabCondicoesComerciais[ID],TabCondicoesComerciais[Volume mínimo 
(m3)],0),"")</f>
        <v/>
      </c>
      <c r="Q645" s="2">
        <f>_xlfn.XLOOKUP(BD_Receitas[[#This Row],[ID]],TabCondicoesComerciais[ID],TabCondicoesComerciais[Vol. 1ºGiro],0)</f>
        <v>100</v>
      </c>
      <c r="R6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5" s="1">
        <f xml:space="preserve"> IF(BD_Receitas[[#This Row],[TIPO DE COBRANÇA]]="Operação Normal",
_xlfn.XLOOKUP(BD_Receitas[[#This Row],[ID]],TabCondicoesComerciais[ID],TabCondicoesComerciais[Tarifa 2º Giro],0),0)</f>
        <v>0</v>
      </c>
      <c r="T6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6" spans="1:24" hidden="1" x14ac:dyDescent="0.35">
      <c r="A646" s="3" t="s">
        <v>25</v>
      </c>
      <c r="B646" s="11">
        <v>45962</v>
      </c>
      <c r="C646" t="s">
        <v>31</v>
      </c>
      <c r="D646" t="s">
        <v>202</v>
      </c>
      <c r="E646" t="s">
        <v>36</v>
      </c>
      <c r="F646" s="10" t="s">
        <v>48</v>
      </c>
      <c r="G646" s="3" t="s">
        <v>49</v>
      </c>
      <c r="H646" s="3" t="s">
        <v>116</v>
      </c>
      <c r="I646" s="3" t="s">
        <v>8</v>
      </c>
      <c r="J646" s="1">
        <v>0</v>
      </c>
      <c r="K646" s="12">
        <v>0</v>
      </c>
      <c r="L646" s="1"/>
      <c r="M646" s="12"/>
      <c r="N646"/>
      <c r="O646"/>
      <c r="P646" s="2" t="str">
        <f>IF(BD_Receitas[[#This Row],[TIPO DE COBRANÇA]]="Operação Normal",
_xlfn.XLOOKUP(BD_Receitas[[#This Row],[ID]],TabCondicoesComerciais[ID],TabCondicoesComerciais[Volume mínimo 
(m3)],0),"")</f>
        <v/>
      </c>
      <c r="Q646" s="2">
        <f>_xlfn.XLOOKUP(BD_Receitas[[#This Row],[ID]],TabCondicoesComerciais[ID],TabCondicoesComerciais[Vol. 1ºGiro],0)</f>
        <v>100</v>
      </c>
      <c r="R6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6" s="1">
        <f xml:space="preserve"> IF(BD_Receitas[[#This Row],[TIPO DE COBRANÇA]]="Operação Normal",
_xlfn.XLOOKUP(BD_Receitas[[#This Row],[ID]],TabCondicoesComerciais[ID],TabCondicoesComerciais[Tarifa 2º Giro],0),0)</f>
        <v>0</v>
      </c>
      <c r="T6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7" spans="1:24" hidden="1" x14ac:dyDescent="0.35">
      <c r="A647" s="3" t="s">
        <v>25</v>
      </c>
      <c r="B647" s="11">
        <v>45962</v>
      </c>
      <c r="C647" t="s">
        <v>31</v>
      </c>
      <c r="D647" t="s">
        <v>202</v>
      </c>
      <c r="E647" t="s">
        <v>36</v>
      </c>
      <c r="F647" s="10" t="s">
        <v>48</v>
      </c>
      <c r="G647" s="3" t="s">
        <v>49</v>
      </c>
      <c r="H647" s="3" t="s">
        <v>116</v>
      </c>
      <c r="I647" s="3" t="s">
        <v>15</v>
      </c>
      <c r="J647" s="1">
        <v>0</v>
      </c>
      <c r="K647" s="12">
        <v>0</v>
      </c>
      <c r="L647" s="1"/>
      <c r="M647" s="12"/>
      <c r="N647"/>
      <c r="O647"/>
      <c r="P647" s="2">
        <f>IF(BD_Receitas[[#This Row],[TIPO DE COBRANÇA]]="Operação Normal",
_xlfn.XLOOKUP(BD_Receitas[[#This Row],[ID]],TabCondicoesComerciais[ID],TabCondicoesComerciais[Volume mínimo 
(m3)],0),"")</f>
        <v>300</v>
      </c>
      <c r="Q647" s="2">
        <f>_xlfn.XLOOKUP(BD_Receitas[[#This Row],[ID]],TabCondicoesComerciais[ID],TabCondicoesComerciais[Vol. 1ºGiro],0)</f>
        <v>100</v>
      </c>
      <c r="R6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647" s="1">
        <f xml:space="preserve"> IF(BD_Receitas[[#This Row],[TIPO DE COBRANÇA]]="Operação Normal",
_xlfn.XLOOKUP(BD_Receitas[[#This Row],[ID]],TabCondicoesComerciais[ID],TabCondicoesComerciais[Tarifa 2º Giro],0),0)</f>
        <v>30</v>
      </c>
      <c r="T64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6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48" spans="1:24" hidden="1" x14ac:dyDescent="0.35">
      <c r="A648" s="3" t="s">
        <v>25</v>
      </c>
      <c r="B648" s="11">
        <v>45962</v>
      </c>
      <c r="C648" t="s">
        <v>31</v>
      </c>
      <c r="D648" t="s">
        <v>202</v>
      </c>
      <c r="E648" t="s">
        <v>36</v>
      </c>
      <c r="F648" s="10" t="s">
        <v>48</v>
      </c>
      <c r="G648" s="3" t="s">
        <v>49</v>
      </c>
      <c r="H648" s="3" t="s">
        <v>116</v>
      </c>
      <c r="I648" s="3" t="s">
        <v>65</v>
      </c>
      <c r="J648" s="1">
        <v>0</v>
      </c>
      <c r="K648" s="12">
        <v>0</v>
      </c>
      <c r="L648" s="1"/>
      <c r="M648" s="12"/>
      <c r="N648"/>
      <c r="O648"/>
      <c r="P648" s="2" t="str">
        <f>IF(BD_Receitas[[#This Row],[TIPO DE COBRANÇA]]="Operação Normal",
_xlfn.XLOOKUP(BD_Receitas[[#This Row],[ID]],TabCondicoesComerciais[ID],TabCondicoesComerciais[Volume mínimo 
(m3)],0),"")</f>
        <v/>
      </c>
      <c r="Q648" s="2">
        <f>_xlfn.XLOOKUP(BD_Receitas[[#This Row],[ID]],TabCondicoesComerciais[ID],TabCondicoesComerciais[Vol. 1ºGiro],0)</f>
        <v>100</v>
      </c>
      <c r="R6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48" s="1">
        <f xml:space="preserve"> IF(BD_Receitas[[#This Row],[TIPO DE COBRANÇA]]="Operação Normal",
_xlfn.XLOOKUP(BD_Receitas[[#This Row],[ID]],TabCondicoesComerciais[ID],TabCondicoesComerciais[Tarifa 2º Giro],0),0)</f>
        <v>0</v>
      </c>
      <c r="T6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49" spans="1:24" hidden="1" x14ac:dyDescent="0.35">
      <c r="A649" s="3" t="s">
        <v>102</v>
      </c>
      <c r="B649" s="11">
        <v>45962</v>
      </c>
      <c r="C649" t="s">
        <v>31</v>
      </c>
      <c r="D649" t="s">
        <v>202</v>
      </c>
      <c r="E649" t="s">
        <v>36</v>
      </c>
      <c r="F649" s="10" t="s">
        <v>48</v>
      </c>
      <c r="G649" s="3" t="s">
        <v>49</v>
      </c>
      <c r="H649" s="3" t="s">
        <v>51</v>
      </c>
      <c r="I649" s="3" t="s">
        <v>7</v>
      </c>
      <c r="J649" s="1">
        <v>0</v>
      </c>
      <c r="K649" s="12">
        <v>0</v>
      </c>
      <c r="L649" s="1"/>
      <c r="M649" s="12"/>
      <c r="N649"/>
      <c r="O649"/>
      <c r="P649" s="2" t="str">
        <f>IF(BD_Receitas[[#This Row],[TIPO DE COBRANÇA]]="Operação Normal",
_xlfn.XLOOKUP(BD_Receitas[[#This Row],[ID]],TabCondicoesComerciais[ID],TabCondicoesComerciais[Volume mínimo 
(m3)],0),"")</f>
        <v/>
      </c>
      <c r="Q649" s="2">
        <f>_xlfn.XLOOKUP(BD_Receitas[[#This Row],[ID]],TabCondicoesComerciais[ID],TabCondicoesComerciais[Vol. 1ºGiro],0)</f>
        <v>750</v>
      </c>
      <c r="R6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649" s="1">
        <f xml:space="preserve"> IF(BD_Receitas[[#This Row],[TIPO DE COBRANÇA]]="Operação Normal",
_xlfn.XLOOKUP(BD_Receitas[[#This Row],[ID]],TabCondicoesComerciais[ID],TabCondicoesComerciais[Tarifa 2º Giro],0),0)</f>
        <v>0</v>
      </c>
      <c r="T6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0" spans="1:24" hidden="1" x14ac:dyDescent="0.35">
      <c r="A650" s="3" t="s">
        <v>102</v>
      </c>
      <c r="B650" s="11">
        <v>45962</v>
      </c>
      <c r="C650" t="s">
        <v>31</v>
      </c>
      <c r="D650" t="s">
        <v>202</v>
      </c>
      <c r="E650" t="s">
        <v>36</v>
      </c>
      <c r="F650" s="10" t="s">
        <v>48</v>
      </c>
      <c r="G650" s="3" t="s">
        <v>49</v>
      </c>
      <c r="H650" s="3" t="s">
        <v>51</v>
      </c>
      <c r="I650" s="3" t="s">
        <v>8</v>
      </c>
      <c r="J650" s="1">
        <v>0</v>
      </c>
      <c r="K650" s="12">
        <v>0</v>
      </c>
      <c r="L650" s="1"/>
      <c r="M650" s="12"/>
      <c r="N650"/>
      <c r="O650"/>
      <c r="P650" s="2" t="str">
        <f>IF(BD_Receitas[[#This Row],[TIPO DE COBRANÇA]]="Operação Normal",
_xlfn.XLOOKUP(BD_Receitas[[#This Row],[ID]],TabCondicoesComerciais[ID],TabCondicoesComerciais[Volume mínimo 
(m3)],0),"")</f>
        <v/>
      </c>
      <c r="Q650" s="2">
        <f>_xlfn.XLOOKUP(BD_Receitas[[#This Row],[ID]],TabCondicoesComerciais[ID],TabCondicoesComerciais[Vol. 1ºGiro],0)</f>
        <v>750</v>
      </c>
      <c r="R6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650" s="1">
        <f xml:space="preserve"> IF(BD_Receitas[[#This Row],[TIPO DE COBRANÇA]]="Operação Normal",
_xlfn.XLOOKUP(BD_Receitas[[#This Row],[ID]],TabCondicoesComerciais[ID],TabCondicoesComerciais[Tarifa 2º Giro],0),0)</f>
        <v>0</v>
      </c>
      <c r="T6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1" spans="1:24" hidden="1" x14ac:dyDescent="0.35">
      <c r="A651" s="3" t="s">
        <v>102</v>
      </c>
      <c r="B651" s="11">
        <v>45962</v>
      </c>
      <c r="C651" t="s">
        <v>31</v>
      </c>
      <c r="D651" t="s">
        <v>202</v>
      </c>
      <c r="E651" t="s">
        <v>36</v>
      </c>
      <c r="F651" s="10" t="s">
        <v>48</v>
      </c>
      <c r="G651" s="3" t="s">
        <v>49</v>
      </c>
      <c r="H651" s="3" t="s">
        <v>51</v>
      </c>
      <c r="I651" s="3" t="s">
        <v>15</v>
      </c>
      <c r="J651" s="1">
        <v>0</v>
      </c>
      <c r="K651" s="12">
        <v>0</v>
      </c>
      <c r="L651" s="1"/>
      <c r="M651" s="12"/>
      <c r="N651"/>
      <c r="O651"/>
      <c r="P651" s="2">
        <f>IF(BD_Receitas[[#This Row],[TIPO DE COBRANÇA]]="Operação Normal",
_xlfn.XLOOKUP(BD_Receitas[[#This Row],[ID]],TabCondicoesComerciais[ID],TabCondicoesComerciais[Volume mínimo 
(m3)],0),"")</f>
        <v>6500</v>
      </c>
      <c r="Q651" s="2">
        <f>_xlfn.XLOOKUP(BD_Receitas[[#This Row],[ID]],TabCondicoesComerciais[ID],TabCondicoesComerciais[Vol. 1ºGiro],0)</f>
        <v>750</v>
      </c>
      <c r="R6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651" s="1">
        <f xml:space="preserve"> IF(BD_Receitas[[#This Row],[TIPO DE COBRANÇA]]="Operação Normal",
_xlfn.XLOOKUP(BD_Receitas[[#This Row],[ID]],TabCondicoesComerciais[ID],TabCondicoesComerciais[Tarifa 2º Giro],0),0)</f>
        <v>32.42</v>
      </c>
      <c r="T65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6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52" spans="1:24" hidden="1" x14ac:dyDescent="0.35">
      <c r="A652" s="3" t="s">
        <v>102</v>
      </c>
      <c r="B652" s="11">
        <v>45962</v>
      </c>
      <c r="C652" t="s">
        <v>31</v>
      </c>
      <c r="D652" t="s">
        <v>202</v>
      </c>
      <c r="E652" t="s">
        <v>36</v>
      </c>
      <c r="F652" s="10" t="s">
        <v>48</v>
      </c>
      <c r="G652" s="3" t="s">
        <v>49</v>
      </c>
      <c r="H652" s="3" t="s">
        <v>51</v>
      </c>
      <c r="I652" s="3" t="s">
        <v>65</v>
      </c>
      <c r="J652" s="1">
        <v>0</v>
      </c>
      <c r="K652" s="12">
        <v>0</v>
      </c>
      <c r="L652" s="1"/>
      <c r="M652" s="12"/>
      <c r="N652"/>
      <c r="O652"/>
      <c r="P652" s="2" t="str">
        <f>IF(BD_Receitas[[#This Row],[TIPO DE COBRANÇA]]="Operação Normal",
_xlfn.XLOOKUP(BD_Receitas[[#This Row],[ID]],TabCondicoesComerciais[ID],TabCondicoesComerciais[Volume mínimo 
(m3)],0),"")</f>
        <v/>
      </c>
      <c r="Q652" s="2">
        <f>_xlfn.XLOOKUP(BD_Receitas[[#This Row],[ID]],TabCondicoesComerciais[ID],TabCondicoesComerciais[Vol. 1ºGiro],0)</f>
        <v>750</v>
      </c>
      <c r="R6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52" s="1">
        <f xml:space="preserve"> IF(BD_Receitas[[#This Row],[TIPO DE COBRANÇA]]="Operação Normal",
_xlfn.XLOOKUP(BD_Receitas[[#This Row],[ID]],TabCondicoesComerciais[ID],TabCondicoesComerciais[Tarifa 2º Giro],0),0)</f>
        <v>0</v>
      </c>
      <c r="T6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3" spans="1:24" hidden="1" x14ac:dyDescent="0.35">
      <c r="A653" s="3" t="s">
        <v>208</v>
      </c>
      <c r="B653" s="11">
        <v>45962</v>
      </c>
      <c r="C653" t="s">
        <v>31</v>
      </c>
      <c r="D653" t="s">
        <v>202</v>
      </c>
      <c r="E653" t="s">
        <v>35</v>
      </c>
      <c r="F653" s="10" t="s">
        <v>22</v>
      </c>
      <c r="G653" s="3" t="s">
        <v>11</v>
      </c>
      <c r="H653" s="3" t="s">
        <v>207</v>
      </c>
      <c r="I653" s="3" t="s">
        <v>7</v>
      </c>
      <c r="J653" s="1">
        <v>0</v>
      </c>
      <c r="K653" s="12">
        <v>0</v>
      </c>
      <c r="L653" s="1">
        <v>6730.69</v>
      </c>
      <c r="M653" s="12">
        <v>731.596</v>
      </c>
      <c r="N653" t="s">
        <v>268</v>
      </c>
      <c r="O653" t="s">
        <v>269</v>
      </c>
      <c r="P653" s="2" t="str">
        <f>IF(BD_Receitas[[#This Row],[TIPO DE COBRANÇA]]="Operação Normal",
_xlfn.XLOOKUP(BD_Receitas[[#This Row],[ID]],TabCondicoesComerciais[ID],TabCondicoesComerciais[Volume mínimo 
(m3)],0),"")</f>
        <v/>
      </c>
      <c r="Q653" s="2">
        <f>_xlfn.XLOOKUP(BD_Receitas[[#This Row],[ID]],TabCondicoesComerciais[ID],TabCondicoesComerciais[Vol. 1ºGiro],0)</f>
        <v>625</v>
      </c>
      <c r="R6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653" s="1">
        <f xml:space="preserve"> IF(BD_Receitas[[#This Row],[TIPO DE COBRANÇA]]="Operação Normal",
_xlfn.XLOOKUP(BD_Receitas[[#This Row],[ID]],TabCondicoesComerciais[ID],TabCondicoesComerciais[Tarifa 2º Giro],0),0)</f>
        <v>0</v>
      </c>
      <c r="T6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4" spans="1:24" hidden="1" x14ac:dyDescent="0.35">
      <c r="A654" s="3" t="s">
        <v>208</v>
      </c>
      <c r="B654" s="11">
        <v>45962</v>
      </c>
      <c r="C654" t="s">
        <v>31</v>
      </c>
      <c r="D654" t="s">
        <v>202</v>
      </c>
      <c r="E654" t="s">
        <v>35</v>
      </c>
      <c r="F654" s="10" t="s">
        <v>22</v>
      </c>
      <c r="G654" s="3" t="s">
        <v>11</v>
      </c>
      <c r="H654" s="3" t="s">
        <v>207</v>
      </c>
      <c r="I654" s="3" t="s">
        <v>8</v>
      </c>
      <c r="J654" s="1">
        <v>0</v>
      </c>
      <c r="K654" s="12">
        <v>0</v>
      </c>
      <c r="L654" s="1">
        <v>7765.27</v>
      </c>
      <c r="M654" s="12">
        <v>752.38199999999995</v>
      </c>
      <c r="N654" t="s">
        <v>268</v>
      </c>
      <c r="O654" t="s">
        <v>269</v>
      </c>
      <c r="P654" s="2" t="str">
        <f>IF(BD_Receitas[[#This Row],[TIPO DE COBRANÇA]]="Operação Normal",
_xlfn.XLOOKUP(BD_Receitas[[#This Row],[ID]],TabCondicoesComerciais[ID],TabCondicoesComerciais[Volume mínimo 
(m3)],0),"")</f>
        <v/>
      </c>
      <c r="Q654" s="2">
        <f>_xlfn.XLOOKUP(BD_Receitas[[#This Row],[ID]],TabCondicoesComerciais[ID],TabCondicoesComerciais[Vol. 1ºGiro],0)</f>
        <v>625</v>
      </c>
      <c r="R6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654" s="1">
        <f xml:space="preserve"> IF(BD_Receitas[[#This Row],[TIPO DE COBRANÇA]]="Operação Normal",
_xlfn.XLOOKUP(BD_Receitas[[#This Row],[ID]],TabCondicoesComerciais[ID],TabCondicoesComerciais[Tarifa 2º Giro],0),0)</f>
        <v>0</v>
      </c>
      <c r="T6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5" spans="1:24" hidden="1" x14ac:dyDescent="0.35">
      <c r="A655" s="3" t="s">
        <v>208</v>
      </c>
      <c r="B655" s="11">
        <v>45962</v>
      </c>
      <c r="C655" t="s">
        <v>31</v>
      </c>
      <c r="D655" t="s">
        <v>202</v>
      </c>
      <c r="E655" t="s">
        <v>35</v>
      </c>
      <c r="F655" s="10" t="s">
        <v>22</v>
      </c>
      <c r="G655" s="3" t="s">
        <v>11</v>
      </c>
      <c r="H655" s="3" t="s">
        <v>207</v>
      </c>
      <c r="I655" s="3" t="s">
        <v>15</v>
      </c>
      <c r="J655" s="1">
        <v>47210.53</v>
      </c>
      <c r="K655" s="12">
        <v>1875</v>
      </c>
      <c r="L655" s="1">
        <v>76951.509999999995</v>
      </c>
      <c r="M655" s="12">
        <v>3012.1120000000001</v>
      </c>
      <c r="N655" t="s">
        <v>268</v>
      </c>
      <c r="O655" t="s">
        <v>269</v>
      </c>
      <c r="P655" s="2">
        <f>IF(BD_Receitas[[#This Row],[TIPO DE COBRANÇA]]="Operação Normal",
_xlfn.XLOOKUP(BD_Receitas[[#This Row],[ID]],TabCondicoesComerciais[ID],TabCondicoesComerciais[Volume mínimo 
(m3)],0),"")</f>
        <v>1875</v>
      </c>
      <c r="Q655" s="2">
        <f>_xlfn.XLOOKUP(BD_Receitas[[#This Row],[ID]],TabCondicoesComerciais[ID],TabCondicoesComerciais[Vol. 1ºGiro],0)</f>
        <v>625</v>
      </c>
      <c r="R6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655" s="1">
        <f xml:space="preserve"> IF(BD_Receitas[[#This Row],[TIPO DE COBRANÇA]]="Operação Normal",
_xlfn.XLOOKUP(BD_Receitas[[#This Row],[ID]],TabCondicoesComerciais[ID],TabCondicoesComerciais[Tarifa 2º Giro],0),0)</f>
        <v>33</v>
      </c>
      <c r="T655" s="5">
        <f>IFERROR(IF(BD_Receitas[[#This Row],[TIPO DE COBRANÇA]]&lt;&gt;"Operação Normal","",BD_Receitas[[#This Row],[Valor Total R$]]/ MAX(BD_Receitas[[#This Row],[Vol. Movimentado M³]],
BD_Receitas[[#This Row],[Volume Mínimo ]])
),0)</f>
        <v>25.547360124723117</v>
      </c>
      <c r="U6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30.359916895520485</v>
      </c>
      <c r="V6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6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99399.695999999996</v>
      </c>
      <c r="X6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56" spans="1:24" hidden="1" x14ac:dyDescent="0.35">
      <c r="A656" s="3" t="s">
        <v>208</v>
      </c>
      <c r="B656" s="11">
        <v>45962</v>
      </c>
      <c r="C656" t="s">
        <v>31</v>
      </c>
      <c r="D656" t="s">
        <v>202</v>
      </c>
      <c r="E656" t="s">
        <v>35</v>
      </c>
      <c r="F656" s="10" t="s">
        <v>22</v>
      </c>
      <c r="G656" s="3" t="s">
        <v>11</v>
      </c>
      <c r="H656" s="3" t="s">
        <v>207</v>
      </c>
      <c r="I656" s="3" t="s">
        <v>65</v>
      </c>
      <c r="J656" s="1">
        <v>0</v>
      </c>
      <c r="K656" s="12">
        <v>0</v>
      </c>
      <c r="L656" s="1"/>
      <c r="M656" s="12"/>
      <c r="N656"/>
      <c r="O656"/>
      <c r="P656" s="2" t="str">
        <f>IF(BD_Receitas[[#This Row],[TIPO DE COBRANÇA]]="Operação Normal",
_xlfn.XLOOKUP(BD_Receitas[[#This Row],[ID]],TabCondicoesComerciais[ID],TabCondicoesComerciais[Volume mínimo 
(m3)],0),"")</f>
        <v/>
      </c>
      <c r="Q656" s="2">
        <f>_xlfn.XLOOKUP(BD_Receitas[[#This Row],[ID]],TabCondicoesComerciais[ID],TabCondicoesComerciais[Vol. 1ºGiro],0)</f>
        <v>625</v>
      </c>
      <c r="R6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56" s="1">
        <f xml:space="preserve"> IF(BD_Receitas[[#This Row],[TIPO DE COBRANÇA]]="Operação Normal",
_xlfn.XLOOKUP(BD_Receitas[[#This Row],[ID]],TabCondicoesComerciais[ID],TabCondicoesComerciais[Tarifa 2º Giro],0),0)</f>
        <v>0</v>
      </c>
      <c r="T6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7" spans="1:24" hidden="1" x14ac:dyDescent="0.35">
      <c r="A657" s="3" t="s">
        <v>190</v>
      </c>
      <c r="B657" s="11">
        <v>45962</v>
      </c>
      <c r="C657" t="s">
        <v>31</v>
      </c>
      <c r="D657" t="s">
        <v>202</v>
      </c>
      <c r="E657" t="s">
        <v>35</v>
      </c>
      <c r="F657" s="10" t="s">
        <v>22</v>
      </c>
      <c r="G657" s="3" t="s">
        <v>11</v>
      </c>
      <c r="H657" s="3" t="s">
        <v>116</v>
      </c>
      <c r="I657" s="3" t="s">
        <v>7</v>
      </c>
      <c r="J657" s="1">
        <v>0</v>
      </c>
      <c r="K657" s="12">
        <v>0</v>
      </c>
      <c r="L657" s="1"/>
      <c r="M657" s="12"/>
      <c r="N657"/>
      <c r="O657"/>
      <c r="P657" s="2" t="str">
        <f>IF(BD_Receitas[[#This Row],[TIPO DE COBRANÇA]]="Operação Normal",
_xlfn.XLOOKUP(BD_Receitas[[#This Row],[ID]],TabCondicoesComerciais[ID],TabCondicoesComerciais[Volume mínimo 
(m3)],0),"")</f>
        <v/>
      </c>
      <c r="Q657" s="2">
        <f>_xlfn.XLOOKUP(BD_Receitas[[#This Row],[ID]],TabCondicoesComerciais[ID],TabCondicoesComerciais[Vol. 1ºGiro],0)</f>
        <v>580</v>
      </c>
      <c r="R6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57" s="1">
        <f xml:space="preserve"> IF(BD_Receitas[[#This Row],[TIPO DE COBRANÇA]]="Operação Normal",
_xlfn.XLOOKUP(BD_Receitas[[#This Row],[ID]],TabCondicoesComerciais[ID],TabCondicoesComerciais[Tarifa 2º Giro],0),0)</f>
        <v>0</v>
      </c>
      <c r="T6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8" spans="1:24" hidden="1" x14ac:dyDescent="0.35">
      <c r="A658" s="3" t="s">
        <v>190</v>
      </c>
      <c r="B658" s="11">
        <v>45962</v>
      </c>
      <c r="C658" t="s">
        <v>31</v>
      </c>
      <c r="D658" t="s">
        <v>202</v>
      </c>
      <c r="E658" t="s">
        <v>35</v>
      </c>
      <c r="F658" s="10" t="s">
        <v>22</v>
      </c>
      <c r="G658" s="3" t="s">
        <v>11</v>
      </c>
      <c r="H658" s="3" t="s">
        <v>116</v>
      </c>
      <c r="I658" s="3" t="s">
        <v>8</v>
      </c>
      <c r="J658" s="1">
        <v>0</v>
      </c>
      <c r="K658" s="12">
        <v>0</v>
      </c>
      <c r="L658" s="1"/>
      <c r="M658" s="12"/>
      <c r="N658"/>
      <c r="O658"/>
      <c r="P658" s="2" t="str">
        <f>IF(BD_Receitas[[#This Row],[TIPO DE COBRANÇA]]="Operação Normal",
_xlfn.XLOOKUP(BD_Receitas[[#This Row],[ID]],TabCondicoesComerciais[ID],TabCondicoesComerciais[Volume mínimo 
(m3)],0),"")</f>
        <v/>
      </c>
      <c r="Q658" s="2">
        <f>_xlfn.XLOOKUP(BD_Receitas[[#This Row],[ID]],TabCondicoesComerciais[ID],TabCondicoesComerciais[Vol. 1ºGiro],0)</f>
        <v>580</v>
      </c>
      <c r="R6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58" s="1">
        <f xml:space="preserve"> IF(BD_Receitas[[#This Row],[TIPO DE COBRANÇA]]="Operação Normal",
_xlfn.XLOOKUP(BD_Receitas[[#This Row],[ID]],TabCondicoesComerciais[ID],TabCondicoesComerciais[Tarifa 2º Giro],0),0)</f>
        <v>0</v>
      </c>
      <c r="T6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59" spans="1:24" hidden="1" x14ac:dyDescent="0.35">
      <c r="A659" s="3" t="s">
        <v>190</v>
      </c>
      <c r="B659" s="11">
        <v>45962</v>
      </c>
      <c r="C659" t="s">
        <v>31</v>
      </c>
      <c r="D659" t="s">
        <v>202</v>
      </c>
      <c r="E659" t="s">
        <v>35</v>
      </c>
      <c r="F659" s="10" t="s">
        <v>22</v>
      </c>
      <c r="G659" s="3" t="s">
        <v>11</v>
      </c>
      <c r="H659" s="3" t="s">
        <v>116</v>
      </c>
      <c r="I659" s="3" t="s">
        <v>15</v>
      </c>
      <c r="J659" s="1">
        <v>0</v>
      </c>
      <c r="K659" s="12">
        <v>0</v>
      </c>
      <c r="L659" s="1"/>
      <c r="M659" s="12"/>
      <c r="N659"/>
      <c r="O659"/>
      <c r="P659" s="2">
        <f>IF(BD_Receitas[[#This Row],[TIPO DE COBRANÇA]]="Operação Normal",
_xlfn.XLOOKUP(BD_Receitas[[#This Row],[ID]],TabCondicoesComerciais[ID],TabCondicoesComerciais[Volume mínimo 
(m3)],0),"")</f>
        <v>2000</v>
      </c>
      <c r="Q659" s="2">
        <f>_xlfn.XLOOKUP(BD_Receitas[[#This Row],[ID]],TabCondicoesComerciais[ID],TabCondicoesComerciais[Vol. 1ºGiro],0)</f>
        <v>580</v>
      </c>
      <c r="R6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659" s="1">
        <f xml:space="preserve"> IF(BD_Receitas[[#This Row],[TIPO DE COBRANÇA]]="Operação Normal",
_xlfn.XLOOKUP(BD_Receitas[[#This Row],[ID]],TabCondicoesComerciais[ID],TabCondicoesComerciais[Tarifa 2º Giro],0),0)</f>
        <v>27</v>
      </c>
      <c r="T6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6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60" spans="1:24" hidden="1" x14ac:dyDescent="0.35">
      <c r="A660" s="3" t="s">
        <v>190</v>
      </c>
      <c r="B660" s="11">
        <v>45962</v>
      </c>
      <c r="C660" t="s">
        <v>31</v>
      </c>
      <c r="D660" t="s">
        <v>202</v>
      </c>
      <c r="E660" t="s">
        <v>35</v>
      </c>
      <c r="F660" s="10" t="s">
        <v>22</v>
      </c>
      <c r="G660" s="3" t="s">
        <v>11</v>
      </c>
      <c r="H660" s="3" t="s">
        <v>116</v>
      </c>
      <c r="I660" s="3" t="s">
        <v>65</v>
      </c>
      <c r="J660" s="1">
        <v>0</v>
      </c>
      <c r="K660" s="12">
        <v>0</v>
      </c>
      <c r="L660" s="1"/>
      <c r="M660" s="12"/>
      <c r="N660"/>
      <c r="O660"/>
      <c r="P660" s="2" t="str">
        <f>IF(BD_Receitas[[#This Row],[TIPO DE COBRANÇA]]="Operação Normal",
_xlfn.XLOOKUP(BD_Receitas[[#This Row],[ID]],TabCondicoesComerciais[ID],TabCondicoesComerciais[Volume mínimo 
(m3)],0),"")</f>
        <v/>
      </c>
      <c r="Q660" s="2">
        <f>_xlfn.XLOOKUP(BD_Receitas[[#This Row],[ID]],TabCondicoesComerciais[ID],TabCondicoesComerciais[Vol. 1ºGiro],0)</f>
        <v>580</v>
      </c>
      <c r="R6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60" s="1">
        <f xml:space="preserve"> IF(BD_Receitas[[#This Row],[TIPO DE COBRANÇA]]="Operação Normal",
_xlfn.XLOOKUP(BD_Receitas[[#This Row],[ID]],TabCondicoesComerciais[ID],TabCondicoesComerciais[Tarifa 2º Giro],0),0)</f>
        <v>0</v>
      </c>
      <c r="T6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1" spans="1:24" hidden="1" x14ac:dyDescent="0.35">
      <c r="A661" s="3" t="s">
        <v>172</v>
      </c>
      <c r="B661" s="11">
        <v>45962</v>
      </c>
      <c r="C661" t="s">
        <v>31</v>
      </c>
      <c r="D661" t="s">
        <v>202</v>
      </c>
      <c r="E661" t="s">
        <v>35</v>
      </c>
      <c r="F661" s="10" t="s">
        <v>22</v>
      </c>
      <c r="G661" s="3" t="s">
        <v>11</v>
      </c>
      <c r="H661" s="3" t="s">
        <v>13</v>
      </c>
      <c r="I661" s="3" t="s">
        <v>7</v>
      </c>
      <c r="J661" s="1">
        <v>0</v>
      </c>
      <c r="K661" s="12">
        <v>0</v>
      </c>
      <c r="L661" s="1">
        <v>1193.43</v>
      </c>
      <c r="M661" s="12">
        <v>128.73599999999999</v>
      </c>
      <c r="N661" t="s">
        <v>270</v>
      </c>
      <c r="O661" t="s">
        <v>269</v>
      </c>
      <c r="P661" s="2" t="str">
        <f>IF(BD_Receitas[[#This Row],[TIPO DE COBRANÇA]]="Operação Normal",
_xlfn.XLOOKUP(BD_Receitas[[#This Row],[ID]],TabCondicoesComerciais[ID],TabCondicoesComerciais[Volume mínimo 
(m3)],0),"")</f>
        <v/>
      </c>
      <c r="Q661" s="2">
        <f>_xlfn.XLOOKUP(BD_Receitas[[#This Row],[ID]],TabCondicoesComerciais[ID],TabCondicoesComerciais[Vol. 1ºGiro],0)</f>
        <v>750</v>
      </c>
      <c r="R6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661" s="1">
        <f xml:space="preserve"> IF(BD_Receitas[[#This Row],[TIPO DE COBRANÇA]]="Operação Normal",
_xlfn.XLOOKUP(BD_Receitas[[#This Row],[ID]],TabCondicoesComerciais[ID],TabCondicoesComerciais[Tarifa 2º Giro],0),0)</f>
        <v>0</v>
      </c>
      <c r="T6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2" spans="1:24" hidden="1" x14ac:dyDescent="0.35">
      <c r="A662" s="3" t="s">
        <v>172</v>
      </c>
      <c r="B662" s="11">
        <v>45962</v>
      </c>
      <c r="C662" t="s">
        <v>31</v>
      </c>
      <c r="D662" t="s">
        <v>202</v>
      </c>
      <c r="E662" t="s">
        <v>35</v>
      </c>
      <c r="F662" s="10" t="s">
        <v>22</v>
      </c>
      <c r="G662" s="3" t="s">
        <v>11</v>
      </c>
      <c r="H662" s="3" t="s">
        <v>13</v>
      </c>
      <c r="I662" s="3" t="s">
        <v>8</v>
      </c>
      <c r="J662" s="1">
        <v>0</v>
      </c>
      <c r="K662" s="12">
        <v>0</v>
      </c>
      <c r="L662" s="1">
        <v>1590.83</v>
      </c>
      <c r="M662" s="12">
        <v>179.148</v>
      </c>
      <c r="N662" t="s">
        <v>270</v>
      </c>
      <c r="O662" t="s">
        <v>269</v>
      </c>
      <c r="P662" s="2" t="str">
        <f>IF(BD_Receitas[[#This Row],[TIPO DE COBRANÇA]]="Operação Normal",
_xlfn.XLOOKUP(BD_Receitas[[#This Row],[ID]],TabCondicoesComerciais[ID],TabCondicoesComerciais[Volume mínimo 
(m3)],0),"")</f>
        <v/>
      </c>
      <c r="Q662" s="2">
        <f>_xlfn.XLOOKUP(BD_Receitas[[#This Row],[ID]],TabCondicoesComerciais[ID],TabCondicoesComerciais[Vol. 1ºGiro],0)</f>
        <v>750</v>
      </c>
      <c r="R6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662" s="1">
        <f xml:space="preserve"> IF(BD_Receitas[[#This Row],[TIPO DE COBRANÇA]]="Operação Normal",
_xlfn.XLOOKUP(BD_Receitas[[#This Row],[ID]],TabCondicoesComerciais[ID],TabCondicoesComerciais[Tarifa 2º Giro],0),0)</f>
        <v>0</v>
      </c>
      <c r="T6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3" spans="1:24" hidden="1" x14ac:dyDescent="0.35">
      <c r="A663" s="3" t="s">
        <v>172</v>
      </c>
      <c r="B663" s="11">
        <v>45962</v>
      </c>
      <c r="C663" t="s">
        <v>31</v>
      </c>
      <c r="D663" t="s">
        <v>202</v>
      </c>
      <c r="E663" t="s">
        <v>35</v>
      </c>
      <c r="F663" s="10" t="s">
        <v>22</v>
      </c>
      <c r="G663" s="3" t="s">
        <v>11</v>
      </c>
      <c r="H663" s="3" t="s">
        <v>13</v>
      </c>
      <c r="I663" s="3" t="s">
        <v>15</v>
      </c>
      <c r="J663" s="1">
        <v>0</v>
      </c>
      <c r="K663" s="12">
        <v>0</v>
      </c>
      <c r="L663" s="1">
        <v>43029.138500000001</v>
      </c>
      <c r="M663" s="12">
        <v>1934.6669999999999</v>
      </c>
      <c r="N663" t="s">
        <v>270</v>
      </c>
      <c r="O663" t="s">
        <v>269</v>
      </c>
      <c r="P663" s="2">
        <f>IF(BD_Receitas[[#This Row],[TIPO DE COBRANÇA]]="Operação Normal",
_xlfn.XLOOKUP(BD_Receitas[[#This Row],[ID]],TabCondicoesComerciais[ID],TabCondicoesComerciais[Volume mínimo 
(m3)],0),"")</f>
        <v>0</v>
      </c>
      <c r="Q663" s="2">
        <f>_xlfn.XLOOKUP(BD_Receitas[[#This Row],[ID]],TabCondicoesComerciais[ID],TabCondicoesComerciais[Vol. 1ºGiro],0)</f>
        <v>750</v>
      </c>
      <c r="R6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663" s="1">
        <f xml:space="preserve"> IF(BD_Receitas[[#This Row],[TIPO DE COBRANÇA]]="Operação Normal",
_xlfn.XLOOKUP(BD_Receitas[[#This Row],[ID]],TabCondicoesComerciais[ID],TabCondicoesComerciais[Tarifa 2º Giro],0),0)</f>
        <v>22.2</v>
      </c>
      <c r="T663" s="5">
        <f>IFERROR(IF(BD_Receitas[[#This Row],[TIPO DE COBRANÇA]]&lt;&gt;"Operação Normal","",BD_Receitas[[#This Row],[Valor Total R$]]/ MAX(BD_Receitas[[#This Row],[Vol. Movimentado M³]],
BD_Receitas[[#This Row],[Volume Mínimo ]])
),0)</f>
        <v>22.241108418141213</v>
      </c>
      <c r="U6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23.68025014123878</v>
      </c>
      <c r="V6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6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42949.607399999994</v>
      </c>
      <c r="X6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64" spans="1:24" hidden="1" x14ac:dyDescent="0.35">
      <c r="A664" s="3" t="s">
        <v>172</v>
      </c>
      <c r="B664" s="11">
        <v>45962</v>
      </c>
      <c r="C664" t="s">
        <v>31</v>
      </c>
      <c r="D664" t="s">
        <v>202</v>
      </c>
      <c r="E664" t="s">
        <v>35</v>
      </c>
      <c r="F664" s="10" t="s">
        <v>22</v>
      </c>
      <c r="G664" s="3" t="s">
        <v>11</v>
      </c>
      <c r="H664" s="3" t="s">
        <v>13</v>
      </c>
      <c r="I664" s="3" t="s">
        <v>65</v>
      </c>
      <c r="J664" s="1">
        <v>0</v>
      </c>
      <c r="K664" s="12">
        <v>0</v>
      </c>
      <c r="L664" s="1"/>
      <c r="M664" s="12"/>
      <c r="N664"/>
      <c r="O664"/>
      <c r="P664" s="2" t="str">
        <f>IF(BD_Receitas[[#This Row],[TIPO DE COBRANÇA]]="Operação Normal",
_xlfn.XLOOKUP(BD_Receitas[[#This Row],[ID]],TabCondicoesComerciais[ID],TabCondicoesComerciais[Volume mínimo 
(m3)],0),"")</f>
        <v/>
      </c>
      <c r="Q664" s="2">
        <f>_xlfn.XLOOKUP(BD_Receitas[[#This Row],[ID]],TabCondicoesComerciais[ID],TabCondicoesComerciais[Vol. 1ºGiro],0)</f>
        <v>750</v>
      </c>
      <c r="R6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64" s="1">
        <f xml:space="preserve"> IF(BD_Receitas[[#This Row],[TIPO DE COBRANÇA]]="Operação Normal",
_xlfn.XLOOKUP(BD_Receitas[[#This Row],[ID]],TabCondicoesComerciais[ID],TabCondicoesComerciais[Tarifa 2º Giro],0),0)</f>
        <v>0</v>
      </c>
      <c r="T6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5" spans="1:24" hidden="1" x14ac:dyDescent="0.35">
      <c r="A665" s="3" t="s">
        <v>149</v>
      </c>
      <c r="B665" s="11">
        <v>45962</v>
      </c>
      <c r="C665" t="s">
        <v>31</v>
      </c>
      <c r="D665" t="s">
        <v>110</v>
      </c>
      <c r="E665" t="s">
        <v>117</v>
      </c>
      <c r="F665" s="10" t="s">
        <v>23</v>
      </c>
      <c r="G665" s="3" t="s">
        <v>112</v>
      </c>
      <c r="H665" s="3" t="s">
        <v>113</v>
      </c>
      <c r="I665" s="3" t="s">
        <v>7</v>
      </c>
      <c r="J665" s="1">
        <v>0</v>
      </c>
      <c r="K665" s="12">
        <v>0</v>
      </c>
      <c r="L665" s="1"/>
      <c r="M665" s="12"/>
      <c r="N665"/>
      <c r="O665"/>
      <c r="P665" s="2" t="str">
        <f>IF(BD_Receitas[[#This Row],[TIPO DE COBRANÇA]]="Operação Normal",
_xlfn.XLOOKUP(BD_Receitas[[#This Row],[ID]],TabCondicoesComerciais[ID],TabCondicoesComerciais[Volume mínimo 
(m3)],0),"")</f>
        <v/>
      </c>
      <c r="Q665" s="2">
        <f>_xlfn.XLOOKUP(BD_Receitas[[#This Row],[ID]],TabCondicoesComerciais[ID],TabCondicoesComerciais[Vol. 1ºGiro],0)</f>
        <v>750</v>
      </c>
      <c r="R6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665" s="1">
        <f xml:space="preserve"> IF(BD_Receitas[[#This Row],[TIPO DE COBRANÇA]]="Operação Normal",
_xlfn.XLOOKUP(BD_Receitas[[#This Row],[ID]],TabCondicoesComerciais[ID],TabCondicoesComerciais[Tarifa 2º Giro],0),0)</f>
        <v>0</v>
      </c>
      <c r="T6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6" spans="1:24" hidden="1" x14ac:dyDescent="0.35">
      <c r="A666" s="3" t="s">
        <v>149</v>
      </c>
      <c r="B666" s="11">
        <v>45962</v>
      </c>
      <c r="C666" t="s">
        <v>31</v>
      </c>
      <c r="D666" t="s">
        <v>110</v>
      </c>
      <c r="E666" t="s">
        <v>117</v>
      </c>
      <c r="F666" s="10" t="s">
        <v>23</v>
      </c>
      <c r="G666" s="3" t="s">
        <v>112</v>
      </c>
      <c r="H666" s="3" t="s">
        <v>113</v>
      </c>
      <c r="I666" s="3" t="s">
        <v>8</v>
      </c>
      <c r="J666" s="1">
        <v>0</v>
      </c>
      <c r="K666" s="12">
        <v>0</v>
      </c>
      <c r="L666" s="1"/>
      <c r="M666" s="12"/>
      <c r="N666"/>
      <c r="O666"/>
      <c r="P666" s="2" t="str">
        <f>IF(BD_Receitas[[#This Row],[TIPO DE COBRANÇA]]="Operação Normal",
_xlfn.XLOOKUP(BD_Receitas[[#This Row],[ID]],TabCondicoesComerciais[ID],TabCondicoesComerciais[Volume mínimo 
(m3)],0),"")</f>
        <v/>
      </c>
      <c r="Q666" s="2">
        <f>_xlfn.XLOOKUP(BD_Receitas[[#This Row],[ID]],TabCondicoesComerciais[ID],TabCondicoesComerciais[Vol. 1ºGiro],0)</f>
        <v>750</v>
      </c>
      <c r="R6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666" s="1">
        <f xml:space="preserve"> IF(BD_Receitas[[#This Row],[TIPO DE COBRANÇA]]="Operação Normal",
_xlfn.XLOOKUP(BD_Receitas[[#This Row],[ID]],TabCondicoesComerciais[ID],TabCondicoesComerciais[Tarifa 2º Giro],0),0)</f>
        <v>0</v>
      </c>
      <c r="T6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7" spans="1:24" hidden="1" x14ac:dyDescent="0.35">
      <c r="A667" s="3" t="s">
        <v>149</v>
      </c>
      <c r="B667" s="11">
        <v>45962</v>
      </c>
      <c r="C667" t="s">
        <v>31</v>
      </c>
      <c r="D667" t="s">
        <v>110</v>
      </c>
      <c r="E667" t="s">
        <v>117</v>
      </c>
      <c r="F667" s="10" t="s">
        <v>23</v>
      </c>
      <c r="G667" s="3" t="s">
        <v>112</v>
      </c>
      <c r="H667" s="3" t="s">
        <v>113</v>
      </c>
      <c r="I667" s="3" t="s">
        <v>15</v>
      </c>
      <c r="J667" s="1">
        <v>0</v>
      </c>
      <c r="K667" s="12">
        <v>0</v>
      </c>
      <c r="L667" s="1"/>
      <c r="M667" s="12"/>
      <c r="N667"/>
      <c r="O667"/>
      <c r="P667" s="2">
        <f>IF(BD_Receitas[[#This Row],[TIPO DE COBRANÇA]]="Operação Normal",
_xlfn.XLOOKUP(BD_Receitas[[#This Row],[ID]],TabCondicoesComerciais[ID],TabCondicoesComerciais[Volume mínimo 
(m3)],0),"")</f>
        <v>3000</v>
      </c>
      <c r="Q667" s="2">
        <f>_xlfn.XLOOKUP(BD_Receitas[[#This Row],[ID]],TabCondicoesComerciais[ID],TabCondicoesComerciais[Vol. 1ºGiro],0)</f>
        <v>750</v>
      </c>
      <c r="R6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667" s="1">
        <f xml:space="preserve"> IF(BD_Receitas[[#This Row],[TIPO DE COBRANÇA]]="Operação Normal",
_xlfn.XLOOKUP(BD_Receitas[[#This Row],[ID]],TabCondicoesComerciais[ID],TabCondicoesComerciais[Tarifa 2º Giro],0),0)</f>
        <v>19.5</v>
      </c>
      <c r="T66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6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68" spans="1:24" hidden="1" x14ac:dyDescent="0.35">
      <c r="A668" s="3" t="s">
        <v>149</v>
      </c>
      <c r="B668" s="11">
        <v>45962</v>
      </c>
      <c r="C668" t="s">
        <v>31</v>
      </c>
      <c r="D668" t="s">
        <v>110</v>
      </c>
      <c r="E668" t="s">
        <v>117</v>
      </c>
      <c r="F668" s="10" t="s">
        <v>23</v>
      </c>
      <c r="G668" s="3" t="s">
        <v>112</v>
      </c>
      <c r="H668" s="3" t="s">
        <v>113</v>
      </c>
      <c r="I668" s="3" t="s">
        <v>65</v>
      </c>
      <c r="J668" s="1">
        <v>0</v>
      </c>
      <c r="K668" s="12">
        <v>0</v>
      </c>
      <c r="L668" s="1"/>
      <c r="M668" s="12"/>
      <c r="N668"/>
      <c r="O668"/>
      <c r="P668" s="2" t="str">
        <f>IF(BD_Receitas[[#This Row],[TIPO DE COBRANÇA]]="Operação Normal",
_xlfn.XLOOKUP(BD_Receitas[[#This Row],[ID]],TabCondicoesComerciais[ID],TabCondicoesComerciais[Volume mínimo 
(m3)],0),"")</f>
        <v/>
      </c>
      <c r="Q668" s="2">
        <f>_xlfn.XLOOKUP(BD_Receitas[[#This Row],[ID]],TabCondicoesComerciais[ID],TabCondicoesComerciais[Vol. 1ºGiro],0)</f>
        <v>750</v>
      </c>
      <c r="R6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68" s="1">
        <f xml:space="preserve"> IF(BD_Receitas[[#This Row],[TIPO DE COBRANÇA]]="Operação Normal",
_xlfn.XLOOKUP(BD_Receitas[[#This Row],[ID]],TabCondicoesComerciais[ID],TabCondicoesComerciais[Tarifa 2º Giro],0),0)</f>
        <v>0</v>
      </c>
      <c r="T6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69" spans="1:24" hidden="1" x14ac:dyDescent="0.35">
      <c r="A669" s="3" t="s">
        <v>263</v>
      </c>
      <c r="B669" s="11">
        <v>45962</v>
      </c>
      <c r="C669" t="s">
        <v>31</v>
      </c>
      <c r="D669" t="s">
        <v>62</v>
      </c>
      <c r="E669" t="s">
        <v>33</v>
      </c>
      <c r="F669" s="10" t="s">
        <v>46</v>
      </c>
      <c r="G669" s="3" t="s">
        <v>87</v>
      </c>
      <c r="H669" s="3" t="s">
        <v>9</v>
      </c>
      <c r="I669" s="3" t="s">
        <v>7</v>
      </c>
      <c r="J669" s="1">
        <v>0</v>
      </c>
      <c r="K669" s="12">
        <v>0</v>
      </c>
      <c r="L669" s="1">
        <v>87.084000000000003</v>
      </c>
      <c r="M669" s="12">
        <v>10.925000000000001</v>
      </c>
      <c r="N669" t="s">
        <v>271</v>
      </c>
      <c r="O669"/>
      <c r="P669" s="2" t="str">
        <f>IF(BD_Receitas[[#This Row],[TIPO DE COBRANÇA]]="Operação Normal",
_xlfn.XLOOKUP(BD_Receitas[[#This Row],[ID]],TabCondicoesComerciais[ID],TabCondicoesComerciais[Volume mínimo 
(m3)],0),"")</f>
        <v/>
      </c>
      <c r="Q669" s="2">
        <f>_xlfn.XLOOKUP(BD_Receitas[[#This Row],[ID]],TabCondicoesComerciais[ID],TabCondicoesComerciais[Vol. 1ºGiro],0)</f>
        <v>1070</v>
      </c>
      <c r="R6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669" s="1">
        <f xml:space="preserve"> IF(BD_Receitas[[#This Row],[TIPO DE COBRANÇA]]="Operação Normal",
_xlfn.XLOOKUP(BD_Receitas[[#This Row],[ID]],TabCondicoesComerciais[ID],TabCondicoesComerciais[Tarifa 2º Giro],0),0)</f>
        <v>0</v>
      </c>
      <c r="T6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0" spans="1:24" hidden="1" x14ac:dyDescent="0.35">
      <c r="A670" s="3" t="s">
        <v>263</v>
      </c>
      <c r="B670" s="11">
        <v>45962</v>
      </c>
      <c r="C670" t="s">
        <v>31</v>
      </c>
      <c r="D670" t="s">
        <v>62</v>
      </c>
      <c r="E670" t="s">
        <v>33</v>
      </c>
      <c r="F670" s="10" t="s">
        <v>46</v>
      </c>
      <c r="G670" s="3" t="s">
        <v>87</v>
      </c>
      <c r="H670" s="3" t="s">
        <v>9</v>
      </c>
      <c r="I670" s="3" t="s">
        <v>8</v>
      </c>
      <c r="J670" s="1">
        <v>0</v>
      </c>
      <c r="K670" s="12">
        <v>0</v>
      </c>
      <c r="L670" s="1">
        <v>78.287999999999997</v>
      </c>
      <c r="M670" s="12">
        <v>9.8580000000000005</v>
      </c>
      <c r="N670" t="s">
        <v>271</v>
      </c>
      <c r="O670"/>
      <c r="P670" s="2" t="str">
        <f>IF(BD_Receitas[[#This Row],[TIPO DE COBRANÇA]]="Operação Normal",
_xlfn.XLOOKUP(BD_Receitas[[#This Row],[ID]],TabCondicoesComerciais[ID],TabCondicoesComerciais[Volume mínimo 
(m3)],0),"")</f>
        <v/>
      </c>
      <c r="Q670" s="2">
        <f>_xlfn.XLOOKUP(BD_Receitas[[#This Row],[ID]],TabCondicoesComerciais[ID],TabCondicoesComerciais[Vol. 1ºGiro],0)</f>
        <v>1070</v>
      </c>
      <c r="R6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670" s="1">
        <f xml:space="preserve"> IF(BD_Receitas[[#This Row],[TIPO DE COBRANÇA]]="Operação Normal",
_xlfn.XLOOKUP(BD_Receitas[[#This Row],[ID]],TabCondicoesComerciais[ID],TabCondicoesComerciais[Tarifa 2º Giro],0),0)</f>
        <v>0</v>
      </c>
      <c r="T6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1" spans="1:24" hidden="1" x14ac:dyDescent="0.35">
      <c r="A671" s="3" t="s">
        <v>263</v>
      </c>
      <c r="B671" s="11">
        <v>45962</v>
      </c>
      <c r="C671" t="s">
        <v>31</v>
      </c>
      <c r="D671" t="s">
        <v>62</v>
      </c>
      <c r="E671" t="s">
        <v>33</v>
      </c>
      <c r="F671" s="10" t="s">
        <v>46</v>
      </c>
      <c r="G671" s="3" t="s">
        <v>87</v>
      </c>
      <c r="H671" s="3" t="s">
        <v>9</v>
      </c>
      <c r="I671" s="3" t="s">
        <v>15</v>
      </c>
      <c r="J671" s="1">
        <v>65348.32</v>
      </c>
      <c r="K671" s="12">
        <v>1926</v>
      </c>
      <c r="L671" s="1">
        <v>62864.639999999999</v>
      </c>
      <c r="M671" s="12">
        <v>2005.0519999999999</v>
      </c>
      <c r="N671" t="s">
        <v>271</v>
      </c>
      <c r="O671"/>
      <c r="P671" s="2">
        <f>IF(BD_Receitas[[#This Row],[TIPO DE COBRANÇA]]="Operação Normal",
_xlfn.XLOOKUP(BD_Receitas[[#This Row],[ID]],TabCondicoesComerciais[ID],TabCondicoesComerciais[Volume mínimo 
(m3)],0),"")</f>
        <v>3210</v>
      </c>
      <c r="Q671" s="2">
        <f>_xlfn.XLOOKUP(BD_Receitas[[#This Row],[ID]],TabCondicoesComerciais[ID],TabCondicoesComerciais[Vol. 1ºGiro],0)</f>
        <v>1070</v>
      </c>
      <c r="R6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671" s="1">
        <f xml:space="preserve"> IF(BD_Receitas[[#This Row],[TIPO DE COBRANÇA]]="Operação Normal",
_xlfn.XLOOKUP(BD_Receitas[[#This Row],[ID]],TabCondicoesComerciais[ID],TabCondicoesComerciais[Tarifa 2º Giro],0),0)</f>
        <v>32.64</v>
      </c>
      <c r="T671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6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34.549393232694214</v>
      </c>
      <c r="V6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6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65444.897280000005</v>
      </c>
      <c r="X6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72" spans="1:24" hidden="1" x14ac:dyDescent="0.35">
      <c r="A672" s="3" t="s">
        <v>263</v>
      </c>
      <c r="B672" s="11">
        <v>45962</v>
      </c>
      <c r="C672" t="s">
        <v>31</v>
      </c>
      <c r="D672" t="s">
        <v>62</v>
      </c>
      <c r="E672" t="s">
        <v>33</v>
      </c>
      <c r="F672" s="10" t="s">
        <v>46</v>
      </c>
      <c r="G672" s="3" t="s">
        <v>87</v>
      </c>
      <c r="H672" s="3" t="s">
        <v>9</v>
      </c>
      <c r="I672" s="3" t="s">
        <v>65</v>
      </c>
      <c r="J672" s="1">
        <v>0</v>
      </c>
      <c r="K672" s="12">
        <v>0</v>
      </c>
      <c r="L672" s="1">
        <v>6243.3180000000002</v>
      </c>
      <c r="M672" s="12">
        <v>0</v>
      </c>
      <c r="N672" t="s">
        <v>271</v>
      </c>
      <c r="O672"/>
      <c r="P672" s="2" t="str">
        <f>IF(BD_Receitas[[#This Row],[TIPO DE COBRANÇA]]="Operação Normal",
_xlfn.XLOOKUP(BD_Receitas[[#This Row],[ID]],TabCondicoesComerciais[ID],TabCondicoesComerciais[Volume mínimo 
(m3)],0),"")</f>
        <v/>
      </c>
      <c r="Q672" s="2">
        <f>_xlfn.XLOOKUP(BD_Receitas[[#This Row],[ID]],TabCondicoesComerciais[ID],TabCondicoesComerciais[Vol. 1ºGiro],0)</f>
        <v>1070</v>
      </c>
      <c r="R6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72" s="1">
        <f xml:space="preserve"> IF(BD_Receitas[[#This Row],[TIPO DE COBRANÇA]]="Operação Normal",
_xlfn.XLOOKUP(BD_Receitas[[#This Row],[ID]],TabCondicoesComerciais[ID],TabCondicoesComerciais[Tarifa 2º Giro],0),0)</f>
        <v>0</v>
      </c>
      <c r="T6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3" spans="1:24" hidden="1" x14ac:dyDescent="0.35">
      <c r="A673" s="3" t="s">
        <v>200</v>
      </c>
      <c r="B673" s="11">
        <v>45962</v>
      </c>
      <c r="C673" t="s">
        <v>31</v>
      </c>
      <c r="D673" t="s">
        <v>203</v>
      </c>
      <c r="E673" t="s">
        <v>32</v>
      </c>
      <c r="F673" s="10" t="s">
        <v>25</v>
      </c>
      <c r="G673" s="3" t="s">
        <v>12</v>
      </c>
      <c r="H673" s="3" t="s">
        <v>10</v>
      </c>
      <c r="I673" s="3" t="s">
        <v>7</v>
      </c>
      <c r="J673" s="1">
        <v>0</v>
      </c>
      <c r="K673" s="12">
        <v>0</v>
      </c>
      <c r="L673" s="1"/>
      <c r="M673" s="12"/>
      <c r="N673"/>
      <c r="O673"/>
      <c r="P673" s="2" t="str">
        <f>IF(BD_Receitas[[#This Row],[TIPO DE COBRANÇA]]="Operação Normal",
_xlfn.XLOOKUP(BD_Receitas[[#This Row],[ID]],TabCondicoesComerciais[ID],TabCondicoesComerciais[Volume mínimo 
(m3)],0),"")</f>
        <v/>
      </c>
      <c r="Q673" s="2">
        <f>_xlfn.XLOOKUP(BD_Receitas[[#This Row],[ID]],TabCondicoesComerciais[ID],TabCondicoesComerciais[Vol. 1ºGiro],0)</f>
        <v>2000</v>
      </c>
      <c r="R6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73" s="1">
        <f xml:space="preserve"> IF(BD_Receitas[[#This Row],[TIPO DE COBRANÇA]]="Operação Normal",
_xlfn.XLOOKUP(BD_Receitas[[#This Row],[ID]],TabCondicoesComerciais[ID],TabCondicoesComerciais[Tarifa 2º Giro],0),0)</f>
        <v>0</v>
      </c>
      <c r="T6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4" spans="1:24" hidden="1" x14ac:dyDescent="0.35">
      <c r="A674" s="3" t="s">
        <v>200</v>
      </c>
      <c r="B674" s="11">
        <v>45962</v>
      </c>
      <c r="C674" t="s">
        <v>31</v>
      </c>
      <c r="D674" t="s">
        <v>203</v>
      </c>
      <c r="E674" t="s">
        <v>32</v>
      </c>
      <c r="F674" s="10" t="s">
        <v>25</v>
      </c>
      <c r="G674" s="3" t="s">
        <v>12</v>
      </c>
      <c r="H674" s="3" t="s">
        <v>10</v>
      </c>
      <c r="I674" s="3" t="s">
        <v>8</v>
      </c>
      <c r="J674" s="1">
        <v>0</v>
      </c>
      <c r="K674" s="12">
        <v>0</v>
      </c>
      <c r="L674" s="1"/>
      <c r="M674" s="12"/>
      <c r="N674"/>
      <c r="O674"/>
      <c r="P674" s="2" t="str">
        <f>IF(BD_Receitas[[#This Row],[TIPO DE COBRANÇA]]="Operação Normal",
_xlfn.XLOOKUP(BD_Receitas[[#This Row],[ID]],TabCondicoesComerciais[ID],TabCondicoesComerciais[Volume mínimo 
(m3)],0),"")</f>
        <v/>
      </c>
      <c r="Q674" s="2">
        <f>_xlfn.XLOOKUP(BD_Receitas[[#This Row],[ID]],TabCondicoesComerciais[ID],TabCondicoesComerciais[Vol. 1ºGiro],0)</f>
        <v>2000</v>
      </c>
      <c r="R6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674" s="1">
        <f xml:space="preserve"> IF(BD_Receitas[[#This Row],[TIPO DE COBRANÇA]]="Operação Normal",
_xlfn.XLOOKUP(BD_Receitas[[#This Row],[ID]],TabCondicoesComerciais[ID],TabCondicoesComerciais[Tarifa 2º Giro],0),0)</f>
        <v>0</v>
      </c>
      <c r="T6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5" spans="1:24" hidden="1" x14ac:dyDescent="0.35">
      <c r="A675" s="3" t="s">
        <v>200</v>
      </c>
      <c r="B675" s="11">
        <v>45962</v>
      </c>
      <c r="C675" t="s">
        <v>31</v>
      </c>
      <c r="D675" t="s">
        <v>203</v>
      </c>
      <c r="E675" t="s">
        <v>32</v>
      </c>
      <c r="F675" s="10" t="s">
        <v>25</v>
      </c>
      <c r="G675" s="3" t="s">
        <v>12</v>
      </c>
      <c r="H675" s="3" t="s">
        <v>10</v>
      </c>
      <c r="I675" s="3" t="s">
        <v>15</v>
      </c>
      <c r="J675" s="1">
        <v>0</v>
      </c>
      <c r="K675" s="12">
        <v>0</v>
      </c>
      <c r="L675" s="1">
        <v>256549.62</v>
      </c>
      <c r="M675" s="12">
        <v>12827.481</v>
      </c>
      <c r="N675" t="s">
        <v>265</v>
      </c>
      <c r="O675" t="s">
        <v>155</v>
      </c>
      <c r="P675" s="2">
        <f>IF(BD_Receitas[[#This Row],[TIPO DE COBRANÇA]]="Operação Normal",
_xlfn.XLOOKUP(BD_Receitas[[#This Row],[ID]],TabCondicoesComerciais[ID],TabCondicoesComerciais[Volume mínimo 
(m3)],0),"")</f>
        <v>8000</v>
      </c>
      <c r="Q675" s="2">
        <f>_xlfn.XLOOKUP(BD_Receitas[[#This Row],[ID]],TabCondicoesComerciais[ID],TabCondicoesComerciais[Vol. 1ºGiro],0)</f>
        <v>2000</v>
      </c>
      <c r="R6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75" s="1">
        <f xml:space="preserve"> IF(BD_Receitas[[#This Row],[TIPO DE COBRANÇA]]="Operação Normal",
_xlfn.XLOOKUP(BD_Receitas[[#This Row],[ID]],TabCondicoesComerciais[ID],TabCondicoesComerciais[Tarifa 2º Giro],0),0)</f>
        <v>20</v>
      </c>
      <c r="T67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</v>
      </c>
      <c r="V6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256549.62</v>
      </c>
      <c r="X6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76" spans="1:24" hidden="1" x14ac:dyDescent="0.35">
      <c r="A676" s="3" t="s">
        <v>200</v>
      </c>
      <c r="B676" s="11">
        <v>45962</v>
      </c>
      <c r="C676" t="s">
        <v>31</v>
      </c>
      <c r="D676" t="s">
        <v>203</v>
      </c>
      <c r="E676" t="s">
        <v>32</v>
      </c>
      <c r="F676" s="10" t="s">
        <v>25</v>
      </c>
      <c r="G676" s="3" t="s">
        <v>12</v>
      </c>
      <c r="H676" s="3" t="s">
        <v>10</v>
      </c>
      <c r="I676" s="3" t="s">
        <v>15</v>
      </c>
      <c r="J676" s="1">
        <v>0</v>
      </c>
      <c r="K676" s="12">
        <v>0</v>
      </c>
      <c r="L676" s="1">
        <v>256549.62</v>
      </c>
      <c r="M676" s="12">
        <v>12827.481</v>
      </c>
      <c r="N676" t="s">
        <v>265</v>
      </c>
      <c r="O676" t="s">
        <v>155</v>
      </c>
      <c r="P676" s="2">
        <f>IF(BD_Receitas[[#This Row],[TIPO DE COBRANÇA]]="Operação Normal",
_xlfn.XLOOKUP(BD_Receitas[[#This Row],[ID]],TabCondicoesComerciais[ID],TabCondicoesComerciais[Volume mínimo 
(m3)],0),"")</f>
        <v>8000</v>
      </c>
      <c r="Q676" s="2">
        <f>_xlfn.XLOOKUP(BD_Receitas[[#This Row],[ID]],TabCondicoesComerciais[ID],TabCondicoesComerciais[Vol. 1ºGiro],0)</f>
        <v>2000</v>
      </c>
      <c r="R6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76" s="1">
        <f xml:space="preserve"> IF(BD_Receitas[[#This Row],[TIPO DE COBRANÇA]]="Operação Normal",
_xlfn.XLOOKUP(BD_Receitas[[#This Row],[ID]],TabCondicoesComerciais[ID],TabCondicoesComerciais[Tarifa 2º Giro],0),0)</f>
        <v>20</v>
      </c>
      <c r="T676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7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</v>
      </c>
      <c r="V67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7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256549.62</v>
      </c>
      <c r="X6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77" spans="1:24" hidden="1" x14ac:dyDescent="0.35">
      <c r="A677" s="3" t="s">
        <v>200</v>
      </c>
      <c r="B677" s="11">
        <v>45962</v>
      </c>
      <c r="C677" t="s">
        <v>31</v>
      </c>
      <c r="D677" t="s">
        <v>203</v>
      </c>
      <c r="E677" t="s">
        <v>32</v>
      </c>
      <c r="F677" s="10" t="s">
        <v>25</v>
      </c>
      <c r="G677" s="3" t="s">
        <v>12</v>
      </c>
      <c r="H677" s="3" t="s">
        <v>10</v>
      </c>
      <c r="I677" s="3" t="s">
        <v>15</v>
      </c>
      <c r="J677" s="1">
        <v>0</v>
      </c>
      <c r="K677" s="12">
        <v>0</v>
      </c>
      <c r="L677" s="1">
        <v>256549.62</v>
      </c>
      <c r="M677" s="12">
        <v>12827.481</v>
      </c>
      <c r="N677"/>
      <c r="O677" t="s">
        <v>276</v>
      </c>
      <c r="P677" s="2">
        <f>IF(BD_Receitas[[#This Row],[TIPO DE COBRANÇA]]="Operação Normal",
_xlfn.XLOOKUP(BD_Receitas[[#This Row],[ID]],TabCondicoesComerciais[ID],TabCondicoesComerciais[Volume mínimo 
(m3)],0),"")</f>
        <v>8000</v>
      </c>
      <c r="Q677" s="2">
        <f>_xlfn.XLOOKUP(BD_Receitas[[#This Row],[ID]],TabCondicoesComerciais[ID],TabCondicoesComerciais[Vol. 1ºGiro],0)</f>
        <v>2000</v>
      </c>
      <c r="R6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677" s="1">
        <f xml:space="preserve"> IF(BD_Receitas[[#This Row],[TIPO DE COBRANÇA]]="Operação Normal",
_xlfn.XLOOKUP(BD_Receitas[[#This Row],[ID]],TabCondicoesComerciais[ID],TabCondicoesComerciais[Tarifa 2º Giro],0),0)</f>
        <v>20</v>
      </c>
      <c r="T677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67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</v>
      </c>
      <c r="V67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67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256549.62</v>
      </c>
      <c r="X6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78" spans="1:24" hidden="1" x14ac:dyDescent="0.35">
      <c r="A678" s="3" t="s">
        <v>200</v>
      </c>
      <c r="B678" s="11">
        <v>45962</v>
      </c>
      <c r="C678" t="s">
        <v>31</v>
      </c>
      <c r="D678" t="s">
        <v>203</v>
      </c>
      <c r="E678" t="s">
        <v>32</v>
      </c>
      <c r="F678" s="10" t="s">
        <v>25</v>
      </c>
      <c r="G678" s="3" t="s">
        <v>12</v>
      </c>
      <c r="H678" s="3" t="s">
        <v>10</v>
      </c>
      <c r="I678" s="3" t="s">
        <v>65</v>
      </c>
      <c r="J678" s="1">
        <v>0</v>
      </c>
      <c r="K678" s="12">
        <v>0</v>
      </c>
      <c r="L678" s="1"/>
      <c r="M678" s="12"/>
      <c r="N678"/>
      <c r="O678"/>
      <c r="P678" s="2" t="str">
        <f>IF(BD_Receitas[[#This Row],[TIPO DE COBRANÇA]]="Operação Normal",
_xlfn.XLOOKUP(BD_Receitas[[#This Row],[ID]],TabCondicoesComerciais[ID],TabCondicoesComerciais[Volume mínimo 
(m3)],0),"")</f>
        <v/>
      </c>
      <c r="Q678" s="2">
        <f>_xlfn.XLOOKUP(BD_Receitas[[#This Row],[ID]],TabCondicoesComerciais[ID],TabCondicoesComerciais[Vol. 1ºGiro],0)</f>
        <v>2000</v>
      </c>
      <c r="R6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78" s="1">
        <f xml:space="preserve"> IF(BD_Receitas[[#This Row],[TIPO DE COBRANÇA]]="Operação Normal",
_xlfn.XLOOKUP(BD_Receitas[[#This Row],[ID]],TabCondicoesComerciais[ID],TabCondicoesComerciais[Tarifa 2º Giro],0),0)</f>
        <v>0</v>
      </c>
      <c r="T6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79" spans="1:24" hidden="1" x14ac:dyDescent="0.35">
      <c r="A679" s="3" t="s">
        <v>264</v>
      </c>
      <c r="B679" s="11">
        <v>45962</v>
      </c>
      <c r="C679" t="s">
        <v>31</v>
      </c>
      <c r="D679" t="s">
        <v>203</v>
      </c>
      <c r="E679" t="s">
        <v>32</v>
      </c>
      <c r="F679" s="10" t="s">
        <v>25</v>
      </c>
      <c r="G679" s="3" t="s">
        <v>12</v>
      </c>
      <c r="H679" s="3" t="s">
        <v>9</v>
      </c>
      <c r="I679" s="3" t="s">
        <v>7</v>
      </c>
      <c r="J679" s="1">
        <v>0</v>
      </c>
      <c r="K679" s="12">
        <v>0</v>
      </c>
      <c r="L679" s="1">
        <v>3007.35</v>
      </c>
      <c r="M679" s="12">
        <v>334.15</v>
      </c>
      <c r="N679" t="s">
        <v>255</v>
      </c>
      <c r="O679" t="s">
        <v>129</v>
      </c>
      <c r="P679" s="2" t="str">
        <f>IF(BD_Receitas[[#This Row],[TIPO DE COBRANÇA]]="Operação Normal",
_xlfn.XLOOKUP(BD_Receitas[[#This Row],[ID]],TabCondicoesComerciais[ID],TabCondicoesComerciais[Volume mínimo 
(m3)],0),"")</f>
        <v/>
      </c>
      <c r="Q679" s="2">
        <f>_xlfn.XLOOKUP(BD_Receitas[[#This Row],[ID]],TabCondicoesComerciais[ID],TabCondicoesComerciais[Vol. 1ºGiro],0)</f>
        <v>1125</v>
      </c>
      <c r="R6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79" s="1">
        <f xml:space="preserve"> IF(BD_Receitas[[#This Row],[TIPO DE COBRANÇA]]="Operação Normal",
_xlfn.XLOOKUP(BD_Receitas[[#This Row],[ID]],TabCondicoesComerciais[ID],TabCondicoesComerciais[Tarifa 2º Giro],0),0)</f>
        <v>0</v>
      </c>
      <c r="T6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0" spans="1:24" hidden="1" x14ac:dyDescent="0.35">
      <c r="A680" s="3" t="s">
        <v>264</v>
      </c>
      <c r="B680" s="11">
        <v>45962</v>
      </c>
      <c r="C680" t="s">
        <v>31</v>
      </c>
      <c r="D680" t="s">
        <v>203</v>
      </c>
      <c r="E680" t="s">
        <v>32</v>
      </c>
      <c r="F680" s="10" t="s">
        <v>25</v>
      </c>
      <c r="G680" s="3" t="s">
        <v>12</v>
      </c>
      <c r="H680" s="3" t="s">
        <v>9</v>
      </c>
      <c r="I680" s="3" t="s">
        <v>7</v>
      </c>
      <c r="J680" s="1">
        <v>0</v>
      </c>
      <c r="K680" s="12">
        <v>0</v>
      </c>
      <c r="L680" s="1">
        <v>3007.35</v>
      </c>
      <c r="M680" s="12">
        <v>334.15</v>
      </c>
      <c r="N680" t="s">
        <v>255</v>
      </c>
      <c r="O680" t="s">
        <v>129</v>
      </c>
      <c r="P680" s="2" t="str">
        <f>IF(BD_Receitas[[#This Row],[TIPO DE COBRANÇA]]="Operação Normal",
_xlfn.XLOOKUP(BD_Receitas[[#This Row],[ID]],TabCondicoesComerciais[ID],TabCondicoesComerciais[Volume mínimo 
(m3)],0),"")</f>
        <v/>
      </c>
      <c r="Q680" s="2">
        <f>_xlfn.XLOOKUP(BD_Receitas[[#This Row],[ID]],TabCondicoesComerciais[ID],TabCondicoesComerciais[Vol. 1ºGiro],0)</f>
        <v>1125</v>
      </c>
      <c r="R6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80" s="1">
        <f xml:space="preserve"> IF(BD_Receitas[[#This Row],[TIPO DE COBRANÇA]]="Operação Normal",
_xlfn.XLOOKUP(BD_Receitas[[#This Row],[ID]],TabCondicoesComerciais[ID],TabCondicoesComerciais[Tarifa 2º Giro],0),0)</f>
        <v>0</v>
      </c>
      <c r="T6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1" spans="1:24" hidden="1" x14ac:dyDescent="0.35">
      <c r="A681" s="3" t="s">
        <v>264</v>
      </c>
      <c r="B681" s="11">
        <v>45962</v>
      </c>
      <c r="C681" t="s">
        <v>31</v>
      </c>
      <c r="D681" t="s">
        <v>203</v>
      </c>
      <c r="E681" t="s">
        <v>32</v>
      </c>
      <c r="F681" s="10" t="s">
        <v>25</v>
      </c>
      <c r="G681" s="3" t="s">
        <v>12</v>
      </c>
      <c r="H681" s="3" t="s">
        <v>9</v>
      </c>
      <c r="I681" s="3" t="s">
        <v>7</v>
      </c>
      <c r="J681" s="1">
        <v>0</v>
      </c>
      <c r="K681" s="12">
        <v>0</v>
      </c>
      <c r="L681" s="1">
        <v>3007.35</v>
      </c>
      <c r="M681" s="12">
        <v>334.15</v>
      </c>
      <c r="N681" t="s">
        <v>255</v>
      </c>
      <c r="O681" t="s">
        <v>129</v>
      </c>
      <c r="P681" s="2" t="str">
        <f>IF(BD_Receitas[[#This Row],[TIPO DE COBRANÇA]]="Operação Normal",
_xlfn.XLOOKUP(BD_Receitas[[#This Row],[ID]],TabCondicoesComerciais[ID],TabCondicoesComerciais[Volume mínimo 
(m3)],0),"")</f>
        <v/>
      </c>
      <c r="Q681" s="2">
        <f>_xlfn.XLOOKUP(BD_Receitas[[#This Row],[ID]],TabCondicoesComerciais[ID],TabCondicoesComerciais[Vol. 1ºGiro],0)</f>
        <v>1125</v>
      </c>
      <c r="R6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81" s="1">
        <f xml:space="preserve"> IF(BD_Receitas[[#This Row],[TIPO DE COBRANÇA]]="Operação Normal",
_xlfn.XLOOKUP(BD_Receitas[[#This Row],[ID]],TabCondicoesComerciais[ID],TabCondicoesComerciais[Tarifa 2º Giro],0),0)</f>
        <v>0</v>
      </c>
      <c r="T6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2" spans="1:24" hidden="1" x14ac:dyDescent="0.35">
      <c r="A682" s="3" t="s">
        <v>264</v>
      </c>
      <c r="B682" s="11">
        <v>45962</v>
      </c>
      <c r="C682" t="s">
        <v>31</v>
      </c>
      <c r="D682" t="s">
        <v>203</v>
      </c>
      <c r="E682" t="s">
        <v>32</v>
      </c>
      <c r="F682" s="10" t="s">
        <v>25</v>
      </c>
      <c r="G682" s="3" t="s">
        <v>12</v>
      </c>
      <c r="H682" s="3" t="s">
        <v>9</v>
      </c>
      <c r="I682" s="3" t="s">
        <v>8</v>
      </c>
      <c r="J682" s="1">
        <v>0</v>
      </c>
      <c r="K682" s="12">
        <v>0</v>
      </c>
      <c r="L682" s="1"/>
      <c r="M682" s="12"/>
      <c r="N682"/>
      <c r="O682"/>
      <c r="P682" s="2" t="str">
        <f>IF(BD_Receitas[[#This Row],[TIPO DE COBRANÇA]]="Operação Normal",
_xlfn.XLOOKUP(BD_Receitas[[#This Row],[ID]],TabCondicoesComerciais[ID],TabCondicoesComerciais[Volume mínimo 
(m3)],0),"")</f>
        <v/>
      </c>
      <c r="Q682" s="2">
        <f>_xlfn.XLOOKUP(BD_Receitas[[#This Row],[ID]],TabCondicoesComerciais[ID],TabCondicoesComerciais[Vol. 1ºGiro],0)</f>
        <v>1125</v>
      </c>
      <c r="R6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682" s="1">
        <f xml:space="preserve"> IF(BD_Receitas[[#This Row],[TIPO DE COBRANÇA]]="Operação Normal",
_xlfn.XLOOKUP(BD_Receitas[[#This Row],[ID]],TabCondicoesComerciais[ID],TabCondicoesComerciais[Tarifa 2º Giro],0),0)</f>
        <v>0</v>
      </c>
      <c r="T6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3" spans="1:24" hidden="1" x14ac:dyDescent="0.35">
      <c r="A683" s="3" t="s">
        <v>264</v>
      </c>
      <c r="B683" s="11">
        <v>45962</v>
      </c>
      <c r="C683" t="s">
        <v>31</v>
      </c>
      <c r="D683" t="s">
        <v>203</v>
      </c>
      <c r="E683" t="s">
        <v>32</v>
      </c>
      <c r="F683" s="10" t="s">
        <v>25</v>
      </c>
      <c r="G683" s="3" t="s">
        <v>12</v>
      </c>
      <c r="H683" s="3" t="s">
        <v>9</v>
      </c>
      <c r="I683" s="3" t="s">
        <v>15</v>
      </c>
      <c r="J683" s="1">
        <v>165115.51999999999</v>
      </c>
      <c r="K683" s="12">
        <v>5625</v>
      </c>
      <c r="L683" s="1">
        <v>165859</v>
      </c>
      <c r="M683" s="12">
        <v>5394.2910000000002</v>
      </c>
      <c r="N683" t="s">
        <v>255</v>
      </c>
      <c r="O683"/>
      <c r="P683" s="2">
        <f>IF(BD_Receitas[[#This Row],[TIPO DE COBRANÇA]]="Operação Normal",
_xlfn.XLOOKUP(BD_Receitas[[#This Row],[ID]],TabCondicoesComerciais[ID],TabCondicoesComerciais[Volume mínimo 
(m3)],0),"")</f>
        <v>5625</v>
      </c>
      <c r="Q683" s="2">
        <f>_xlfn.XLOOKUP(BD_Receitas[[#This Row],[ID]],TabCondicoesComerciais[ID],TabCondicoesComerciais[Vol. 1ºGiro],0)</f>
        <v>1125</v>
      </c>
      <c r="R6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83" s="1">
        <f xml:space="preserve"> IF(BD_Receitas[[#This Row],[TIPO DE COBRANÇA]]="Operação Normal",
_xlfn.XLOOKUP(BD_Receitas[[#This Row],[ID]],TabCondicoesComerciais[ID],TabCondicoesComerciais[Tarifa 2º Giro],0),0)</f>
        <v>27.19</v>
      </c>
      <c r="T683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6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93.913926779256059</v>
      </c>
      <c r="V6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146670.77228999999</v>
      </c>
      <c r="X6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84" spans="1:24" hidden="1" x14ac:dyDescent="0.35">
      <c r="A684" s="3" t="s">
        <v>264</v>
      </c>
      <c r="B684" s="11">
        <v>45962</v>
      </c>
      <c r="C684" t="s">
        <v>31</v>
      </c>
      <c r="D684" t="s">
        <v>203</v>
      </c>
      <c r="E684" t="s">
        <v>32</v>
      </c>
      <c r="F684" s="10" t="s">
        <v>25</v>
      </c>
      <c r="G684" s="3" t="s">
        <v>12</v>
      </c>
      <c r="H684" s="3" t="s">
        <v>9</v>
      </c>
      <c r="I684" s="3" t="s">
        <v>15</v>
      </c>
      <c r="J684" s="1">
        <v>165115.51999999999</v>
      </c>
      <c r="K684" s="12">
        <v>5625</v>
      </c>
      <c r="L684" s="1">
        <v>165859</v>
      </c>
      <c r="M684" s="12">
        <v>6100</v>
      </c>
      <c r="N684" t="s">
        <v>255</v>
      </c>
      <c r="O684" t="s">
        <v>155</v>
      </c>
      <c r="P684" s="2">
        <f>IF(BD_Receitas[[#This Row],[TIPO DE COBRANÇA]]="Operação Normal",
_xlfn.XLOOKUP(BD_Receitas[[#This Row],[ID]],TabCondicoesComerciais[ID],TabCondicoesComerciais[Volume mínimo 
(m3)],0),"")</f>
        <v>5625</v>
      </c>
      <c r="Q684" s="2">
        <f>_xlfn.XLOOKUP(BD_Receitas[[#This Row],[ID]],TabCondicoesComerciais[ID],TabCondicoesComerciais[Vol. 1ºGiro],0)</f>
        <v>1125</v>
      </c>
      <c r="R6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84" s="1">
        <f xml:space="preserve"> IF(BD_Receitas[[#This Row],[TIPO DE COBRANÇA]]="Operação Normal",
_xlfn.XLOOKUP(BD_Receitas[[#This Row],[ID]],TabCondicoesComerciais[ID],TabCondicoesComerciais[Tarifa 2º Giro],0),0)</f>
        <v>27.19</v>
      </c>
      <c r="T684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68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83.049024590163938</v>
      </c>
      <c r="V68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8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6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85" spans="1:24" hidden="1" x14ac:dyDescent="0.35">
      <c r="A685" s="3" t="s">
        <v>264</v>
      </c>
      <c r="B685" s="11">
        <v>45962</v>
      </c>
      <c r="C685" t="s">
        <v>31</v>
      </c>
      <c r="D685" t="s">
        <v>203</v>
      </c>
      <c r="E685" t="s">
        <v>32</v>
      </c>
      <c r="F685" s="10" t="s">
        <v>25</v>
      </c>
      <c r="G685" s="3" t="s">
        <v>12</v>
      </c>
      <c r="H685" s="3" t="s">
        <v>9</v>
      </c>
      <c r="I685" s="3" t="s">
        <v>15</v>
      </c>
      <c r="J685" s="1">
        <v>165115.51999999999</v>
      </c>
      <c r="K685" s="12">
        <v>5625</v>
      </c>
      <c r="L685" s="1">
        <v>165859</v>
      </c>
      <c r="M685" s="12">
        <v>6100</v>
      </c>
      <c r="N685" t="s">
        <v>255</v>
      </c>
      <c r="O685" t="s">
        <v>155</v>
      </c>
      <c r="P685" s="2">
        <f>IF(BD_Receitas[[#This Row],[TIPO DE COBRANÇA]]="Operação Normal",
_xlfn.XLOOKUP(BD_Receitas[[#This Row],[ID]],TabCondicoesComerciais[ID],TabCondicoesComerciais[Volume mínimo 
(m3)],0),"")</f>
        <v>5625</v>
      </c>
      <c r="Q685" s="2">
        <f>_xlfn.XLOOKUP(BD_Receitas[[#This Row],[ID]],TabCondicoesComerciais[ID],TabCondicoesComerciais[Vol. 1ºGiro],0)</f>
        <v>1125</v>
      </c>
      <c r="R6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685" s="1">
        <f xml:space="preserve"> IF(BD_Receitas[[#This Row],[TIPO DE COBRANÇA]]="Operação Normal",
_xlfn.XLOOKUP(BD_Receitas[[#This Row],[ID]],TabCondicoesComerciais[ID],TabCondicoesComerciais[Tarifa 2º Giro],0),0)</f>
        <v>27.19</v>
      </c>
      <c r="T685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68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83.049024590163938</v>
      </c>
      <c r="V68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68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165859</v>
      </c>
      <c r="X6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86" spans="1:24" hidden="1" x14ac:dyDescent="0.35">
      <c r="A686" s="3" t="s">
        <v>264</v>
      </c>
      <c r="B686" s="11">
        <v>45962</v>
      </c>
      <c r="C686" t="s">
        <v>31</v>
      </c>
      <c r="D686" t="s">
        <v>203</v>
      </c>
      <c r="E686" t="s">
        <v>32</v>
      </c>
      <c r="F686" s="10" t="s">
        <v>25</v>
      </c>
      <c r="G686" s="3" t="s">
        <v>12</v>
      </c>
      <c r="H686" s="3" t="s">
        <v>9</v>
      </c>
      <c r="I686" s="3" t="s">
        <v>65</v>
      </c>
      <c r="J686" s="1">
        <v>0</v>
      </c>
      <c r="K686" s="12">
        <v>0</v>
      </c>
      <c r="L686" s="1"/>
      <c r="M686" s="12"/>
      <c r="N686"/>
      <c r="O686"/>
      <c r="P686" s="2" t="str">
        <f>IF(BD_Receitas[[#This Row],[TIPO DE COBRANÇA]]="Operação Normal",
_xlfn.XLOOKUP(BD_Receitas[[#This Row],[ID]],TabCondicoesComerciais[ID],TabCondicoesComerciais[Volume mínimo 
(m3)],0),"")</f>
        <v/>
      </c>
      <c r="Q686" s="2">
        <f>_xlfn.XLOOKUP(BD_Receitas[[#This Row],[ID]],TabCondicoesComerciais[ID],TabCondicoesComerciais[Vol. 1ºGiro],0)</f>
        <v>1125</v>
      </c>
      <c r="R6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86" s="1">
        <f xml:space="preserve"> IF(BD_Receitas[[#This Row],[TIPO DE COBRANÇA]]="Operação Normal",
_xlfn.XLOOKUP(BD_Receitas[[#This Row],[ID]],TabCondicoesComerciais[ID],TabCondicoesComerciais[Tarifa 2º Giro],0),0)</f>
        <v>0</v>
      </c>
      <c r="T6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7" spans="1:24" hidden="1" x14ac:dyDescent="0.35">
      <c r="A687" s="3" t="s">
        <v>169</v>
      </c>
      <c r="B687" s="11">
        <v>45962</v>
      </c>
      <c r="C687" t="s">
        <v>31</v>
      </c>
      <c r="D687" t="s">
        <v>203</v>
      </c>
      <c r="E687" t="s">
        <v>32</v>
      </c>
      <c r="F687" s="10" t="s">
        <v>25</v>
      </c>
      <c r="G687" s="3" t="s">
        <v>12</v>
      </c>
      <c r="H687" s="3" t="s">
        <v>170</v>
      </c>
      <c r="I687" s="3" t="s">
        <v>7</v>
      </c>
      <c r="J687" s="1">
        <v>0</v>
      </c>
      <c r="K687" s="12">
        <v>0</v>
      </c>
      <c r="L687" s="1"/>
      <c r="M687" s="12"/>
      <c r="N687"/>
      <c r="O687"/>
      <c r="P687" s="2" t="str">
        <f>IF(BD_Receitas[[#This Row],[TIPO DE COBRANÇA]]="Operação Normal",
_xlfn.XLOOKUP(BD_Receitas[[#This Row],[ID]],TabCondicoesComerciais[ID],TabCondicoesComerciais[Volume mínimo 
(m3)],0),"")</f>
        <v/>
      </c>
      <c r="Q687" s="2">
        <f>_xlfn.XLOOKUP(BD_Receitas[[#This Row],[ID]],TabCondicoesComerciais[ID],TabCondicoesComerciais[Vol. 1ºGiro],0)</f>
        <v>1040</v>
      </c>
      <c r="R6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687" s="1">
        <f xml:space="preserve"> IF(BD_Receitas[[#This Row],[TIPO DE COBRANÇA]]="Operação Normal",
_xlfn.XLOOKUP(BD_Receitas[[#This Row],[ID]],TabCondicoesComerciais[ID],TabCondicoesComerciais[Tarifa 2º Giro],0),0)</f>
        <v>0</v>
      </c>
      <c r="T6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8" spans="1:24" hidden="1" x14ac:dyDescent="0.35">
      <c r="A688" s="3" t="s">
        <v>169</v>
      </c>
      <c r="B688" s="11">
        <v>45962</v>
      </c>
      <c r="C688" t="s">
        <v>31</v>
      </c>
      <c r="D688" t="s">
        <v>203</v>
      </c>
      <c r="E688" t="s">
        <v>32</v>
      </c>
      <c r="F688" s="10" t="s">
        <v>25</v>
      </c>
      <c r="G688" s="3" t="s">
        <v>12</v>
      </c>
      <c r="H688" s="3" t="s">
        <v>170</v>
      </c>
      <c r="I688" s="3" t="s">
        <v>8</v>
      </c>
      <c r="J688" s="1">
        <v>0</v>
      </c>
      <c r="K688" s="12">
        <v>0</v>
      </c>
      <c r="L688" s="1"/>
      <c r="M688" s="12"/>
      <c r="N688"/>
      <c r="O688"/>
      <c r="P688" s="2" t="str">
        <f>IF(BD_Receitas[[#This Row],[TIPO DE COBRANÇA]]="Operação Normal",
_xlfn.XLOOKUP(BD_Receitas[[#This Row],[ID]],TabCondicoesComerciais[ID],TabCondicoesComerciais[Volume mínimo 
(m3)],0),"")</f>
        <v/>
      </c>
      <c r="Q688" s="2">
        <f>_xlfn.XLOOKUP(BD_Receitas[[#This Row],[ID]],TabCondicoesComerciais[ID],TabCondicoesComerciais[Vol. 1ºGiro],0)</f>
        <v>1040</v>
      </c>
      <c r="R6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688" s="1">
        <f xml:space="preserve"> IF(BD_Receitas[[#This Row],[TIPO DE COBRANÇA]]="Operação Normal",
_xlfn.XLOOKUP(BD_Receitas[[#This Row],[ID]],TabCondicoesComerciais[ID],TabCondicoesComerciais[Tarifa 2º Giro],0),0)</f>
        <v>0</v>
      </c>
      <c r="T6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89" spans="1:24" hidden="1" x14ac:dyDescent="0.35">
      <c r="A689" s="3" t="s">
        <v>169</v>
      </c>
      <c r="B689" s="11">
        <v>45962</v>
      </c>
      <c r="C689" t="s">
        <v>31</v>
      </c>
      <c r="D689" t="s">
        <v>203</v>
      </c>
      <c r="E689" t="s">
        <v>32</v>
      </c>
      <c r="F689" s="10" t="s">
        <v>25</v>
      </c>
      <c r="G689" s="3" t="s">
        <v>12</v>
      </c>
      <c r="H689" s="3" t="s">
        <v>170</v>
      </c>
      <c r="I689" s="3" t="s">
        <v>15</v>
      </c>
      <c r="J689" s="1">
        <v>123240</v>
      </c>
      <c r="K689" s="12">
        <v>4160</v>
      </c>
      <c r="L689" s="1"/>
      <c r="M689" s="12"/>
      <c r="N689"/>
      <c r="O689"/>
      <c r="P689" s="2">
        <f>IF(BD_Receitas[[#This Row],[TIPO DE COBRANÇA]]="Operação Normal",
_xlfn.XLOOKUP(BD_Receitas[[#This Row],[ID]],TabCondicoesComerciais[ID],TabCondicoesComerciais[Volume mínimo 
(m3)],0),"")</f>
        <v>4160</v>
      </c>
      <c r="Q689" s="2">
        <f>_xlfn.XLOOKUP(BD_Receitas[[#This Row],[ID]],TabCondicoesComerciais[ID],TabCondicoesComerciais[Vol. 1ºGiro],0)</f>
        <v>1040</v>
      </c>
      <c r="R6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689" s="1">
        <f xml:space="preserve"> IF(BD_Receitas[[#This Row],[TIPO DE COBRANÇA]]="Operação Normal",
_xlfn.XLOOKUP(BD_Receitas[[#This Row],[ID]],TabCondicoesComerciais[ID],TabCondicoesComerciais[Tarifa 2º Giro],0),0)</f>
        <v>28.44</v>
      </c>
      <c r="T68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68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68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68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6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690" spans="1:24" hidden="1" x14ac:dyDescent="0.35">
      <c r="A690" s="3" t="s">
        <v>169</v>
      </c>
      <c r="B690" s="11">
        <v>45962</v>
      </c>
      <c r="C690" t="s">
        <v>31</v>
      </c>
      <c r="D690" t="s">
        <v>203</v>
      </c>
      <c r="E690" t="s">
        <v>32</v>
      </c>
      <c r="F690" s="10" t="s">
        <v>25</v>
      </c>
      <c r="G690" s="3" t="s">
        <v>12</v>
      </c>
      <c r="H690" s="3" t="s">
        <v>170</v>
      </c>
      <c r="I690" s="3" t="s">
        <v>65</v>
      </c>
      <c r="J690" s="1">
        <v>0</v>
      </c>
      <c r="K690" s="12">
        <v>0</v>
      </c>
      <c r="L690" s="1"/>
      <c r="M690" s="12"/>
      <c r="N690"/>
      <c r="O690"/>
      <c r="P690" s="2" t="str">
        <f>IF(BD_Receitas[[#This Row],[TIPO DE COBRANÇA]]="Operação Normal",
_xlfn.XLOOKUP(BD_Receitas[[#This Row],[ID]],TabCondicoesComerciais[ID],TabCondicoesComerciais[Volume mínimo 
(m3)],0),"")</f>
        <v/>
      </c>
      <c r="Q690" s="2">
        <f>_xlfn.XLOOKUP(BD_Receitas[[#This Row],[ID]],TabCondicoesComerciais[ID],TabCondicoesComerciais[Vol. 1ºGiro],0)</f>
        <v>1040</v>
      </c>
      <c r="R6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0" s="1">
        <f xml:space="preserve"> IF(BD_Receitas[[#This Row],[TIPO DE COBRANÇA]]="Operação Normal",
_xlfn.XLOOKUP(BD_Receitas[[#This Row],[ID]],TabCondicoesComerciais[ID],TabCondicoesComerciais[Tarifa 2º Giro],0),0)</f>
        <v>0</v>
      </c>
      <c r="T6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1" spans="1:24" hidden="1" x14ac:dyDescent="0.35">
      <c r="A691" s="3" t="s">
        <v>134</v>
      </c>
      <c r="B691" s="11">
        <v>45962</v>
      </c>
      <c r="C691" t="s">
        <v>31</v>
      </c>
      <c r="D691" t="s">
        <v>62</v>
      </c>
      <c r="E691" t="s">
        <v>37</v>
      </c>
      <c r="F691" s="10" t="s">
        <v>57</v>
      </c>
      <c r="G691" s="3" t="s">
        <v>58</v>
      </c>
      <c r="H691" s="3" t="s">
        <v>10</v>
      </c>
      <c r="I691" s="3" t="s">
        <v>7</v>
      </c>
      <c r="J691" s="1">
        <v>0</v>
      </c>
      <c r="K691" s="12">
        <v>0</v>
      </c>
      <c r="L691" s="1"/>
      <c r="M691" s="12"/>
      <c r="N691"/>
      <c r="O691"/>
      <c r="P691" s="2" t="str">
        <f>IF(BD_Receitas[[#This Row],[TIPO DE COBRANÇA]]="Operação Normal",
_xlfn.XLOOKUP(BD_Receitas[[#This Row],[ID]],TabCondicoesComerciais[ID],TabCondicoesComerciais[Volume mínimo 
(m3)],0),"")</f>
        <v/>
      </c>
      <c r="Q691" s="2">
        <f>_xlfn.XLOOKUP(BD_Receitas[[#This Row],[ID]],TabCondicoesComerciais[ID],TabCondicoesComerciais[Vol. 1ºGiro],0)</f>
        <v>310</v>
      </c>
      <c r="R6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1" s="1">
        <f xml:space="preserve"> IF(BD_Receitas[[#This Row],[TIPO DE COBRANÇA]]="Operação Normal",
_xlfn.XLOOKUP(BD_Receitas[[#This Row],[ID]],TabCondicoesComerciais[ID],TabCondicoesComerciais[Tarifa 2º Giro],0),0)</f>
        <v>0</v>
      </c>
      <c r="T69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2" spans="1:24" hidden="1" x14ac:dyDescent="0.35">
      <c r="A692" s="3" t="s">
        <v>134</v>
      </c>
      <c r="B692" s="11">
        <v>45962</v>
      </c>
      <c r="C692" t="s">
        <v>31</v>
      </c>
      <c r="D692" t="s">
        <v>62</v>
      </c>
      <c r="E692" t="s">
        <v>37</v>
      </c>
      <c r="F692" s="10" t="s">
        <v>57</v>
      </c>
      <c r="G692" s="3" t="s">
        <v>58</v>
      </c>
      <c r="H692" s="3" t="s">
        <v>10</v>
      </c>
      <c r="I692" s="3" t="s">
        <v>8</v>
      </c>
      <c r="J692" s="1">
        <v>0</v>
      </c>
      <c r="K692" s="12">
        <v>0</v>
      </c>
      <c r="L692" s="1"/>
      <c r="M692" s="12"/>
      <c r="N692"/>
      <c r="O692"/>
      <c r="P692" s="2" t="str">
        <f>IF(BD_Receitas[[#This Row],[TIPO DE COBRANÇA]]="Operação Normal",
_xlfn.XLOOKUP(BD_Receitas[[#This Row],[ID]],TabCondicoesComerciais[ID],TabCondicoesComerciais[Volume mínimo 
(m3)],0),"")</f>
        <v/>
      </c>
      <c r="Q692" s="2">
        <f>_xlfn.XLOOKUP(BD_Receitas[[#This Row],[ID]],TabCondicoesComerciais[ID],TabCondicoesComerciais[Vol. 1ºGiro],0)</f>
        <v>310</v>
      </c>
      <c r="R6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692" s="1">
        <f xml:space="preserve"> IF(BD_Receitas[[#This Row],[TIPO DE COBRANÇA]]="Operação Normal",
_xlfn.XLOOKUP(BD_Receitas[[#This Row],[ID]],TabCondicoesComerciais[ID],TabCondicoesComerciais[Tarifa 2º Giro],0),0)</f>
        <v>0</v>
      </c>
      <c r="T6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3" spans="1:24" hidden="1" x14ac:dyDescent="0.35">
      <c r="A693" s="3" t="s">
        <v>134</v>
      </c>
      <c r="B693" s="11">
        <v>45962</v>
      </c>
      <c r="C693" t="s">
        <v>31</v>
      </c>
      <c r="D693" t="s">
        <v>62</v>
      </c>
      <c r="E693" t="s">
        <v>37</v>
      </c>
      <c r="F693" s="10" t="s">
        <v>57</v>
      </c>
      <c r="G693" s="3" t="s">
        <v>58</v>
      </c>
      <c r="H693" s="3" t="s">
        <v>10</v>
      </c>
      <c r="I693" s="3" t="s">
        <v>15</v>
      </c>
      <c r="J693" s="1">
        <v>35019.49</v>
      </c>
      <c r="K693" s="12">
        <v>1100</v>
      </c>
      <c r="L693" s="1">
        <v>34144</v>
      </c>
      <c r="M693" s="12">
        <v>851.63</v>
      </c>
      <c r="N693"/>
      <c r="O693" t="s">
        <v>267</v>
      </c>
      <c r="P693" s="2">
        <f>IF(BD_Receitas[[#This Row],[TIPO DE COBRANÇA]]="Operação Normal",
_xlfn.XLOOKUP(BD_Receitas[[#This Row],[ID]],TabCondicoesComerciais[ID],TabCondicoesComerciais[Volume mínimo 
(m3)],0),"")</f>
        <v>1100</v>
      </c>
      <c r="Q693" s="2">
        <f>_xlfn.XLOOKUP(BD_Receitas[[#This Row],[ID]],TabCondicoesComerciais[ID],TabCondicoesComerciais[Vol. 1ºGiro],0)</f>
        <v>310</v>
      </c>
      <c r="R6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693" s="1">
        <f xml:space="preserve"> IF(BD_Receitas[[#This Row],[TIPO DE COBRANÇA]]="Operação Normal",
_xlfn.XLOOKUP(BD_Receitas[[#This Row],[ID]],TabCondicoesComerciais[ID],TabCondicoesComerciais[Tarifa 2º Giro],0),0)</f>
        <v>31.04</v>
      </c>
      <c r="T693" s="5">
        <f>IFERROR(IF(BD_Receitas[[#This Row],[TIPO DE COBRANÇA]]&lt;&gt;"Operação Normal","",BD_Receitas[[#This Row],[Valor Total R$]]/ MAX(BD_Receitas[[#This Row],[Vol. Movimentado M³]],
BD_Receitas[[#This Row],[Volume Mínimo ]])
),0)</f>
        <v>31.04</v>
      </c>
      <c r="U69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40.092528445451663</v>
      </c>
      <c r="V69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69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26434.595199999996</v>
      </c>
      <c r="X6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694" spans="1:24" hidden="1" x14ac:dyDescent="0.35">
      <c r="A694" s="3" t="s">
        <v>134</v>
      </c>
      <c r="B694" s="11">
        <v>45962</v>
      </c>
      <c r="C694" t="s">
        <v>31</v>
      </c>
      <c r="D694" t="s">
        <v>62</v>
      </c>
      <c r="E694" t="s">
        <v>37</v>
      </c>
      <c r="F694" s="10" t="s">
        <v>57</v>
      </c>
      <c r="G694" s="3" t="s">
        <v>58</v>
      </c>
      <c r="H694" s="3" t="s">
        <v>10</v>
      </c>
      <c r="I694" s="3" t="s">
        <v>65</v>
      </c>
      <c r="J694" s="1">
        <v>0</v>
      </c>
      <c r="K694" s="12">
        <v>0</v>
      </c>
      <c r="L694" s="1"/>
      <c r="M694" s="12"/>
      <c r="N694"/>
      <c r="O694"/>
      <c r="P694" s="2" t="str">
        <f>IF(BD_Receitas[[#This Row],[TIPO DE COBRANÇA]]="Operação Normal",
_xlfn.XLOOKUP(BD_Receitas[[#This Row],[ID]],TabCondicoesComerciais[ID],TabCondicoesComerciais[Volume mínimo 
(m3)],0),"")</f>
        <v/>
      </c>
      <c r="Q694" s="2">
        <f>_xlfn.XLOOKUP(BD_Receitas[[#This Row],[ID]],TabCondicoesComerciais[ID],TabCondicoesComerciais[Vol. 1ºGiro],0)</f>
        <v>310</v>
      </c>
      <c r="R6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4" s="1">
        <f xml:space="preserve"> IF(BD_Receitas[[#This Row],[TIPO DE COBRANÇA]]="Operação Normal",
_xlfn.XLOOKUP(BD_Receitas[[#This Row],[ID]],TabCondicoesComerciais[ID],TabCondicoesComerciais[Tarifa 2º Giro],0),0)</f>
        <v>0</v>
      </c>
      <c r="T6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5" spans="1:24" hidden="1" x14ac:dyDescent="0.35">
      <c r="A695" s="3" t="s">
        <v>173</v>
      </c>
      <c r="B695" s="11">
        <v>45962</v>
      </c>
      <c r="C695" t="s">
        <v>31</v>
      </c>
      <c r="D695" t="s">
        <v>62</v>
      </c>
      <c r="E695" t="s">
        <v>37</v>
      </c>
      <c r="F695" s="10" t="s">
        <v>57</v>
      </c>
      <c r="G695" s="3" t="s">
        <v>58</v>
      </c>
      <c r="H695" s="3" t="s">
        <v>6</v>
      </c>
      <c r="I695" s="3" t="s">
        <v>7</v>
      </c>
      <c r="J695" s="1">
        <v>0</v>
      </c>
      <c r="K695" s="12">
        <v>0</v>
      </c>
      <c r="L695" s="1"/>
      <c r="M695" s="12"/>
      <c r="N695"/>
      <c r="O695"/>
      <c r="P695" s="2" t="str">
        <f>IF(BD_Receitas[[#This Row],[TIPO DE COBRANÇA]]="Operação Normal",
_xlfn.XLOOKUP(BD_Receitas[[#This Row],[ID]],TabCondicoesComerciais[ID],TabCondicoesComerciais[Volume mínimo 
(m3)],0),"")</f>
        <v/>
      </c>
      <c r="Q695" s="2">
        <f>_xlfn.XLOOKUP(BD_Receitas[[#This Row],[ID]],TabCondicoesComerciais[ID],TabCondicoesComerciais[Vol. 1ºGiro],0)</f>
        <v>1070</v>
      </c>
      <c r="R6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5" s="1">
        <f xml:space="preserve"> IF(BD_Receitas[[#This Row],[TIPO DE COBRANÇA]]="Operação Normal",
_xlfn.XLOOKUP(BD_Receitas[[#This Row],[ID]],TabCondicoesComerciais[ID],TabCondicoesComerciais[Tarifa 2º Giro],0),0)</f>
        <v>0</v>
      </c>
      <c r="T69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6" spans="1:24" hidden="1" x14ac:dyDescent="0.35">
      <c r="A696" s="3" t="s">
        <v>173</v>
      </c>
      <c r="B696" s="11">
        <v>45962</v>
      </c>
      <c r="C696" t="s">
        <v>31</v>
      </c>
      <c r="D696" t="s">
        <v>62</v>
      </c>
      <c r="E696" t="s">
        <v>37</v>
      </c>
      <c r="F696" s="10" t="s">
        <v>57</v>
      </c>
      <c r="G696" s="3" t="s">
        <v>58</v>
      </c>
      <c r="H696" s="3" t="s">
        <v>6</v>
      </c>
      <c r="I696" s="3" t="s">
        <v>8</v>
      </c>
      <c r="J696" s="1">
        <v>0</v>
      </c>
      <c r="K696" s="12">
        <v>0</v>
      </c>
      <c r="L696" s="1"/>
      <c r="M696" s="12"/>
      <c r="N696"/>
      <c r="O696"/>
      <c r="P696" s="2" t="str">
        <f>IF(BD_Receitas[[#This Row],[TIPO DE COBRANÇA]]="Operação Normal",
_xlfn.XLOOKUP(BD_Receitas[[#This Row],[ID]],TabCondicoesComerciais[ID],TabCondicoesComerciais[Volume mínimo 
(m3)],0),"")</f>
        <v/>
      </c>
      <c r="Q696" s="2">
        <f>_xlfn.XLOOKUP(BD_Receitas[[#This Row],[ID]],TabCondicoesComerciais[ID],TabCondicoesComerciais[Vol. 1ºGiro],0)</f>
        <v>1070</v>
      </c>
      <c r="R6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6" s="1">
        <f xml:space="preserve"> IF(BD_Receitas[[#This Row],[TIPO DE COBRANÇA]]="Operação Normal",
_xlfn.XLOOKUP(BD_Receitas[[#This Row],[ID]],TabCondicoesComerciais[ID],TabCondicoesComerciais[Tarifa 2º Giro],0),0)</f>
        <v>0</v>
      </c>
      <c r="T6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7" spans="1:24" hidden="1" x14ac:dyDescent="0.35">
      <c r="A697" s="3" t="s">
        <v>173</v>
      </c>
      <c r="B697" s="11">
        <v>45962</v>
      </c>
      <c r="C697" t="s">
        <v>31</v>
      </c>
      <c r="D697" t="s">
        <v>62</v>
      </c>
      <c r="E697" t="s">
        <v>37</v>
      </c>
      <c r="F697" s="10" t="s">
        <v>57</v>
      </c>
      <c r="G697" s="3" t="s">
        <v>58</v>
      </c>
      <c r="H697" s="3" t="s">
        <v>6</v>
      </c>
      <c r="I697" s="3" t="s">
        <v>15</v>
      </c>
      <c r="J697" s="1">
        <v>82153.039999999994</v>
      </c>
      <c r="K697" s="12">
        <v>3300</v>
      </c>
      <c r="L697" s="1">
        <v>91740.61</v>
      </c>
      <c r="M697" s="12">
        <v>3917.1909999999998</v>
      </c>
      <c r="N697"/>
      <c r="O697"/>
      <c r="P697" s="2">
        <f>IF(BD_Receitas[[#This Row],[TIPO DE COBRANÇA]]="Operação Normal",
_xlfn.XLOOKUP(BD_Receitas[[#This Row],[ID]],TabCondicoesComerciais[ID],TabCondicoesComerciais[Volume mínimo 
(m3)],0),"")</f>
        <v>3300</v>
      </c>
      <c r="Q697" s="2">
        <f>_xlfn.XLOOKUP(BD_Receitas[[#This Row],[ID]],TabCondicoesComerciais[ID],TabCondicoesComerciais[Vol. 1ºGiro],0)</f>
        <v>1070</v>
      </c>
      <c r="R6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697" s="1">
        <f xml:space="preserve"> IF(BD_Receitas[[#This Row],[TIPO DE COBRANÇA]]="Operação Normal",
_xlfn.XLOOKUP(BD_Receitas[[#This Row],[ID]],TabCondicoesComerciais[ID],TabCondicoesComerciais[Tarifa 2º Giro],0),0)</f>
        <v>23.42</v>
      </c>
      <c r="T697" s="5">
        <f>IFERROR(IF(BD_Receitas[[#This Row],[TIPO DE COBRANÇA]]&lt;&gt;"Operação Normal","",BD_Receitas[[#This Row],[Valor Total R$]]/ MAX(BD_Receitas[[#This Row],[Vol. Movimentado M³]],
BD_Receitas[[#This Row],[Volume Mínimo ]])
),0)</f>
        <v>23.419999177982387</v>
      </c>
      <c r="U69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23.419999177982387</v>
      </c>
      <c r="V69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69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91740.613219999999</v>
      </c>
      <c r="X6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698" spans="1:24" hidden="1" x14ac:dyDescent="0.35">
      <c r="A698" s="3" t="s">
        <v>173</v>
      </c>
      <c r="B698" s="11">
        <v>45962</v>
      </c>
      <c r="C698" t="s">
        <v>31</v>
      </c>
      <c r="D698" t="s">
        <v>62</v>
      </c>
      <c r="E698" t="s">
        <v>37</v>
      </c>
      <c r="F698" s="10" t="s">
        <v>57</v>
      </c>
      <c r="G698" s="3" t="s">
        <v>58</v>
      </c>
      <c r="H698" s="3" t="s">
        <v>6</v>
      </c>
      <c r="I698" s="3" t="s">
        <v>65</v>
      </c>
      <c r="J698" s="1">
        <v>0</v>
      </c>
      <c r="K698" s="12">
        <v>0</v>
      </c>
      <c r="L698" s="1"/>
      <c r="M698" s="12"/>
      <c r="N698"/>
      <c r="O698"/>
      <c r="P698" s="2" t="str">
        <f>IF(BD_Receitas[[#This Row],[TIPO DE COBRANÇA]]="Operação Normal",
_xlfn.XLOOKUP(BD_Receitas[[#This Row],[ID]],TabCondicoesComerciais[ID],TabCondicoesComerciais[Volume mínimo 
(m3)],0),"")</f>
        <v/>
      </c>
      <c r="Q698" s="2">
        <f>_xlfn.XLOOKUP(BD_Receitas[[#This Row],[ID]],TabCondicoesComerciais[ID],TabCondicoesComerciais[Vol. 1ºGiro],0)</f>
        <v>1070</v>
      </c>
      <c r="R6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8" s="1">
        <f xml:space="preserve"> IF(BD_Receitas[[#This Row],[TIPO DE COBRANÇA]]="Operação Normal",
_xlfn.XLOOKUP(BD_Receitas[[#This Row],[ID]],TabCondicoesComerciais[ID],TabCondicoesComerciais[Tarifa 2º Giro],0),0)</f>
        <v>0</v>
      </c>
      <c r="T6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699" spans="1:24" hidden="1" x14ac:dyDescent="0.35">
      <c r="A699" s="3" t="s">
        <v>184</v>
      </c>
      <c r="B699" s="11">
        <v>45962</v>
      </c>
      <c r="C699" t="s">
        <v>31</v>
      </c>
      <c r="D699" t="s">
        <v>203</v>
      </c>
      <c r="E699" t="s">
        <v>34</v>
      </c>
      <c r="F699" s="10" t="s">
        <v>26</v>
      </c>
      <c r="G699" s="3" t="s">
        <v>19</v>
      </c>
      <c r="H699" s="3" t="s">
        <v>13</v>
      </c>
      <c r="I699" s="3" t="s">
        <v>7</v>
      </c>
      <c r="J699" s="1">
        <v>0</v>
      </c>
      <c r="K699" s="12">
        <v>0</v>
      </c>
      <c r="L699" s="1"/>
      <c r="M699" s="12"/>
      <c r="N699"/>
      <c r="O699"/>
      <c r="P699" s="2" t="str">
        <f>IF(BD_Receitas[[#This Row],[TIPO DE COBRANÇA]]="Operação Normal",
_xlfn.XLOOKUP(BD_Receitas[[#This Row],[ID]],TabCondicoesComerciais[ID],TabCondicoesComerciais[Volume mínimo 
(m3)],0),"")</f>
        <v/>
      </c>
      <c r="Q699" s="2">
        <f>_xlfn.XLOOKUP(BD_Receitas[[#This Row],[ID]],TabCondicoesComerciais[ID],TabCondicoesComerciais[Vol. 1ºGiro],0)</f>
        <v>340</v>
      </c>
      <c r="R6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699" s="1">
        <f xml:space="preserve"> IF(BD_Receitas[[#This Row],[TIPO DE COBRANÇA]]="Operação Normal",
_xlfn.XLOOKUP(BD_Receitas[[#This Row],[ID]],TabCondicoesComerciais[ID],TabCondicoesComerciais[Tarifa 2º Giro],0),0)</f>
        <v>0</v>
      </c>
      <c r="T69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69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69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69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6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0" spans="1:24" hidden="1" x14ac:dyDescent="0.35">
      <c r="A700" s="3" t="s">
        <v>184</v>
      </c>
      <c r="B700" s="11">
        <v>45962</v>
      </c>
      <c r="C700" t="s">
        <v>31</v>
      </c>
      <c r="D700" t="s">
        <v>203</v>
      </c>
      <c r="E700" t="s">
        <v>34</v>
      </c>
      <c r="F700" s="10" t="s">
        <v>26</v>
      </c>
      <c r="G700" s="3" t="s">
        <v>19</v>
      </c>
      <c r="H700" s="3" t="s">
        <v>13</v>
      </c>
      <c r="I700" s="3" t="s">
        <v>8</v>
      </c>
      <c r="J700" s="1">
        <v>0</v>
      </c>
      <c r="K700" s="12">
        <v>0</v>
      </c>
      <c r="L700" s="1"/>
      <c r="M700" s="12"/>
      <c r="N700"/>
      <c r="O700"/>
      <c r="P700" s="2" t="str">
        <f>IF(BD_Receitas[[#This Row],[TIPO DE COBRANÇA]]="Operação Normal",
_xlfn.XLOOKUP(BD_Receitas[[#This Row],[ID]],TabCondicoesComerciais[ID],TabCondicoesComerciais[Volume mínimo 
(m3)],0),"")</f>
        <v/>
      </c>
      <c r="Q700" s="2">
        <f>_xlfn.XLOOKUP(BD_Receitas[[#This Row],[ID]],TabCondicoesComerciais[ID],TabCondicoesComerciais[Vol. 1ºGiro],0)</f>
        <v>340</v>
      </c>
      <c r="R7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700" s="1">
        <f xml:space="preserve"> IF(BD_Receitas[[#This Row],[TIPO DE COBRANÇA]]="Operação Normal",
_xlfn.XLOOKUP(BD_Receitas[[#This Row],[ID]],TabCondicoesComerciais[ID],TabCondicoesComerciais[Tarifa 2º Giro],0),0)</f>
        <v>0</v>
      </c>
      <c r="T7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1" spans="1:24" hidden="1" x14ac:dyDescent="0.35">
      <c r="A701" s="3" t="s">
        <v>184</v>
      </c>
      <c r="B701" s="11">
        <v>45962</v>
      </c>
      <c r="C701" t="s">
        <v>31</v>
      </c>
      <c r="D701" t="s">
        <v>203</v>
      </c>
      <c r="E701" t="s">
        <v>34</v>
      </c>
      <c r="F701" s="10" t="s">
        <v>26</v>
      </c>
      <c r="G701" s="3" t="s">
        <v>19</v>
      </c>
      <c r="H701" s="3" t="s">
        <v>13</v>
      </c>
      <c r="I701" s="3" t="s">
        <v>15</v>
      </c>
      <c r="J701" s="1">
        <v>15310.52</v>
      </c>
      <c r="K701" s="12">
        <v>510</v>
      </c>
      <c r="L701" s="1">
        <v>14280</v>
      </c>
      <c r="M701" s="12">
        <v>662.44799999999998</v>
      </c>
      <c r="N701" t="s">
        <v>265</v>
      </c>
      <c r="O701" t="s">
        <v>266</v>
      </c>
      <c r="P701" s="2">
        <f>IF(BD_Receitas[[#This Row],[TIPO DE COBRANÇA]]="Operação Normal",
_xlfn.XLOOKUP(BD_Receitas[[#This Row],[ID]],TabCondicoesComerciais[ID],TabCondicoesComerciais[Volume mínimo 
(m3)],0),"")</f>
        <v>1020</v>
      </c>
      <c r="Q701" s="2">
        <f>_xlfn.XLOOKUP(BD_Receitas[[#This Row],[ID]],TabCondicoesComerciais[ID],TabCondicoesComerciais[Vol. 1ºGiro],0)</f>
        <v>340</v>
      </c>
      <c r="R7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01" s="1">
        <f xml:space="preserve"> IF(BD_Receitas[[#This Row],[TIPO DE COBRANÇA]]="Operação Normal",
_xlfn.XLOOKUP(BD_Receitas[[#This Row],[ID]],TabCondicoesComerciais[ID],TabCondicoesComerciais[Tarifa 2º Giro],0),0)</f>
        <v>28</v>
      </c>
      <c r="T701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70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21.556408955872765</v>
      </c>
      <c r="V70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70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18548.544000000002</v>
      </c>
      <c r="X7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02" spans="1:24" hidden="1" x14ac:dyDescent="0.35">
      <c r="A702" s="3" t="s">
        <v>184</v>
      </c>
      <c r="B702" s="11">
        <v>45962</v>
      </c>
      <c r="C702" t="s">
        <v>31</v>
      </c>
      <c r="D702" t="s">
        <v>203</v>
      </c>
      <c r="E702" t="s">
        <v>34</v>
      </c>
      <c r="F702" s="10" t="s">
        <v>26</v>
      </c>
      <c r="G702" s="3" t="s">
        <v>19</v>
      </c>
      <c r="H702" s="3" t="s">
        <v>13</v>
      </c>
      <c r="I702" s="3" t="s">
        <v>65</v>
      </c>
      <c r="J702" s="1">
        <v>0</v>
      </c>
      <c r="K702" s="12">
        <v>0</v>
      </c>
      <c r="L702" s="1"/>
      <c r="M702" s="12"/>
      <c r="N702"/>
      <c r="O702"/>
      <c r="P702" s="2" t="str">
        <f>IF(BD_Receitas[[#This Row],[TIPO DE COBRANÇA]]="Operação Normal",
_xlfn.XLOOKUP(BD_Receitas[[#This Row],[ID]],TabCondicoesComerciais[ID],TabCondicoesComerciais[Volume mínimo 
(m3)],0),"")</f>
        <v/>
      </c>
      <c r="Q702" s="2">
        <f>_xlfn.XLOOKUP(BD_Receitas[[#This Row],[ID]],TabCondicoesComerciais[ID],TabCondicoesComerciais[Vol. 1ºGiro],0)</f>
        <v>340</v>
      </c>
      <c r="R7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02" s="1">
        <f xml:space="preserve"> IF(BD_Receitas[[#This Row],[TIPO DE COBRANÇA]]="Operação Normal",
_xlfn.XLOOKUP(BD_Receitas[[#This Row],[ID]],TabCondicoesComerciais[ID],TabCondicoesComerciais[Tarifa 2º Giro],0),0)</f>
        <v>0</v>
      </c>
      <c r="T7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3" spans="1:24" hidden="1" x14ac:dyDescent="0.35">
      <c r="A703" s="3" t="s">
        <v>274</v>
      </c>
      <c r="B703" s="11">
        <v>45992</v>
      </c>
      <c r="C703" t="s">
        <v>31</v>
      </c>
      <c r="D703" t="s">
        <v>202</v>
      </c>
      <c r="E703" t="s">
        <v>36</v>
      </c>
      <c r="F703" s="10" t="s">
        <v>48</v>
      </c>
      <c r="G703" s="3" t="s">
        <v>49</v>
      </c>
      <c r="H703" s="3" t="s">
        <v>52</v>
      </c>
      <c r="I703" s="3" t="s">
        <v>7</v>
      </c>
      <c r="J703" s="1">
        <v>0</v>
      </c>
      <c r="K703" s="12">
        <v>0</v>
      </c>
      <c r="L703" s="1"/>
      <c r="M703" s="12"/>
      <c r="N703"/>
      <c r="O703"/>
      <c r="P703" s="2" t="str">
        <f>IF(BD_Receitas[[#This Row],[TIPO DE COBRANÇA]]="Operação Normal",
_xlfn.XLOOKUP(BD_Receitas[[#This Row],[ID]],TabCondicoesComerciais[ID],TabCondicoesComerciais[Volume mínimo 
(m3)],0),"")</f>
        <v/>
      </c>
      <c r="Q703" s="2">
        <f>_xlfn.XLOOKUP(BD_Receitas[[#This Row],[ID]],TabCondicoesComerciais[ID],TabCondicoesComerciais[Vol. 1ºGiro],0)</f>
        <v>360</v>
      </c>
      <c r="R7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703" s="1">
        <f xml:space="preserve"> IF(BD_Receitas[[#This Row],[TIPO DE COBRANÇA]]="Operação Normal",
_xlfn.XLOOKUP(BD_Receitas[[#This Row],[ID]],TabCondicoesComerciais[ID],TabCondicoesComerciais[Tarifa 2º Giro],0),0)</f>
        <v>0</v>
      </c>
      <c r="T70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4" spans="1:24" hidden="1" x14ac:dyDescent="0.35">
      <c r="A704" s="3" t="s">
        <v>274</v>
      </c>
      <c r="B704" s="11">
        <v>45992</v>
      </c>
      <c r="C704" t="s">
        <v>31</v>
      </c>
      <c r="D704" t="s">
        <v>202</v>
      </c>
      <c r="E704" t="s">
        <v>36</v>
      </c>
      <c r="F704" s="10" t="s">
        <v>48</v>
      </c>
      <c r="G704" s="3" t="s">
        <v>49</v>
      </c>
      <c r="H704" s="3" t="s">
        <v>52</v>
      </c>
      <c r="I704" s="3" t="s">
        <v>8</v>
      </c>
      <c r="J704" s="1">
        <v>0</v>
      </c>
      <c r="K704" s="12">
        <v>0</v>
      </c>
      <c r="L704" s="1"/>
      <c r="M704" s="12"/>
      <c r="N704"/>
      <c r="O704"/>
      <c r="P704" s="2" t="str">
        <f>IF(BD_Receitas[[#This Row],[TIPO DE COBRANÇA]]="Operação Normal",
_xlfn.XLOOKUP(BD_Receitas[[#This Row],[ID]],TabCondicoesComerciais[ID],TabCondicoesComerciais[Volume mínimo 
(m3)],0),"")</f>
        <v/>
      </c>
      <c r="Q704" s="2">
        <f>_xlfn.XLOOKUP(BD_Receitas[[#This Row],[ID]],TabCondicoesComerciais[ID],TabCondicoesComerciais[Vol. 1ºGiro],0)</f>
        <v>360</v>
      </c>
      <c r="R7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704" s="1">
        <f xml:space="preserve"> IF(BD_Receitas[[#This Row],[TIPO DE COBRANÇA]]="Operação Normal",
_xlfn.XLOOKUP(BD_Receitas[[#This Row],[ID]],TabCondicoesComerciais[ID],TabCondicoesComerciais[Tarifa 2º Giro],0),0)</f>
        <v>0</v>
      </c>
      <c r="T7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5" spans="1:24" hidden="1" x14ac:dyDescent="0.35">
      <c r="A705" s="3" t="s">
        <v>274</v>
      </c>
      <c r="B705" s="11">
        <v>45992</v>
      </c>
      <c r="C705" t="s">
        <v>31</v>
      </c>
      <c r="D705" t="s">
        <v>202</v>
      </c>
      <c r="E705" t="s">
        <v>36</v>
      </c>
      <c r="F705" s="10" t="s">
        <v>48</v>
      </c>
      <c r="G705" s="3" t="s">
        <v>49</v>
      </c>
      <c r="H705" s="3" t="s">
        <v>52</v>
      </c>
      <c r="I705" s="3" t="s">
        <v>15</v>
      </c>
      <c r="J705" s="1">
        <v>93380.944900000002</v>
      </c>
      <c r="K705" s="12">
        <v>2040</v>
      </c>
      <c r="L705" s="1">
        <v>93135.97</v>
      </c>
      <c r="M705" s="12">
        <v>912.17499999999995</v>
      </c>
      <c r="N705"/>
      <c r="O705"/>
      <c r="P705" s="2">
        <f>IF(BD_Receitas[[#This Row],[TIPO DE COBRANÇA]]="Operação Normal",
_xlfn.XLOOKUP(BD_Receitas[[#This Row],[ID]],TabCondicoesComerciais[ID],TabCondicoesComerciais[Volume mínimo 
(m3)],0),"")</f>
        <v>2040</v>
      </c>
      <c r="Q705" s="2">
        <f>_xlfn.XLOOKUP(BD_Receitas[[#This Row],[ID]],TabCondicoesComerciais[ID],TabCondicoesComerciais[Vol. 1ºGiro],0)</f>
        <v>360</v>
      </c>
      <c r="R7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705" s="1">
        <f xml:space="preserve"> IF(BD_Receitas[[#This Row],[TIPO DE COBRANÇA]]="Operação Normal",
_xlfn.XLOOKUP(BD_Receitas[[#This Row],[ID]],TabCondicoesComerciais[ID],TabCondicoesComerciais[Tarifa 2º Giro],0),0)</f>
        <v>43.92</v>
      </c>
      <c r="T705" s="5">
        <f>IFERROR(IF(BD_Receitas[[#This Row],[TIPO DE COBRANÇA]]&lt;&gt;"Operação Normal","",BD_Receitas[[#This Row],[Valor Total R$]]/ MAX(BD_Receitas[[#This Row],[Vol. Movimentado M³]],
BD_Receitas[[#This Row],[Volume Mínimo ]])
),0)</f>
        <v>45.654887254901965</v>
      </c>
      <c r="U70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102.10318195521694</v>
      </c>
      <c r="V70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70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40062.725999999995</v>
      </c>
      <c r="X7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06" spans="1:24" hidden="1" x14ac:dyDescent="0.35">
      <c r="A706" s="3" t="s">
        <v>274</v>
      </c>
      <c r="B706" s="11">
        <v>45992</v>
      </c>
      <c r="C706" t="s">
        <v>31</v>
      </c>
      <c r="D706" t="s">
        <v>202</v>
      </c>
      <c r="E706" t="s">
        <v>36</v>
      </c>
      <c r="F706" s="10" t="s">
        <v>48</v>
      </c>
      <c r="G706" s="3" t="s">
        <v>49</v>
      </c>
      <c r="H706" s="3" t="s">
        <v>52</v>
      </c>
      <c r="I706" s="3" t="s">
        <v>65</v>
      </c>
      <c r="J706" s="1">
        <v>0</v>
      </c>
      <c r="K706" s="12">
        <v>0</v>
      </c>
      <c r="L706" s="1"/>
      <c r="M706" s="12"/>
      <c r="N706"/>
      <c r="O706"/>
      <c r="P706" s="2" t="str">
        <f>IF(BD_Receitas[[#This Row],[TIPO DE COBRANÇA]]="Operação Normal",
_xlfn.XLOOKUP(BD_Receitas[[#This Row],[ID]],TabCondicoesComerciais[ID],TabCondicoesComerciais[Volume mínimo 
(m3)],0),"")</f>
        <v/>
      </c>
      <c r="Q706" s="2">
        <f>_xlfn.XLOOKUP(BD_Receitas[[#This Row],[ID]],TabCondicoesComerciais[ID],TabCondicoesComerciais[Vol. 1ºGiro],0)</f>
        <v>360</v>
      </c>
      <c r="R7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06" s="1">
        <f xml:space="preserve"> IF(BD_Receitas[[#This Row],[TIPO DE COBRANÇA]]="Operação Normal",
_xlfn.XLOOKUP(BD_Receitas[[#This Row],[ID]],TabCondicoesComerciais[ID],TabCondicoesComerciais[Tarifa 2º Giro],0),0)</f>
        <v>0</v>
      </c>
      <c r="T7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7" spans="1:24" hidden="1" x14ac:dyDescent="0.35">
      <c r="A707" s="3" t="s">
        <v>275</v>
      </c>
      <c r="B707" s="11">
        <v>45992</v>
      </c>
      <c r="C707" t="s">
        <v>31</v>
      </c>
      <c r="D707" t="s">
        <v>202</v>
      </c>
      <c r="E707" t="s">
        <v>36</v>
      </c>
      <c r="F707" s="10" t="s">
        <v>48</v>
      </c>
      <c r="G707" s="3" t="s">
        <v>49</v>
      </c>
      <c r="H707" s="3" t="s">
        <v>14</v>
      </c>
      <c r="I707" s="3" t="s">
        <v>7</v>
      </c>
      <c r="J707" s="1">
        <v>0</v>
      </c>
      <c r="K707" s="12">
        <v>0</v>
      </c>
      <c r="L707" s="1"/>
      <c r="M707" s="12"/>
      <c r="N707"/>
      <c r="O707"/>
      <c r="P707" s="2" t="str">
        <f>IF(BD_Receitas[[#This Row],[TIPO DE COBRANÇA]]="Operação Normal",
_xlfn.XLOOKUP(BD_Receitas[[#This Row],[ID]],TabCondicoesComerciais[ID],TabCondicoesComerciais[Volume mínimo 
(m3)],0),"")</f>
        <v/>
      </c>
      <c r="Q707" s="2">
        <f>_xlfn.XLOOKUP(BD_Receitas[[#This Row],[ID]],TabCondicoesComerciais[ID],TabCondicoesComerciais[Vol. 1ºGiro],0)</f>
        <v>365</v>
      </c>
      <c r="R7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07" s="1">
        <f xml:space="preserve"> IF(BD_Receitas[[#This Row],[TIPO DE COBRANÇA]]="Operação Normal",
_xlfn.XLOOKUP(BD_Receitas[[#This Row],[ID]],TabCondicoesComerciais[ID],TabCondicoesComerciais[Tarifa 2º Giro],0),0)</f>
        <v>0</v>
      </c>
      <c r="T70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8" spans="1:24" hidden="1" x14ac:dyDescent="0.35">
      <c r="A708" s="3" t="s">
        <v>275</v>
      </c>
      <c r="B708" s="11">
        <v>45992</v>
      </c>
      <c r="C708" t="s">
        <v>31</v>
      </c>
      <c r="D708" t="s">
        <v>202</v>
      </c>
      <c r="E708" t="s">
        <v>36</v>
      </c>
      <c r="F708" s="10" t="s">
        <v>48</v>
      </c>
      <c r="G708" s="3" t="s">
        <v>49</v>
      </c>
      <c r="H708" s="3" t="s">
        <v>14</v>
      </c>
      <c r="I708" s="3" t="s">
        <v>8</v>
      </c>
      <c r="J708" s="1">
        <v>0</v>
      </c>
      <c r="K708" s="12">
        <v>0</v>
      </c>
      <c r="L708" s="1"/>
      <c r="M708" s="12"/>
      <c r="N708"/>
      <c r="O708"/>
      <c r="P708" s="2" t="str">
        <f>IF(BD_Receitas[[#This Row],[TIPO DE COBRANÇA]]="Operação Normal",
_xlfn.XLOOKUP(BD_Receitas[[#This Row],[ID]],TabCondicoesComerciais[ID],TabCondicoesComerciais[Volume mínimo 
(m3)],0),"")</f>
        <v/>
      </c>
      <c r="Q708" s="2">
        <f>_xlfn.XLOOKUP(BD_Receitas[[#This Row],[ID]],TabCondicoesComerciais[ID],TabCondicoesComerciais[Vol. 1ºGiro],0)</f>
        <v>365</v>
      </c>
      <c r="R7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08" s="1">
        <f xml:space="preserve"> IF(BD_Receitas[[#This Row],[TIPO DE COBRANÇA]]="Operação Normal",
_xlfn.XLOOKUP(BD_Receitas[[#This Row],[ID]],TabCondicoesComerciais[ID],TabCondicoesComerciais[Tarifa 2º Giro],0),0)</f>
        <v>0</v>
      </c>
      <c r="T7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09" spans="1:24" hidden="1" x14ac:dyDescent="0.35">
      <c r="A709" s="3" t="s">
        <v>275</v>
      </c>
      <c r="B709" s="11">
        <v>45992</v>
      </c>
      <c r="C709" t="s">
        <v>31</v>
      </c>
      <c r="D709" t="s">
        <v>202</v>
      </c>
      <c r="E709" t="s">
        <v>36</v>
      </c>
      <c r="F709" s="10" t="s">
        <v>48</v>
      </c>
      <c r="G709" s="3" t="s">
        <v>49</v>
      </c>
      <c r="H709" s="3" t="s">
        <v>14</v>
      </c>
      <c r="I709" s="3" t="s">
        <v>15</v>
      </c>
      <c r="J709" s="1">
        <v>18715.400000000001</v>
      </c>
      <c r="K709" s="12">
        <v>936</v>
      </c>
      <c r="L709" s="1">
        <v>18418.38</v>
      </c>
      <c r="M709" s="12">
        <v>823.54499999999996</v>
      </c>
      <c r="N709"/>
      <c r="O709"/>
      <c r="P709" s="2">
        <f>IF(BD_Receitas[[#This Row],[TIPO DE COBRANÇA]]="Operação Normal",
_xlfn.XLOOKUP(BD_Receitas[[#This Row],[ID]],TabCondicoesComerciais[ID],TabCondicoesComerciais[Volume mínimo 
(m3)],0),"")</f>
        <v>936</v>
      </c>
      <c r="Q709" s="2">
        <f>_xlfn.XLOOKUP(BD_Receitas[[#This Row],[ID]],TabCondicoesComerciais[ID],TabCondicoesComerciais[Vol. 1ºGiro],0)</f>
        <v>365</v>
      </c>
      <c r="R7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709" s="1">
        <f xml:space="preserve"> IF(BD_Receitas[[#This Row],[TIPO DE COBRANÇA]]="Operação Normal",
_xlfn.XLOOKUP(BD_Receitas[[#This Row],[ID]],TabCondicoesComerciais[ID],TabCondicoesComerciais[Tarifa 2º Giro],0),0)</f>
        <v>18.93</v>
      </c>
      <c r="T709" s="5">
        <f>IFERROR(IF(BD_Receitas[[#This Row],[TIPO DE COBRANÇA]]&lt;&gt;"Operação Normal","",BD_Receitas[[#This Row],[Valor Total R$]]/ MAX(BD_Receitas[[#This Row],[Vol. Movimentado M³]],
BD_Receitas[[#This Row],[Volume Mínimo ]])
),0)</f>
        <v>19.677756410256411</v>
      </c>
      <c r="U70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22.364752381472783</v>
      </c>
      <c r="V70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70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15589.706849999999</v>
      </c>
      <c r="X7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10" spans="1:24" hidden="1" x14ac:dyDescent="0.35">
      <c r="A710" s="3" t="s">
        <v>275</v>
      </c>
      <c r="B710" s="11">
        <v>45992</v>
      </c>
      <c r="C710" t="s">
        <v>31</v>
      </c>
      <c r="D710" t="s">
        <v>202</v>
      </c>
      <c r="E710" t="s">
        <v>36</v>
      </c>
      <c r="F710" s="10" t="s">
        <v>48</v>
      </c>
      <c r="G710" s="3" t="s">
        <v>49</v>
      </c>
      <c r="H710" s="3" t="s">
        <v>14</v>
      </c>
      <c r="I710" s="3" t="s">
        <v>65</v>
      </c>
      <c r="J710" s="1">
        <v>0</v>
      </c>
      <c r="K710" s="12">
        <v>0</v>
      </c>
      <c r="L710" s="1"/>
      <c r="M710" s="12"/>
      <c r="N710"/>
      <c r="O710"/>
      <c r="P710" s="2" t="str">
        <f>IF(BD_Receitas[[#This Row],[TIPO DE COBRANÇA]]="Operação Normal",
_xlfn.XLOOKUP(BD_Receitas[[#This Row],[ID]],TabCondicoesComerciais[ID],TabCondicoesComerciais[Volume mínimo 
(m3)],0),"")</f>
        <v/>
      </c>
      <c r="Q710" s="2">
        <f>_xlfn.XLOOKUP(BD_Receitas[[#This Row],[ID]],TabCondicoesComerciais[ID],TabCondicoesComerciais[Vol. 1ºGiro],0)</f>
        <v>365</v>
      </c>
      <c r="R7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0" s="1">
        <f xml:space="preserve"> IF(BD_Receitas[[#This Row],[TIPO DE COBRANÇA]]="Operação Normal",
_xlfn.XLOOKUP(BD_Receitas[[#This Row],[ID]],TabCondicoesComerciais[ID],TabCondicoesComerciais[Tarifa 2º Giro],0),0)</f>
        <v>0</v>
      </c>
      <c r="T7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1" spans="1:24" hidden="1" x14ac:dyDescent="0.35">
      <c r="A711" s="3" t="s">
        <v>25</v>
      </c>
      <c r="B711" s="11">
        <v>45992</v>
      </c>
      <c r="C711" t="s">
        <v>31</v>
      </c>
      <c r="D711" t="s">
        <v>202</v>
      </c>
      <c r="E711" t="s">
        <v>36</v>
      </c>
      <c r="F711" s="10" t="s">
        <v>48</v>
      </c>
      <c r="G711" s="3" t="s">
        <v>49</v>
      </c>
      <c r="H711" s="3" t="s">
        <v>116</v>
      </c>
      <c r="I711" s="3" t="s">
        <v>7</v>
      </c>
      <c r="J711" s="1">
        <v>0</v>
      </c>
      <c r="K711" s="12">
        <v>0</v>
      </c>
      <c r="L711" s="1"/>
      <c r="M711" s="12"/>
      <c r="N711"/>
      <c r="O711"/>
      <c r="P711" s="2" t="str">
        <f>IF(BD_Receitas[[#This Row],[TIPO DE COBRANÇA]]="Operação Normal",
_xlfn.XLOOKUP(BD_Receitas[[#This Row],[ID]],TabCondicoesComerciais[ID],TabCondicoesComerciais[Volume mínimo 
(m3)],0),"")</f>
        <v/>
      </c>
      <c r="Q711" s="2">
        <f>_xlfn.XLOOKUP(BD_Receitas[[#This Row],[ID]],TabCondicoesComerciais[ID],TabCondicoesComerciais[Vol. 1ºGiro],0)</f>
        <v>100</v>
      </c>
      <c r="R7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1" s="1">
        <f xml:space="preserve"> IF(BD_Receitas[[#This Row],[TIPO DE COBRANÇA]]="Operação Normal",
_xlfn.XLOOKUP(BD_Receitas[[#This Row],[ID]],TabCondicoesComerciais[ID],TabCondicoesComerciais[Tarifa 2º Giro],0),0)</f>
        <v>0</v>
      </c>
      <c r="T7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2" spans="1:24" hidden="1" x14ac:dyDescent="0.35">
      <c r="A712" s="3" t="s">
        <v>25</v>
      </c>
      <c r="B712" s="11">
        <v>45992</v>
      </c>
      <c r="C712" t="s">
        <v>31</v>
      </c>
      <c r="D712" t="s">
        <v>202</v>
      </c>
      <c r="E712" t="s">
        <v>36</v>
      </c>
      <c r="F712" s="10" t="s">
        <v>48</v>
      </c>
      <c r="G712" s="3" t="s">
        <v>49</v>
      </c>
      <c r="H712" s="3" t="s">
        <v>116</v>
      </c>
      <c r="I712" s="3" t="s">
        <v>8</v>
      </c>
      <c r="J712" s="1">
        <v>0</v>
      </c>
      <c r="K712" s="12">
        <v>0</v>
      </c>
      <c r="L712" s="1"/>
      <c r="M712" s="12"/>
      <c r="N712"/>
      <c r="O712"/>
      <c r="P712" s="2" t="str">
        <f>IF(BD_Receitas[[#This Row],[TIPO DE COBRANÇA]]="Operação Normal",
_xlfn.XLOOKUP(BD_Receitas[[#This Row],[ID]],TabCondicoesComerciais[ID],TabCondicoesComerciais[Volume mínimo 
(m3)],0),"")</f>
        <v/>
      </c>
      <c r="Q712" s="2">
        <f>_xlfn.XLOOKUP(BD_Receitas[[#This Row],[ID]],TabCondicoesComerciais[ID],TabCondicoesComerciais[Vol. 1ºGiro],0)</f>
        <v>100</v>
      </c>
      <c r="R7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2" s="1">
        <f xml:space="preserve"> IF(BD_Receitas[[#This Row],[TIPO DE COBRANÇA]]="Operação Normal",
_xlfn.XLOOKUP(BD_Receitas[[#This Row],[ID]],TabCondicoesComerciais[ID],TabCondicoesComerciais[Tarifa 2º Giro],0),0)</f>
        <v>0</v>
      </c>
      <c r="T7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3" spans="1:24" hidden="1" x14ac:dyDescent="0.35">
      <c r="A713" s="3" t="s">
        <v>25</v>
      </c>
      <c r="B713" s="11">
        <v>45992</v>
      </c>
      <c r="C713" t="s">
        <v>31</v>
      </c>
      <c r="D713" t="s">
        <v>202</v>
      </c>
      <c r="E713" t="s">
        <v>36</v>
      </c>
      <c r="F713" s="10" t="s">
        <v>48</v>
      </c>
      <c r="G713" s="3" t="s">
        <v>49</v>
      </c>
      <c r="H713" s="3" t="s">
        <v>116</v>
      </c>
      <c r="I713" s="3" t="s">
        <v>15</v>
      </c>
      <c r="J713" s="1">
        <v>0</v>
      </c>
      <c r="K713" s="12">
        <v>0</v>
      </c>
      <c r="L713" s="1"/>
      <c r="M713" s="12"/>
      <c r="N713"/>
      <c r="O713"/>
      <c r="P713" s="2">
        <f>IF(BD_Receitas[[#This Row],[TIPO DE COBRANÇA]]="Operação Normal",
_xlfn.XLOOKUP(BD_Receitas[[#This Row],[ID]],TabCondicoesComerciais[ID],TabCondicoesComerciais[Volume mínimo 
(m3)],0),"")</f>
        <v>300</v>
      </c>
      <c r="Q713" s="2">
        <f>_xlfn.XLOOKUP(BD_Receitas[[#This Row],[ID]],TabCondicoesComerciais[ID],TabCondicoesComerciais[Vol. 1ºGiro],0)</f>
        <v>100</v>
      </c>
      <c r="R7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713" s="1">
        <f xml:space="preserve"> IF(BD_Receitas[[#This Row],[TIPO DE COBRANÇA]]="Operação Normal",
_xlfn.XLOOKUP(BD_Receitas[[#This Row],[ID]],TabCondicoesComerciais[ID],TabCondicoesComerciais[Tarifa 2º Giro],0),0)</f>
        <v>30</v>
      </c>
      <c r="T71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71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71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9000</v>
      </c>
      <c r="W71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7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14" spans="1:24" hidden="1" x14ac:dyDescent="0.35">
      <c r="A714" s="3" t="s">
        <v>25</v>
      </c>
      <c r="B714" s="11">
        <v>45992</v>
      </c>
      <c r="C714" t="s">
        <v>31</v>
      </c>
      <c r="D714" t="s">
        <v>202</v>
      </c>
      <c r="E714" t="s">
        <v>36</v>
      </c>
      <c r="F714" s="10" t="s">
        <v>48</v>
      </c>
      <c r="G714" s="3" t="s">
        <v>49</v>
      </c>
      <c r="H714" s="3" t="s">
        <v>116</v>
      </c>
      <c r="I714" s="3" t="s">
        <v>65</v>
      </c>
      <c r="J714" s="1">
        <v>0</v>
      </c>
      <c r="K714" s="12">
        <v>0</v>
      </c>
      <c r="L714" s="1"/>
      <c r="M714" s="12"/>
      <c r="N714"/>
      <c r="O714"/>
      <c r="P714" s="2" t="str">
        <f>IF(BD_Receitas[[#This Row],[TIPO DE COBRANÇA]]="Operação Normal",
_xlfn.XLOOKUP(BD_Receitas[[#This Row],[ID]],TabCondicoesComerciais[ID],TabCondicoesComerciais[Volume mínimo 
(m3)],0),"")</f>
        <v/>
      </c>
      <c r="Q714" s="2">
        <f>_xlfn.XLOOKUP(BD_Receitas[[#This Row],[ID]],TabCondicoesComerciais[ID],TabCondicoesComerciais[Vol. 1ºGiro],0)</f>
        <v>100</v>
      </c>
      <c r="R7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4" s="1">
        <f xml:space="preserve"> IF(BD_Receitas[[#This Row],[TIPO DE COBRANÇA]]="Operação Normal",
_xlfn.XLOOKUP(BD_Receitas[[#This Row],[ID]],TabCondicoesComerciais[ID],TabCondicoesComerciais[Tarifa 2º Giro],0),0)</f>
        <v>0</v>
      </c>
      <c r="T7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5" spans="1:24" hidden="1" x14ac:dyDescent="0.35">
      <c r="A715" s="3" t="s">
        <v>102</v>
      </c>
      <c r="B715" s="11">
        <v>45992</v>
      </c>
      <c r="C715" t="s">
        <v>31</v>
      </c>
      <c r="D715" t="s">
        <v>202</v>
      </c>
      <c r="E715" t="s">
        <v>36</v>
      </c>
      <c r="F715" s="10" t="s">
        <v>48</v>
      </c>
      <c r="G715" s="3" t="s">
        <v>49</v>
      </c>
      <c r="H715" s="3" t="s">
        <v>51</v>
      </c>
      <c r="I715" s="3" t="s">
        <v>7</v>
      </c>
      <c r="J715" s="1">
        <v>0</v>
      </c>
      <c r="K715" s="12">
        <v>0</v>
      </c>
      <c r="L715" s="1"/>
      <c r="M715" s="12"/>
      <c r="N715"/>
      <c r="O715"/>
      <c r="P715" s="2" t="str">
        <f>IF(BD_Receitas[[#This Row],[TIPO DE COBRANÇA]]="Operação Normal",
_xlfn.XLOOKUP(BD_Receitas[[#This Row],[ID]],TabCondicoesComerciais[ID],TabCondicoesComerciais[Volume mínimo 
(m3)],0),"")</f>
        <v/>
      </c>
      <c r="Q715" s="2">
        <f>_xlfn.XLOOKUP(BD_Receitas[[#This Row],[ID]],TabCondicoesComerciais[ID],TabCondicoesComerciais[Vol. 1ºGiro],0)</f>
        <v>750</v>
      </c>
      <c r="R7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715" s="1">
        <f xml:space="preserve"> IF(BD_Receitas[[#This Row],[TIPO DE COBRANÇA]]="Operação Normal",
_xlfn.XLOOKUP(BD_Receitas[[#This Row],[ID]],TabCondicoesComerciais[ID],TabCondicoesComerciais[Tarifa 2º Giro],0),0)</f>
        <v>0</v>
      </c>
      <c r="T71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6" spans="1:24" hidden="1" x14ac:dyDescent="0.35">
      <c r="A716" s="3" t="s">
        <v>102</v>
      </c>
      <c r="B716" s="11">
        <v>45992</v>
      </c>
      <c r="C716" t="s">
        <v>31</v>
      </c>
      <c r="D716" t="s">
        <v>202</v>
      </c>
      <c r="E716" t="s">
        <v>36</v>
      </c>
      <c r="F716" s="10" t="s">
        <v>48</v>
      </c>
      <c r="G716" s="3" t="s">
        <v>49</v>
      </c>
      <c r="H716" s="3" t="s">
        <v>51</v>
      </c>
      <c r="I716" s="3" t="s">
        <v>8</v>
      </c>
      <c r="J716" s="1">
        <v>0</v>
      </c>
      <c r="K716" s="12">
        <v>0</v>
      </c>
      <c r="L716" s="1"/>
      <c r="M716" s="12"/>
      <c r="N716"/>
      <c r="O716"/>
      <c r="P716" s="2" t="str">
        <f>IF(BD_Receitas[[#This Row],[TIPO DE COBRANÇA]]="Operação Normal",
_xlfn.XLOOKUP(BD_Receitas[[#This Row],[ID]],TabCondicoesComerciais[ID],TabCondicoesComerciais[Volume mínimo 
(m3)],0),"")</f>
        <v/>
      </c>
      <c r="Q716" s="2">
        <f>_xlfn.XLOOKUP(BD_Receitas[[#This Row],[ID]],TabCondicoesComerciais[ID],TabCondicoesComerciais[Vol. 1ºGiro],0)</f>
        <v>750</v>
      </c>
      <c r="R7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12.968</v>
      </c>
      <c r="S716" s="1">
        <f xml:space="preserve"> IF(BD_Receitas[[#This Row],[TIPO DE COBRANÇA]]="Operação Normal",
_xlfn.XLOOKUP(BD_Receitas[[#This Row],[ID]],TabCondicoesComerciais[ID],TabCondicoesComerciais[Tarifa 2º Giro],0),0)</f>
        <v>0</v>
      </c>
      <c r="T7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7" spans="1:24" hidden="1" x14ac:dyDescent="0.35">
      <c r="A717" s="3" t="s">
        <v>102</v>
      </c>
      <c r="B717" s="11">
        <v>45992</v>
      </c>
      <c r="C717" t="s">
        <v>31</v>
      </c>
      <c r="D717" t="s">
        <v>202</v>
      </c>
      <c r="E717" t="s">
        <v>36</v>
      </c>
      <c r="F717" s="10" t="s">
        <v>48</v>
      </c>
      <c r="G717" s="3" t="s">
        <v>49</v>
      </c>
      <c r="H717" s="3" t="s">
        <v>51</v>
      </c>
      <c r="I717" s="3" t="s">
        <v>15</v>
      </c>
      <c r="J717" s="1">
        <v>0</v>
      </c>
      <c r="K717" s="12">
        <v>0</v>
      </c>
      <c r="L717" s="1"/>
      <c r="M717" s="12"/>
      <c r="N717"/>
      <c r="O717"/>
      <c r="P717" s="2">
        <f>IF(BD_Receitas[[#This Row],[TIPO DE COBRANÇA]]="Operação Normal",
_xlfn.XLOOKUP(BD_Receitas[[#This Row],[ID]],TabCondicoesComerciais[ID],TabCondicoesComerciais[Volume mínimo 
(m3)],0),"")</f>
        <v>6500</v>
      </c>
      <c r="Q717" s="2">
        <f>_xlfn.XLOOKUP(BD_Receitas[[#This Row],[ID]],TabCondicoesComerciais[ID],TabCondicoesComerciais[Vol. 1ºGiro],0)</f>
        <v>750</v>
      </c>
      <c r="R7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32.42</v>
      </c>
      <c r="S717" s="1">
        <f xml:space="preserve"> IF(BD_Receitas[[#This Row],[TIPO DE COBRANÇA]]="Operação Normal",
_xlfn.XLOOKUP(BD_Receitas[[#This Row],[ID]],TabCondicoesComerciais[ID],TabCondicoesComerciais[Tarifa 2º Giro],0),0)</f>
        <v>32.42</v>
      </c>
      <c r="T71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71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71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210730</v>
      </c>
      <c r="W71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7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18" spans="1:24" hidden="1" x14ac:dyDescent="0.35">
      <c r="A718" s="3" t="s">
        <v>102</v>
      </c>
      <c r="B718" s="11">
        <v>45992</v>
      </c>
      <c r="C718" t="s">
        <v>31</v>
      </c>
      <c r="D718" t="s">
        <v>202</v>
      </c>
      <c r="E718" t="s">
        <v>36</v>
      </c>
      <c r="F718" s="10" t="s">
        <v>48</v>
      </c>
      <c r="G718" s="3" t="s">
        <v>49</v>
      </c>
      <c r="H718" s="3" t="s">
        <v>51</v>
      </c>
      <c r="I718" s="3" t="s">
        <v>65</v>
      </c>
      <c r="J718" s="1">
        <v>0</v>
      </c>
      <c r="K718" s="12">
        <v>0</v>
      </c>
      <c r="L718" s="1"/>
      <c r="M718" s="12"/>
      <c r="N718"/>
      <c r="O718"/>
      <c r="P718" s="2" t="str">
        <f>IF(BD_Receitas[[#This Row],[TIPO DE COBRANÇA]]="Operação Normal",
_xlfn.XLOOKUP(BD_Receitas[[#This Row],[ID]],TabCondicoesComerciais[ID],TabCondicoesComerciais[Volume mínimo 
(m3)],0),"")</f>
        <v/>
      </c>
      <c r="Q718" s="2">
        <f>_xlfn.XLOOKUP(BD_Receitas[[#This Row],[ID]],TabCondicoesComerciais[ID],TabCondicoesComerciais[Vol. 1ºGiro],0)</f>
        <v>750</v>
      </c>
      <c r="R7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18" s="1">
        <f xml:space="preserve"> IF(BD_Receitas[[#This Row],[TIPO DE COBRANÇA]]="Operação Normal",
_xlfn.XLOOKUP(BD_Receitas[[#This Row],[ID]],TabCondicoesComerciais[ID],TabCondicoesComerciais[Tarifa 2º Giro],0),0)</f>
        <v>0</v>
      </c>
      <c r="T7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19" spans="1:24" hidden="1" x14ac:dyDescent="0.35">
      <c r="A719" s="3" t="s">
        <v>208</v>
      </c>
      <c r="B719" s="11">
        <v>45992</v>
      </c>
      <c r="C719" t="s">
        <v>31</v>
      </c>
      <c r="D719" t="s">
        <v>202</v>
      </c>
      <c r="E719" t="s">
        <v>35</v>
      </c>
      <c r="F719" s="10" t="s">
        <v>22</v>
      </c>
      <c r="G719" s="3" t="s">
        <v>11</v>
      </c>
      <c r="H719" s="3" t="s">
        <v>207</v>
      </c>
      <c r="I719" s="3" t="s">
        <v>7</v>
      </c>
      <c r="J719" s="1">
        <v>0</v>
      </c>
      <c r="K719" s="12">
        <v>0</v>
      </c>
      <c r="L719" s="1">
        <v>15595.06</v>
      </c>
      <c r="M719" s="12">
        <v>1682.13</v>
      </c>
      <c r="N719" t="s">
        <v>285</v>
      </c>
      <c r="O719"/>
      <c r="P719" s="2" t="str">
        <f>IF(BD_Receitas[[#This Row],[TIPO DE COBRANÇA]]="Operação Normal",
_xlfn.XLOOKUP(BD_Receitas[[#This Row],[ID]],TabCondicoesComerciais[ID],TabCondicoesComerciais[Volume mínimo 
(m3)],0),"")</f>
        <v/>
      </c>
      <c r="Q719" s="2">
        <f>_xlfn.XLOOKUP(BD_Receitas[[#This Row],[ID]],TabCondicoesComerciais[ID],TabCondicoesComerciais[Vol. 1ºGiro],0)</f>
        <v>625</v>
      </c>
      <c r="R7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719" s="1">
        <f xml:space="preserve"> IF(BD_Receitas[[#This Row],[TIPO DE COBRANÇA]]="Operação Normal",
_xlfn.XLOOKUP(BD_Receitas[[#This Row],[ID]],TabCondicoesComerciais[ID],TabCondicoesComerciais[Tarifa 2º Giro],0),0)</f>
        <v>0</v>
      </c>
      <c r="T71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1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1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1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0" spans="1:24" hidden="1" x14ac:dyDescent="0.35">
      <c r="A720" s="3" t="s">
        <v>208</v>
      </c>
      <c r="B720" s="11">
        <v>45992</v>
      </c>
      <c r="C720" t="s">
        <v>31</v>
      </c>
      <c r="D720" t="s">
        <v>202</v>
      </c>
      <c r="E720" t="s">
        <v>35</v>
      </c>
      <c r="F720" s="10" t="s">
        <v>22</v>
      </c>
      <c r="G720" s="3" t="s">
        <v>11</v>
      </c>
      <c r="H720" s="3" t="s">
        <v>207</v>
      </c>
      <c r="I720" s="3" t="s">
        <v>8</v>
      </c>
      <c r="J720" s="1">
        <v>0</v>
      </c>
      <c r="K720" s="12">
        <v>0</v>
      </c>
      <c r="L720" s="1">
        <v>5889.59</v>
      </c>
      <c r="M720" s="12">
        <v>576.31700000000001</v>
      </c>
      <c r="N720" t="s">
        <v>285</v>
      </c>
      <c r="O720"/>
      <c r="P720" s="2" t="str">
        <f>IF(BD_Receitas[[#This Row],[TIPO DE COBRANÇA]]="Operação Normal",
_xlfn.XLOOKUP(BD_Receitas[[#This Row],[ID]],TabCondicoesComerciais[ID],TabCondicoesComerciais[Volume mínimo 
(m3)],0),"")</f>
        <v/>
      </c>
      <c r="Q720" s="2">
        <f>_xlfn.XLOOKUP(BD_Receitas[[#This Row],[ID]],TabCondicoesComerciais[ID],TabCondicoesComerciais[Vol. 1ºGiro],0)</f>
        <v>625</v>
      </c>
      <c r="R7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720" s="1">
        <f xml:space="preserve"> IF(BD_Receitas[[#This Row],[TIPO DE COBRANÇA]]="Operação Normal",
_xlfn.XLOOKUP(BD_Receitas[[#This Row],[ID]],TabCondicoesComerciais[ID],TabCondicoesComerciais[Tarifa 2º Giro],0),0)</f>
        <v>0</v>
      </c>
      <c r="T7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1" spans="1:24" hidden="1" x14ac:dyDescent="0.35">
      <c r="A721" s="3" t="s">
        <v>208</v>
      </c>
      <c r="B721" s="11">
        <v>45992</v>
      </c>
      <c r="C721" t="s">
        <v>31</v>
      </c>
      <c r="D721" t="s">
        <v>202</v>
      </c>
      <c r="E721" t="s">
        <v>35</v>
      </c>
      <c r="F721" s="10" t="s">
        <v>22</v>
      </c>
      <c r="G721" s="3" t="s">
        <v>11</v>
      </c>
      <c r="H721" s="3" t="s">
        <v>207</v>
      </c>
      <c r="I721" s="3" t="s">
        <v>15</v>
      </c>
      <c r="J721" s="1">
        <v>47210.53</v>
      </c>
      <c r="K721" s="12">
        <v>1875</v>
      </c>
      <c r="L721" s="1">
        <v>81336.800000000003</v>
      </c>
      <c r="M721" s="12">
        <v>3170.9470000000001</v>
      </c>
      <c r="N721" t="s">
        <v>285</v>
      </c>
      <c r="O721"/>
      <c r="P721" s="2">
        <f>IF(BD_Receitas[[#This Row],[TIPO DE COBRANÇA]]="Operação Normal",
_xlfn.XLOOKUP(BD_Receitas[[#This Row],[ID]],TabCondicoesComerciais[ID],TabCondicoesComerciais[Volume mínimo 
(m3)],0),"")</f>
        <v>1875</v>
      </c>
      <c r="Q721" s="2">
        <f>_xlfn.XLOOKUP(BD_Receitas[[#This Row],[ID]],TabCondicoesComerciais[ID],TabCondicoesComerciais[Vol. 1ºGiro],0)</f>
        <v>625</v>
      </c>
      <c r="R7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721" s="1">
        <f xml:space="preserve"> IF(BD_Receitas[[#This Row],[TIPO DE COBRANÇA]]="Operação Normal",
_xlfn.XLOOKUP(BD_Receitas[[#This Row],[ID]],TabCondicoesComerciais[ID],TabCondicoesComerciais[Tarifa 2º Giro],0),0)</f>
        <v>33</v>
      </c>
      <c r="T721" s="5">
        <f>IFERROR(IF(BD_Receitas[[#This Row],[TIPO DE COBRANÇA]]&lt;&gt;"Operação Normal","",BD_Receitas[[#This Row],[Valor Total R$]]/ MAX(BD_Receitas[[#This Row],[Vol. Movimentado M³]],
BD_Receitas[[#This Row],[Volume Mínimo ]])
),0)</f>
        <v>25.650633706586706</v>
      </c>
      <c r="U72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32.42610172923105</v>
      </c>
      <c r="V72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72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104641.251</v>
      </c>
      <c r="X7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22" spans="1:24" hidden="1" x14ac:dyDescent="0.35">
      <c r="A722" s="3" t="s">
        <v>208</v>
      </c>
      <c r="B722" s="11">
        <v>45992</v>
      </c>
      <c r="C722" t="s">
        <v>31</v>
      </c>
      <c r="D722" t="s">
        <v>202</v>
      </c>
      <c r="E722" t="s">
        <v>35</v>
      </c>
      <c r="F722" s="10" t="s">
        <v>22</v>
      </c>
      <c r="G722" s="3" t="s">
        <v>11</v>
      </c>
      <c r="H722" s="3" t="s">
        <v>207</v>
      </c>
      <c r="I722" s="3" t="s">
        <v>65</v>
      </c>
      <c r="J722" s="1">
        <v>0</v>
      </c>
      <c r="K722" s="12">
        <v>0</v>
      </c>
      <c r="L722" s="1"/>
      <c r="M722" s="12"/>
      <c r="N722"/>
      <c r="O722"/>
      <c r="P722" s="2" t="str">
        <f>IF(BD_Receitas[[#This Row],[TIPO DE COBRANÇA]]="Operação Normal",
_xlfn.XLOOKUP(BD_Receitas[[#This Row],[ID]],TabCondicoesComerciais[ID],TabCondicoesComerciais[Volume mínimo 
(m3)],0),"")</f>
        <v/>
      </c>
      <c r="Q722" s="2">
        <f>_xlfn.XLOOKUP(BD_Receitas[[#This Row],[ID]],TabCondicoesComerciais[ID],TabCondicoesComerciais[Vol. 1ºGiro],0)</f>
        <v>625</v>
      </c>
      <c r="R7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22" s="1">
        <f xml:space="preserve"> IF(BD_Receitas[[#This Row],[TIPO DE COBRANÇA]]="Operação Normal",
_xlfn.XLOOKUP(BD_Receitas[[#This Row],[ID]],TabCondicoesComerciais[ID],TabCondicoesComerciais[Tarifa 2º Giro],0),0)</f>
        <v>0</v>
      </c>
      <c r="T7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3" spans="1:24" hidden="1" x14ac:dyDescent="0.35">
      <c r="A723" s="3" t="s">
        <v>190</v>
      </c>
      <c r="B723" s="11">
        <v>45992</v>
      </c>
      <c r="C723" t="s">
        <v>31</v>
      </c>
      <c r="D723" t="s">
        <v>202</v>
      </c>
      <c r="E723" t="s">
        <v>35</v>
      </c>
      <c r="F723" s="10" t="s">
        <v>22</v>
      </c>
      <c r="G723" s="3" t="s">
        <v>11</v>
      </c>
      <c r="H723" s="3" t="s">
        <v>116</v>
      </c>
      <c r="I723" s="3" t="s">
        <v>7</v>
      </c>
      <c r="J723" s="1">
        <v>0</v>
      </c>
      <c r="K723" s="12">
        <v>0</v>
      </c>
      <c r="L723" s="1"/>
      <c r="M723" s="12"/>
      <c r="N723"/>
      <c r="O723"/>
      <c r="P723" s="2" t="str">
        <f>IF(BD_Receitas[[#This Row],[TIPO DE COBRANÇA]]="Operação Normal",
_xlfn.XLOOKUP(BD_Receitas[[#This Row],[ID]],TabCondicoesComerciais[ID],TabCondicoesComerciais[Volume mínimo 
(m3)],0),"")</f>
        <v/>
      </c>
      <c r="Q723" s="2">
        <f>_xlfn.XLOOKUP(BD_Receitas[[#This Row],[ID]],TabCondicoesComerciais[ID],TabCondicoesComerciais[Vol. 1ºGiro],0)</f>
        <v>580</v>
      </c>
      <c r="R7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23" s="1">
        <f xml:space="preserve"> IF(BD_Receitas[[#This Row],[TIPO DE COBRANÇA]]="Operação Normal",
_xlfn.XLOOKUP(BD_Receitas[[#This Row],[ID]],TabCondicoesComerciais[ID],TabCondicoesComerciais[Tarifa 2º Giro],0),0)</f>
        <v>0</v>
      </c>
      <c r="T72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4" spans="1:24" hidden="1" x14ac:dyDescent="0.35">
      <c r="A724" s="3" t="s">
        <v>190</v>
      </c>
      <c r="B724" s="11">
        <v>45992</v>
      </c>
      <c r="C724" t="s">
        <v>31</v>
      </c>
      <c r="D724" t="s">
        <v>202</v>
      </c>
      <c r="E724" t="s">
        <v>35</v>
      </c>
      <c r="F724" s="10" t="s">
        <v>22</v>
      </c>
      <c r="G724" s="3" t="s">
        <v>11</v>
      </c>
      <c r="H724" s="3" t="s">
        <v>116</v>
      </c>
      <c r="I724" s="3" t="s">
        <v>8</v>
      </c>
      <c r="J724" s="1">
        <v>0</v>
      </c>
      <c r="K724" s="12">
        <v>0</v>
      </c>
      <c r="L724" s="1"/>
      <c r="M724" s="12"/>
      <c r="N724"/>
      <c r="O724"/>
      <c r="P724" s="2" t="str">
        <f>IF(BD_Receitas[[#This Row],[TIPO DE COBRANÇA]]="Operação Normal",
_xlfn.XLOOKUP(BD_Receitas[[#This Row],[ID]],TabCondicoesComerciais[ID],TabCondicoesComerciais[Volume mínimo 
(m3)],0),"")</f>
        <v/>
      </c>
      <c r="Q724" s="2">
        <f>_xlfn.XLOOKUP(BD_Receitas[[#This Row],[ID]],TabCondicoesComerciais[ID],TabCondicoesComerciais[Vol. 1ºGiro],0)</f>
        <v>580</v>
      </c>
      <c r="R7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24" s="1">
        <f xml:space="preserve"> IF(BD_Receitas[[#This Row],[TIPO DE COBRANÇA]]="Operação Normal",
_xlfn.XLOOKUP(BD_Receitas[[#This Row],[ID]],TabCondicoesComerciais[ID],TabCondicoesComerciais[Tarifa 2º Giro],0),0)</f>
        <v>0</v>
      </c>
      <c r="T7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5" spans="1:24" hidden="1" x14ac:dyDescent="0.35">
      <c r="A725" s="3" t="s">
        <v>190</v>
      </c>
      <c r="B725" s="11">
        <v>45992</v>
      </c>
      <c r="C725" t="s">
        <v>31</v>
      </c>
      <c r="D725" t="s">
        <v>202</v>
      </c>
      <c r="E725" t="s">
        <v>35</v>
      </c>
      <c r="F725" s="10" t="s">
        <v>22</v>
      </c>
      <c r="G725" s="3" t="s">
        <v>11</v>
      </c>
      <c r="H725" s="3" t="s">
        <v>116</v>
      </c>
      <c r="I725" s="3" t="s">
        <v>15</v>
      </c>
      <c r="J725" s="1">
        <v>0</v>
      </c>
      <c r="K725" s="12">
        <v>0</v>
      </c>
      <c r="L725" s="1"/>
      <c r="M725" s="12"/>
      <c r="N725"/>
      <c r="O725"/>
      <c r="P725" s="2">
        <f>IF(BD_Receitas[[#This Row],[TIPO DE COBRANÇA]]="Operação Normal",
_xlfn.XLOOKUP(BD_Receitas[[#This Row],[ID]],TabCondicoesComerciais[ID],TabCondicoesComerciais[Volume mínimo 
(m3)],0),"")</f>
        <v>2000</v>
      </c>
      <c r="Q725" s="2">
        <f>_xlfn.XLOOKUP(BD_Receitas[[#This Row],[ID]],TabCondicoesComerciais[ID],TabCondicoesComerciais[Vol. 1ºGiro],0)</f>
        <v>580</v>
      </c>
      <c r="R7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725" s="1">
        <f xml:space="preserve"> IF(BD_Receitas[[#This Row],[TIPO DE COBRANÇA]]="Operação Normal",
_xlfn.XLOOKUP(BD_Receitas[[#This Row],[ID]],TabCondicoesComerciais[ID],TabCondicoesComerciais[Tarifa 2º Giro],0),0)</f>
        <v>27</v>
      </c>
      <c r="T72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72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72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72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7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26" spans="1:24" hidden="1" x14ac:dyDescent="0.35">
      <c r="A726" s="3" t="s">
        <v>190</v>
      </c>
      <c r="B726" s="11">
        <v>45992</v>
      </c>
      <c r="C726" t="s">
        <v>31</v>
      </c>
      <c r="D726" t="s">
        <v>202</v>
      </c>
      <c r="E726" t="s">
        <v>35</v>
      </c>
      <c r="F726" s="10" t="s">
        <v>22</v>
      </c>
      <c r="G726" s="3" t="s">
        <v>11</v>
      </c>
      <c r="H726" s="3" t="s">
        <v>116</v>
      </c>
      <c r="I726" s="3" t="s">
        <v>65</v>
      </c>
      <c r="J726" s="1">
        <v>0</v>
      </c>
      <c r="K726" s="12">
        <v>0</v>
      </c>
      <c r="L726" s="1"/>
      <c r="M726" s="12"/>
      <c r="N726"/>
      <c r="O726"/>
      <c r="P726" s="2" t="str">
        <f>IF(BD_Receitas[[#This Row],[TIPO DE COBRANÇA]]="Operação Normal",
_xlfn.XLOOKUP(BD_Receitas[[#This Row],[ID]],TabCondicoesComerciais[ID],TabCondicoesComerciais[Volume mínimo 
(m3)],0),"")</f>
        <v/>
      </c>
      <c r="Q726" s="2">
        <f>_xlfn.XLOOKUP(BD_Receitas[[#This Row],[ID]],TabCondicoesComerciais[ID],TabCondicoesComerciais[Vol. 1ºGiro],0)</f>
        <v>580</v>
      </c>
      <c r="R7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26" s="1">
        <f xml:space="preserve"> IF(BD_Receitas[[#This Row],[TIPO DE COBRANÇA]]="Operação Normal",
_xlfn.XLOOKUP(BD_Receitas[[#This Row],[ID]],TabCondicoesComerciais[ID],TabCondicoesComerciais[Tarifa 2º Giro],0),0)</f>
        <v>0</v>
      </c>
      <c r="T7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7" spans="1:24" hidden="1" x14ac:dyDescent="0.35">
      <c r="A727" s="3" t="s">
        <v>172</v>
      </c>
      <c r="B727" s="11">
        <v>45992</v>
      </c>
      <c r="C727" t="s">
        <v>31</v>
      </c>
      <c r="D727" t="s">
        <v>202</v>
      </c>
      <c r="E727" t="s">
        <v>35</v>
      </c>
      <c r="F727" s="10" t="s">
        <v>22</v>
      </c>
      <c r="G727" s="3" t="s">
        <v>11</v>
      </c>
      <c r="H727" s="3" t="s">
        <v>13</v>
      </c>
      <c r="I727" s="3" t="s">
        <v>7</v>
      </c>
      <c r="J727" s="1">
        <v>0</v>
      </c>
      <c r="K727" s="12">
        <v>0</v>
      </c>
      <c r="L727" s="1">
        <v>1272.26</v>
      </c>
      <c r="M727" s="12">
        <v>136.143</v>
      </c>
      <c r="N727" t="s">
        <v>286</v>
      </c>
      <c r="O727"/>
      <c r="P727" s="2" t="str">
        <f>IF(BD_Receitas[[#This Row],[TIPO DE COBRANÇA]]="Operação Normal",
_xlfn.XLOOKUP(BD_Receitas[[#This Row],[ID]],TabCondicoesComerciais[ID],TabCondicoesComerciais[Volume mínimo 
(m3)],0),"")</f>
        <v/>
      </c>
      <c r="Q727" s="2">
        <f>_xlfn.XLOOKUP(BD_Receitas[[#This Row],[ID]],TabCondicoesComerciais[ID],TabCondicoesComerciais[Vol. 1ºGiro],0)</f>
        <v>750</v>
      </c>
      <c r="R7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27" s="1">
        <f xml:space="preserve"> IF(BD_Receitas[[#This Row],[TIPO DE COBRANÇA]]="Operação Normal",
_xlfn.XLOOKUP(BD_Receitas[[#This Row],[ID]],TabCondicoesComerciais[ID],TabCondicoesComerciais[Tarifa 2º Giro],0),0)</f>
        <v>0</v>
      </c>
      <c r="T72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8" spans="1:24" hidden="1" x14ac:dyDescent="0.35">
      <c r="A728" s="3" t="s">
        <v>172</v>
      </c>
      <c r="B728" s="11">
        <v>45992</v>
      </c>
      <c r="C728" t="s">
        <v>31</v>
      </c>
      <c r="D728" t="s">
        <v>202</v>
      </c>
      <c r="E728" t="s">
        <v>35</v>
      </c>
      <c r="F728" s="10" t="s">
        <v>22</v>
      </c>
      <c r="G728" s="3" t="s">
        <v>11</v>
      </c>
      <c r="H728" s="3" t="s">
        <v>13</v>
      </c>
      <c r="I728" s="3" t="s">
        <v>8</v>
      </c>
      <c r="J728" s="1">
        <v>0</v>
      </c>
      <c r="K728" s="12">
        <v>0</v>
      </c>
      <c r="L728" s="1">
        <v>466.17</v>
      </c>
      <c r="M728" s="12">
        <v>52.497</v>
      </c>
      <c r="N728" t="s">
        <v>286</v>
      </c>
      <c r="O728"/>
      <c r="P728" s="2" t="str">
        <f>IF(BD_Receitas[[#This Row],[TIPO DE COBRANÇA]]="Operação Normal",
_xlfn.XLOOKUP(BD_Receitas[[#This Row],[ID]],TabCondicoesComerciais[ID],TabCondicoesComerciais[Volume mínimo 
(m3)],0),"")</f>
        <v/>
      </c>
      <c r="Q728" s="2">
        <f>_xlfn.XLOOKUP(BD_Receitas[[#This Row],[ID]],TabCondicoesComerciais[ID],TabCondicoesComerciais[Vol. 1ºGiro],0)</f>
        <v>750</v>
      </c>
      <c r="R7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28" s="1">
        <f xml:space="preserve"> IF(BD_Receitas[[#This Row],[TIPO DE COBRANÇA]]="Operação Normal",
_xlfn.XLOOKUP(BD_Receitas[[#This Row],[ID]],TabCondicoesComerciais[ID],TabCondicoesComerciais[Tarifa 2º Giro],0),0)</f>
        <v>0</v>
      </c>
      <c r="T7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29" spans="1:24" hidden="1" x14ac:dyDescent="0.35">
      <c r="A729" s="3" t="s">
        <v>172</v>
      </c>
      <c r="B729" s="11">
        <v>45992</v>
      </c>
      <c r="C729" t="s">
        <v>31</v>
      </c>
      <c r="D729" t="s">
        <v>202</v>
      </c>
      <c r="E729" t="s">
        <v>35</v>
      </c>
      <c r="F729" s="10" t="s">
        <v>22</v>
      </c>
      <c r="G729" s="3" t="s">
        <v>11</v>
      </c>
      <c r="H729" s="3" t="s">
        <v>13</v>
      </c>
      <c r="I729" s="3" t="s">
        <v>15</v>
      </c>
      <c r="J729" s="1">
        <v>0</v>
      </c>
      <c r="K729" s="12">
        <v>0</v>
      </c>
      <c r="L729" s="1">
        <v>28391.215499999998</v>
      </c>
      <c r="M729" s="12">
        <v>1277.8340000000001</v>
      </c>
      <c r="N729" t="s">
        <v>286</v>
      </c>
      <c r="O729"/>
      <c r="P729" s="2">
        <f>IF(BD_Receitas[[#This Row],[TIPO DE COBRANÇA]]="Operação Normal",
_xlfn.XLOOKUP(BD_Receitas[[#This Row],[ID]],TabCondicoesComerciais[ID],TabCondicoesComerciais[Volume mínimo 
(m3)],0),"")</f>
        <v>0</v>
      </c>
      <c r="Q729" s="2">
        <f>_xlfn.XLOOKUP(BD_Receitas[[#This Row],[ID]],TabCondicoesComerciais[ID],TabCondicoesComerciais[Vol. 1ºGiro],0)</f>
        <v>750</v>
      </c>
      <c r="R7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729" s="1">
        <f xml:space="preserve"> IF(BD_Receitas[[#This Row],[TIPO DE COBRANÇA]]="Operação Normal",
_xlfn.XLOOKUP(BD_Receitas[[#This Row],[ID]],TabCondicoesComerciais[ID],TabCondicoesComerciais[Tarifa 2º Giro],0),0)</f>
        <v>22.2</v>
      </c>
      <c r="T729" s="5">
        <f>IFERROR(IF(BD_Receitas[[#This Row],[TIPO DE COBRANÇA]]&lt;&gt;"Operação Normal","",BD_Receitas[[#This Row],[Valor Total R$]]/ MAX(BD_Receitas[[#This Row],[Vol. Movimentado M³]],
BD_Receitas[[#This Row],[Volume Mínimo ]])
),0)</f>
        <v>22.218234528115545</v>
      </c>
      <c r="U72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23.578685103072853</v>
      </c>
      <c r="V72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72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28367.914799999999</v>
      </c>
      <c r="X7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30" spans="1:24" hidden="1" x14ac:dyDescent="0.35">
      <c r="A730" s="3" t="s">
        <v>172</v>
      </c>
      <c r="B730" s="11">
        <v>45992</v>
      </c>
      <c r="C730" t="s">
        <v>31</v>
      </c>
      <c r="D730" t="s">
        <v>202</v>
      </c>
      <c r="E730" t="s">
        <v>35</v>
      </c>
      <c r="F730" s="10" t="s">
        <v>22</v>
      </c>
      <c r="G730" s="3" t="s">
        <v>11</v>
      </c>
      <c r="H730" s="3" t="s">
        <v>13</v>
      </c>
      <c r="I730" s="3" t="s">
        <v>65</v>
      </c>
      <c r="J730" s="1">
        <v>0</v>
      </c>
      <c r="K730" s="12">
        <v>0</v>
      </c>
      <c r="L730" s="1"/>
      <c r="M730" s="12"/>
      <c r="N730"/>
      <c r="O730"/>
      <c r="P730" s="2" t="str">
        <f>IF(BD_Receitas[[#This Row],[TIPO DE COBRANÇA]]="Operação Normal",
_xlfn.XLOOKUP(BD_Receitas[[#This Row],[ID]],TabCondicoesComerciais[ID],TabCondicoesComerciais[Volume mínimo 
(m3)],0),"")</f>
        <v/>
      </c>
      <c r="Q730" s="2">
        <f>_xlfn.XLOOKUP(BD_Receitas[[#This Row],[ID]],TabCondicoesComerciais[ID],TabCondicoesComerciais[Vol. 1ºGiro],0)</f>
        <v>750</v>
      </c>
      <c r="R7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30" s="1">
        <f xml:space="preserve"> IF(BD_Receitas[[#This Row],[TIPO DE COBRANÇA]]="Operação Normal",
_xlfn.XLOOKUP(BD_Receitas[[#This Row],[ID]],TabCondicoesComerciais[ID],TabCondicoesComerciais[Tarifa 2º Giro],0),0)</f>
        <v>0</v>
      </c>
      <c r="T7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1" spans="1:24" hidden="1" x14ac:dyDescent="0.35">
      <c r="A731" s="3" t="s">
        <v>149</v>
      </c>
      <c r="B731" s="11">
        <v>45992</v>
      </c>
      <c r="C731" t="s">
        <v>31</v>
      </c>
      <c r="D731" t="s">
        <v>110</v>
      </c>
      <c r="E731" t="s">
        <v>117</v>
      </c>
      <c r="F731" s="10" t="s">
        <v>23</v>
      </c>
      <c r="G731" s="3" t="s">
        <v>112</v>
      </c>
      <c r="H731" s="3" t="s">
        <v>113</v>
      </c>
      <c r="I731" s="3" t="s">
        <v>7</v>
      </c>
      <c r="J731" s="1">
        <v>0</v>
      </c>
      <c r="K731" s="12">
        <v>0</v>
      </c>
      <c r="L731" s="1"/>
      <c r="M731" s="12"/>
      <c r="N731"/>
      <c r="O731"/>
      <c r="P731" s="2" t="str">
        <f>IF(BD_Receitas[[#This Row],[TIPO DE COBRANÇA]]="Operação Normal",
_xlfn.XLOOKUP(BD_Receitas[[#This Row],[ID]],TabCondicoesComerciais[ID],TabCondicoesComerciais[Volume mínimo 
(m3)],0),"")</f>
        <v/>
      </c>
      <c r="Q731" s="2">
        <f>_xlfn.XLOOKUP(BD_Receitas[[#This Row],[ID]],TabCondicoesComerciais[ID],TabCondicoesComerciais[Vol. 1ºGiro],0)</f>
        <v>750</v>
      </c>
      <c r="R7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731" s="1">
        <f xml:space="preserve"> IF(BD_Receitas[[#This Row],[TIPO DE COBRANÇA]]="Operação Normal",
_xlfn.XLOOKUP(BD_Receitas[[#This Row],[ID]],TabCondicoesComerciais[ID],TabCondicoesComerciais[Tarifa 2º Giro],0),0)</f>
        <v>0</v>
      </c>
      <c r="T73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2" spans="1:24" hidden="1" x14ac:dyDescent="0.35">
      <c r="A732" s="3" t="s">
        <v>149</v>
      </c>
      <c r="B732" s="11">
        <v>45992</v>
      </c>
      <c r="C732" t="s">
        <v>31</v>
      </c>
      <c r="D732" t="s">
        <v>110</v>
      </c>
      <c r="E732" t="s">
        <v>117</v>
      </c>
      <c r="F732" s="10" t="s">
        <v>23</v>
      </c>
      <c r="G732" s="3" t="s">
        <v>112</v>
      </c>
      <c r="H732" s="3" t="s">
        <v>113</v>
      </c>
      <c r="I732" s="3" t="s">
        <v>8</v>
      </c>
      <c r="J732" s="1">
        <v>0</v>
      </c>
      <c r="K732" s="12">
        <v>0</v>
      </c>
      <c r="L732" s="1"/>
      <c r="M732" s="12"/>
      <c r="N732"/>
      <c r="O732"/>
      <c r="P732" s="2" t="str">
        <f>IF(BD_Receitas[[#This Row],[TIPO DE COBRANÇA]]="Operação Normal",
_xlfn.XLOOKUP(BD_Receitas[[#This Row],[ID]],TabCondicoesComerciais[ID],TabCondicoesComerciais[Volume mínimo 
(m3)],0),"")</f>
        <v/>
      </c>
      <c r="Q732" s="2">
        <f>_xlfn.XLOOKUP(BD_Receitas[[#This Row],[ID]],TabCondicoesComerciais[ID],TabCondicoesComerciais[Vol. 1ºGiro],0)</f>
        <v>750</v>
      </c>
      <c r="R7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9.75</v>
      </c>
      <c r="S732" s="1">
        <f xml:space="preserve"> IF(BD_Receitas[[#This Row],[TIPO DE COBRANÇA]]="Operação Normal",
_xlfn.XLOOKUP(BD_Receitas[[#This Row],[ID]],TabCondicoesComerciais[ID],TabCondicoesComerciais[Tarifa 2º Giro],0),0)</f>
        <v>0</v>
      </c>
      <c r="T7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3" spans="1:24" hidden="1" x14ac:dyDescent="0.35">
      <c r="A733" s="3" t="s">
        <v>149</v>
      </c>
      <c r="B733" s="11">
        <v>45992</v>
      </c>
      <c r="C733" t="s">
        <v>31</v>
      </c>
      <c r="D733" t="s">
        <v>110</v>
      </c>
      <c r="E733" t="s">
        <v>117</v>
      </c>
      <c r="F733" s="10" t="s">
        <v>23</v>
      </c>
      <c r="G733" s="3" t="s">
        <v>112</v>
      </c>
      <c r="H733" s="3" t="s">
        <v>113</v>
      </c>
      <c r="I733" s="3" t="s">
        <v>15</v>
      </c>
      <c r="J733" s="1">
        <v>0</v>
      </c>
      <c r="K733" s="12">
        <v>0</v>
      </c>
      <c r="L733" s="1"/>
      <c r="M733" s="12"/>
      <c r="N733"/>
      <c r="O733"/>
      <c r="P733" s="2">
        <f>IF(BD_Receitas[[#This Row],[TIPO DE COBRANÇA]]="Operação Normal",
_xlfn.XLOOKUP(BD_Receitas[[#This Row],[ID]],TabCondicoesComerciais[ID],TabCondicoesComerciais[Volume mínimo 
(m3)],0),"")</f>
        <v>3000</v>
      </c>
      <c r="Q733" s="2">
        <f>_xlfn.XLOOKUP(BD_Receitas[[#This Row],[ID]],TabCondicoesComerciais[ID],TabCondicoesComerciais[Vol. 1ºGiro],0)</f>
        <v>750</v>
      </c>
      <c r="R7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19.5</v>
      </c>
      <c r="S733" s="1">
        <f xml:space="preserve"> IF(BD_Receitas[[#This Row],[TIPO DE COBRANÇA]]="Operação Normal",
_xlfn.XLOOKUP(BD_Receitas[[#This Row],[ID]],TabCondicoesComerciais[ID],TabCondicoesComerciais[Tarifa 2º Giro],0),0)</f>
        <v>19.5</v>
      </c>
      <c r="T73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73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73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58500</v>
      </c>
      <c r="W73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7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34" spans="1:24" hidden="1" x14ac:dyDescent="0.35">
      <c r="A734" s="3" t="s">
        <v>149</v>
      </c>
      <c r="B734" s="11">
        <v>45992</v>
      </c>
      <c r="C734" t="s">
        <v>31</v>
      </c>
      <c r="D734" t="s">
        <v>110</v>
      </c>
      <c r="E734" t="s">
        <v>117</v>
      </c>
      <c r="F734" s="10" t="s">
        <v>23</v>
      </c>
      <c r="G734" s="3" t="s">
        <v>112</v>
      </c>
      <c r="H734" s="3" t="s">
        <v>113</v>
      </c>
      <c r="I734" s="3" t="s">
        <v>65</v>
      </c>
      <c r="J734" s="1">
        <v>0</v>
      </c>
      <c r="K734" s="12">
        <v>0</v>
      </c>
      <c r="L734" s="1"/>
      <c r="M734" s="12"/>
      <c r="N734"/>
      <c r="O734"/>
      <c r="P734" s="2" t="str">
        <f>IF(BD_Receitas[[#This Row],[TIPO DE COBRANÇA]]="Operação Normal",
_xlfn.XLOOKUP(BD_Receitas[[#This Row],[ID]],TabCondicoesComerciais[ID],TabCondicoesComerciais[Volume mínimo 
(m3)],0),"")</f>
        <v/>
      </c>
      <c r="Q734" s="2">
        <f>_xlfn.XLOOKUP(BD_Receitas[[#This Row],[ID]],TabCondicoesComerciais[ID],TabCondicoesComerciais[Vol. 1ºGiro],0)</f>
        <v>750</v>
      </c>
      <c r="R7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34" s="1">
        <f xml:space="preserve"> IF(BD_Receitas[[#This Row],[TIPO DE COBRANÇA]]="Operação Normal",
_xlfn.XLOOKUP(BD_Receitas[[#This Row],[ID]],TabCondicoesComerciais[ID],TabCondicoesComerciais[Tarifa 2º Giro],0),0)</f>
        <v>0</v>
      </c>
      <c r="T7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5" spans="1:24" hidden="1" x14ac:dyDescent="0.35">
      <c r="A735" s="3" t="s">
        <v>263</v>
      </c>
      <c r="B735" s="11">
        <v>45992</v>
      </c>
      <c r="C735" t="s">
        <v>31</v>
      </c>
      <c r="D735" t="s">
        <v>62</v>
      </c>
      <c r="E735" t="s">
        <v>33</v>
      </c>
      <c r="F735" s="10" t="s">
        <v>46</v>
      </c>
      <c r="G735" s="3" t="s">
        <v>87</v>
      </c>
      <c r="H735" s="3" t="s">
        <v>9</v>
      </c>
      <c r="I735" s="3" t="s">
        <v>7</v>
      </c>
      <c r="J735" s="1">
        <v>0</v>
      </c>
      <c r="K735" s="12">
        <v>0</v>
      </c>
      <c r="L735" s="1">
        <v>2402.2800000000002</v>
      </c>
      <c r="M735" s="12">
        <v>306.66300000000001</v>
      </c>
      <c r="N735" t="s">
        <v>302</v>
      </c>
      <c r="O735"/>
      <c r="P735" s="2" t="str">
        <f>IF(BD_Receitas[[#This Row],[TIPO DE COBRANÇA]]="Operação Normal",
_xlfn.XLOOKUP(BD_Receitas[[#This Row],[ID]],TabCondicoesComerciais[ID],TabCondicoesComerciais[Volume mínimo 
(m3)],0),"")</f>
        <v/>
      </c>
      <c r="Q735" s="2">
        <f>_xlfn.XLOOKUP(BD_Receitas[[#This Row],[ID]],TabCondicoesComerciais[ID],TabCondicoesComerciais[Vol. 1ºGiro],0)</f>
        <v>1070</v>
      </c>
      <c r="R7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735" s="1">
        <f xml:space="preserve"> IF(BD_Receitas[[#This Row],[TIPO DE COBRANÇA]]="Operação Normal",
_xlfn.XLOOKUP(BD_Receitas[[#This Row],[ID]],TabCondicoesComerciais[ID],TabCondicoesComerciais[Tarifa 2º Giro],0),0)</f>
        <v>0</v>
      </c>
      <c r="T73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6" spans="1:24" hidden="1" x14ac:dyDescent="0.35">
      <c r="A736" s="3" t="s">
        <v>263</v>
      </c>
      <c r="B736" s="11">
        <v>45992</v>
      </c>
      <c r="C736" t="s">
        <v>31</v>
      </c>
      <c r="D736" t="s">
        <v>62</v>
      </c>
      <c r="E736" t="s">
        <v>33</v>
      </c>
      <c r="F736" s="10" t="s">
        <v>46</v>
      </c>
      <c r="G736" s="3" t="s">
        <v>87</v>
      </c>
      <c r="H736" s="3" t="s">
        <v>9</v>
      </c>
      <c r="I736" s="3" t="s">
        <v>8</v>
      </c>
      <c r="J736" s="1">
        <v>0</v>
      </c>
      <c r="K736" s="12">
        <v>0</v>
      </c>
      <c r="L736" s="1">
        <v>173.934</v>
      </c>
      <c r="M736" s="12">
        <v>22.204000000000001</v>
      </c>
      <c r="N736" t="s">
        <v>302</v>
      </c>
      <c r="O736"/>
      <c r="P736" s="2" t="str">
        <f>IF(BD_Receitas[[#This Row],[TIPO DE COBRANÇA]]="Operação Normal",
_xlfn.XLOOKUP(BD_Receitas[[#This Row],[ID]],TabCondicoesComerciais[ID],TabCondicoesComerciais[Volume mínimo 
(m3)],0),"")</f>
        <v/>
      </c>
      <c r="Q736" s="2">
        <f>_xlfn.XLOOKUP(BD_Receitas[[#This Row],[ID]],TabCondicoesComerciais[ID],TabCondicoesComerciais[Vol. 1ºGiro],0)</f>
        <v>1070</v>
      </c>
      <c r="R7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736" s="1">
        <f xml:space="preserve"> IF(BD_Receitas[[#This Row],[TIPO DE COBRANÇA]]="Operação Normal",
_xlfn.XLOOKUP(BD_Receitas[[#This Row],[ID]],TabCondicoesComerciais[ID],TabCondicoesComerciais[Tarifa 2º Giro],0),0)</f>
        <v>0</v>
      </c>
      <c r="T7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7" spans="1:24" hidden="1" x14ac:dyDescent="0.35">
      <c r="A737" s="3" t="s">
        <v>263</v>
      </c>
      <c r="B737" s="11">
        <v>45992</v>
      </c>
      <c r="C737" t="s">
        <v>31</v>
      </c>
      <c r="D737" t="s">
        <v>62</v>
      </c>
      <c r="E737" t="s">
        <v>33</v>
      </c>
      <c r="F737" s="10" t="s">
        <v>46</v>
      </c>
      <c r="G737" s="3" t="s">
        <v>87</v>
      </c>
      <c r="H737" s="3" t="s">
        <v>9</v>
      </c>
      <c r="I737" s="3" t="s">
        <v>15</v>
      </c>
      <c r="J737" s="1">
        <v>65348.32</v>
      </c>
      <c r="K737" s="12">
        <v>1926</v>
      </c>
      <c r="L737" s="1">
        <v>62864.639999999999</v>
      </c>
      <c r="M737" s="12">
        <v>1371.3679999999999</v>
      </c>
      <c r="N737" t="s">
        <v>302</v>
      </c>
      <c r="O737"/>
      <c r="P737" s="2">
        <f>IF(BD_Receitas[[#This Row],[TIPO DE COBRANÇA]]="Operação Normal",
_xlfn.XLOOKUP(BD_Receitas[[#This Row],[ID]],TabCondicoesComerciais[ID],TabCondicoesComerciais[Volume mínimo 
(m3)],0),"")</f>
        <v>3210</v>
      </c>
      <c r="Q737" s="2">
        <f>_xlfn.XLOOKUP(BD_Receitas[[#This Row],[ID]],TabCondicoesComerciais[ID],TabCondicoesComerciais[Vol. 1ºGiro],0)</f>
        <v>1070</v>
      </c>
      <c r="R7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737" s="1">
        <f xml:space="preserve"> IF(BD_Receitas[[#This Row],[TIPO DE COBRANÇA]]="Operação Normal",
_xlfn.XLOOKUP(BD_Receitas[[#This Row],[ID]],TabCondicoesComerciais[ID],TabCondicoesComerciais[Tarifa 2º Giro],0),0)</f>
        <v>32.64</v>
      </c>
      <c r="T737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73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47.719396981700029</v>
      </c>
      <c r="V73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73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44761.451520000002</v>
      </c>
      <c r="X7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38" spans="1:24" hidden="1" x14ac:dyDescent="0.35">
      <c r="A738" s="3" t="s">
        <v>263</v>
      </c>
      <c r="B738" s="11">
        <v>45992</v>
      </c>
      <c r="C738" t="s">
        <v>31</v>
      </c>
      <c r="D738" t="s">
        <v>62</v>
      </c>
      <c r="E738" t="s">
        <v>33</v>
      </c>
      <c r="F738" s="10" t="s">
        <v>46</v>
      </c>
      <c r="G738" s="3" t="s">
        <v>87</v>
      </c>
      <c r="H738" s="3" t="s">
        <v>9</v>
      </c>
      <c r="I738" s="3" t="s">
        <v>65</v>
      </c>
      <c r="J738" s="1">
        <v>0</v>
      </c>
      <c r="K738" s="12">
        <v>0</v>
      </c>
      <c r="L738" s="1"/>
      <c r="M738" s="12"/>
      <c r="N738"/>
      <c r="O738"/>
      <c r="P738" s="2" t="str">
        <f>IF(BD_Receitas[[#This Row],[TIPO DE COBRANÇA]]="Operação Normal",
_xlfn.XLOOKUP(BD_Receitas[[#This Row],[ID]],TabCondicoesComerciais[ID],TabCondicoesComerciais[Volume mínimo 
(m3)],0),"")</f>
        <v/>
      </c>
      <c r="Q738" s="2">
        <f>_xlfn.XLOOKUP(BD_Receitas[[#This Row],[ID]],TabCondicoesComerciais[ID],TabCondicoesComerciais[Vol. 1ºGiro],0)</f>
        <v>1070</v>
      </c>
      <c r="R7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38" s="1">
        <f xml:space="preserve"> IF(BD_Receitas[[#This Row],[TIPO DE COBRANÇA]]="Operação Normal",
_xlfn.XLOOKUP(BD_Receitas[[#This Row],[ID]],TabCondicoesComerciais[ID],TabCondicoesComerciais[Tarifa 2º Giro],0),0)</f>
        <v>0</v>
      </c>
      <c r="T7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39" spans="1:24" hidden="1" x14ac:dyDescent="0.35">
      <c r="A739" s="3" t="s">
        <v>200</v>
      </c>
      <c r="B739" s="11">
        <v>45992</v>
      </c>
      <c r="C739" t="s">
        <v>31</v>
      </c>
      <c r="D739" t="s">
        <v>203</v>
      </c>
      <c r="E739" t="s">
        <v>32</v>
      </c>
      <c r="F739" s="10" t="s">
        <v>25</v>
      </c>
      <c r="G739" s="3" t="s">
        <v>12</v>
      </c>
      <c r="H739" s="3" t="s">
        <v>10</v>
      </c>
      <c r="I739" s="3" t="s">
        <v>7</v>
      </c>
      <c r="J739" s="1">
        <v>0</v>
      </c>
      <c r="K739" s="12">
        <v>0</v>
      </c>
      <c r="L739" s="1">
        <v>399.11</v>
      </c>
      <c r="M739" s="12">
        <v>14.254</v>
      </c>
      <c r="N739" t="s">
        <v>303</v>
      </c>
      <c r="O739" t="s">
        <v>129</v>
      </c>
      <c r="P739" s="2" t="str">
        <f>IF(BD_Receitas[[#This Row],[TIPO DE COBRANÇA]]="Operação Normal",
_xlfn.XLOOKUP(BD_Receitas[[#This Row],[ID]],TabCondicoesComerciais[ID],TabCondicoesComerciais[Volume mínimo 
(m3)],0),"")</f>
        <v/>
      </c>
      <c r="Q739" s="2">
        <f>_xlfn.XLOOKUP(BD_Receitas[[#This Row],[ID]],TabCondicoesComerciais[ID],TabCondicoesComerciais[Vol. 1ºGiro],0)</f>
        <v>2000</v>
      </c>
      <c r="R7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39" s="1">
        <f xml:space="preserve"> IF(BD_Receitas[[#This Row],[TIPO DE COBRANÇA]]="Operação Normal",
_xlfn.XLOOKUP(BD_Receitas[[#This Row],[ID]],TabCondicoesComerciais[ID],TabCondicoesComerciais[Tarifa 2º Giro],0),0)</f>
        <v>0</v>
      </c>
      <c r="T73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3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3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3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0" spans="1:24" hidden="1" x14ac:dyDescent="0.35">
      <c r="A740" s="3" t="s">
        <v>200</v>
      </c>
      <c r="B740" s="11">
        <v>45992</v>
      </c>
      <c r="C740" t="s">
        <v>31</v>
      </c>
      <c r="D740" t="s">
        <v>203</v>
      </c>
      <c r="E740" t="s">
        <v>32</v>
      </c>
      <c r="F740" s="10" t="s">
        <v>25</v>
      </c>
      <c r="G740" s="3" t="s">
        <v>12</v>
      </c>
      <c r="H740" s="3" t="s">
        <v>10</v>
      </c>
      <c r="I740" s="3" t="s">
        <v>7</v>
      </c>
      <c r="J740" s="1">
        <v>0</v>
      </c>
      <c r="K740" s="12">
        <v>0</v>
      </c>
      <c r="L740" s="1">
        <v>399.11</v>
      </c>
      <c r="M740" s="12">
        <v>14.254</v>
      </c>
      <c r="N740" t="s">
        <v>303</v>
      </c>
      <c r="O740" t="s">
        <v>129</v>
      </c>
      <c r="P740" s="2" t="str">
        <f>IF(BD_Receitas[[#This Row],[TIPO DE COBRANÇA]]="Operação Normal",
_xlfn.XLOOKUP(BD_Receitas[[#This Row],[ID]],TabCondicoesComerciais[ID],TabCondicoesComerciais[Volume mínimo 
(m3)],0),"")</f>
        <v/>
      </c>
      <c r="Q740" s="2">
        <f>_xlfn.XLOOKUP(BD_Receitas[[#This Row],[ID]],TabCondicoesComerciais[ID],TabCondicoesComerciais[Vol. 1ºGiro],0)</f>
        <v>2000</v>
      </c>
      <c r="R7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40" s="1">
        <f xml:space="preserve"> IF(BD_Receitas[[#This Row],[TIPO DE COBRANÇA]]="Operação Normal",
_xlfn.XLOOKUP(BD_Receitas[[#This Row],[ID]],TabCondicoesComerciais[ID],TabCondicoesComerciais[Tarifa 2º Giro],0),0)</f>
        <v>0</v>
      </c>
      <c r="T7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1" spans="1:24" hidden="1" x14ac:dyDescent="0.35">
      <c r="A741" s="3" t="s">
        <v>200</v>
      </c>
      <c r="B741" s="11">
        <v>45992</v>
      </c>
      <c r="C741" t="s">
        <v>31</v>
      </c>
      <c r="D741" t="s">
        <v>203</v>
      </c>
      <c r="E741" t="s">
        <v>32</v>
      </c>
      <c r="F741" s="10" t="s">
        <v>25</v>
      </c>
      <c r="G741" s="3" t="s">
        <v>12</v>
      </c>
      <c r="H741" s="3" t="s">
        <v>10</v>
      </c>
      <c r="I741" s="3" t="s">
        <v>7</v>
      </c>
      <c r="J741" s="1">
        <v>0</v>
      </c>
      <c r="K741" s="12">
        <v>0</v>
      </c>
      <c r="L741" s="1">
        <v>399.11</v>
      </c>
      <c r="M741" s="12">
        <v>14.254</v>
      </c>
      <c r="N741" t="s">
        <v>303</v>
      </c>
      <c r="O741" t="s">
        <v>129</v>
      </c>
      <c r="P741" s="2" t="str">
        <f>IF(BD_Receitas[[#This Row],[TIPO DE COBRANÇA]]="Operação Normal",
_xlfn.XLOOKUP(BD_Receitas[[#This Row],[ID]],TabCondicoesComerciais[ID],TabCondicoesComerciais[Volume mínimo 
(m3)],0),"")</f>
        <v/>
      </c>
      <c r="Q741" s="2">
        <f>_xlfn.XLOOKUP(BD_Receitas[[#This Row],[ID]],TabCondicoesComerciais[ID],TabCondicoesComerciais[Vol. 1ºGiro],0)</f>
        <v>2000</v>
      </c>
      <c r="R7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41" s="1">
        <f xml:space="preserve"> IF(BD_Receitas[[#This Row],[TIPO DE COBRANÇA]]="Operação Normal",
_xlfn.XLOOKUP(BD_Receitas[[#This Row],[ID]],TabCondicoesComerciais[ID],TabCondicoesComerciais[Tarifa 2º Giro],0),0)</f>
        <v>0</v>
      </c>
      <c r="T7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2" spans="1:24" hidden="1" x14ac:dyDescent="0.35">
      <c r="A742" s="3" t="s">
        <v>200</v>
      </c>
      <c r="B742" s="11">
        <v>45992</v>
      </c>
      <c r="C742" t="s">
        <v>31</v>
      </c>
      <c r="D742" t="s">
        <v>203</v>
      </c>
      <c r="E742" t="s">
        <v>32</v>
      </c>
      <c r="F742" s="10" t="s">
        <v>25</v>
      </c>
      <c r="G742" s="3" t="s">
        <v>12</v>
      </c>
      <c r="H742" s="3" t="s">
        <v>10</v>
      </c>
      <c r="I742" s="3" t="s">
        <v>8</v>
      </c>
      <c r="J742" s="1">
        <v>0</v>
      </c>
      <c r="K742" s="12">
        <v>0</v>
      </c>
      <c r="L742" s="1"/>
      <c r="M742" s="12"/>
      <c r="N742"/>
      <c r="O742"/>
      <c r="P742" s="2" t="str">
        <f>IF(BD_Receitas[[#This Row],[TIPO DE COBRANÇA]]="Operação Normal",
_xlfn.XLOOKUP(BD_Receitas[[#This Row],[ID]],TabCondicoesComerciais[ID],TabCondicoesComerciais[Volume mínimo 
(m3)],0),"")</f>
        <v/>
      </c>
      <c r="Q742" s="2">
        <f>_xlfn.XLOOKUP(BD_Receitas[[#This Row],[ID]],TabCondicoesComerciais[ID],TabCondicoesComerciais[Vol. 1ºGiro],0)</f>
        <v>2000</v>
      </c>
      <c r="R7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42" s="1">
        <f xml:space="preserve"> IF(BD_Receitas[[#This Row],[TIPO DE COBRANÇA]]="Operação Normal",
_xlfn.XLOOKUP(BD_Receitas[[#This Row],[ID]],TabCondicoesComerciais[ID],TabCondicoesComerciais[Tarifa 2º Giro],0),0)</f>
        <v>0</v>
      </c>
      <c r="T7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3" spans="1:24" hidden="1" x14ac:dyDescent="0.35">
      <c r="A743" s="3" t="s">
        <v>200</v>
      </c>
      <c r="B743" s="11">
        <v>45992</v>
      </c>
      <c r="C743" t="s">
        <v>31</v>
      </c>
      <c r="D743" t="s">
        <v>203</v>
      </c>
      <c r="E743" t="s">
        <v>32</v>
      </c>
      <c r="F743" s="10" t="s">
        <v>25</v>
      </c>
      <c r="G743" s="3" t="s">
        <v>12</v>
      </c>
      <c r="H743" s="3" t="s">
        <v>10</v>
      </c>
      <c r="I743" s="3" t="s">
        <v>15</v>
      </c>
      <c r="J743" s="1">
        <v>0</v>
      </c>
      <c r="K743" s="12">
        <v>0</v>
      </c>
      <c r="L743" s="1">
        <v>265451.5</v>
      </c>
      <c r="M743" s="12">
        <v>13272.575000000001</v>
      </c>
      <c r="N743" t="s">
        <v>303</v>
      </c>
      <c r="O743" t="s">
        <v>155</v>
      </c>
      <c r="P743" s="2">
        <f>IF(BD_Receitas[[#This Row],[TIPO DE COBRANÇA]]="Operação Normal",
_xlfn.XLOOKUP(BD_Receitas[[#This Row],[ID]],TabCondicoesComerciais[ID],TabCondicoesComerciais[Volume mínimo 
(m3)],0),"")</f>
        <v>8000</v>
      </c>
      <c r="Q743" s="2">
        <f>_xlfn.XLOOKUP(BD_Receitas[[#This Row],[ID]],TabCondicoesComerciais[ID],TabCondicoesComerciais[Vol. 1ºGiro],0)</f>
        <v>2000</v>
      </c>
      <c r="R7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743" s="1">
        <f xml:space="preserve"> IF(BD_Receitas[[#This Row],[TIPO DE COBRANÇA]]="Operação Normal",
_xlfn.XLOOKUP(BD_Receitas[[#This Row],[ID]],TabCondicoesComerciais[ID],TabCondicoesComerciais[Tarifa 2º Giro],0),0)</f>
        <v>20</v>
      </c>
      <c r="T743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7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60.090210829473563</v>
      </c>
      <c r="V7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7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265451.5</v>
      </c>
      <c r="X7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744" spans="1:24" hidden="1" x14ac:dyDescent="0.35">
      <c r="A744" s="3" t="s">
        <v>200</v>
      </c>
      <c r="B744" s="11">
        <v>45992</v>
      </c>
      <c r="C744" t="s">
        <v>31</v>
      </c>
      <c r="D744" t="s">
        <v>203</v>
      </c>
      <c r="E744" t="s">
        <v>32</v>
      </c>
      <c r="F744" s="10" t="s">
        <v>25</v>
      </c>
      <c r="G744" s="3" t="s">
        <v>12</v>
      </c>
      <c r="H744" s="3" t="s">
        <v>10</v>
      </c>
      <c r="I744" s="3" t="s">
        <v>15</v>
      </c>
      <c r="J744" s="1">
        <v>0</v>
      </c>
      <c r="K744" s="12">
        <v>0</v>
      </c>
      <c r="L744" s="1">
        <v>265451.5</v>
      </c>
      <c r="M744" s="12">
        <v>13272.575000000001</v>
      </c>
      <c r="N744" t="s">
        <v>303</v>
      </c>
      <c r="O744" t="s">
        <v>155</v>
      </c>
      <c r="P744" s="2">
        <f>IF(BD_Receitas[[#This Row],[TIPO DE COBRANÇA]]="Operação Normal",
_xlfn.XLOOKUP(BD_Receitas[[#This Row],[ID]],TabCondicoesComerciais[ID],TabCondicoesComerciais[Volume mínimo 
(m3)],0),"")</f>
        <v>8000</v>
      </c>
      <c r="Q744" s="2">
        <f>_xlfn.XLOOKUP(BD_Receitas[[#This Row],[ID]],TabCondicoesComerciais[ID],TabCondicoesComerciais[Vol. 1ºGiro],0)</f>
        <v>2000</v>
      </c>
      <c r="R7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744" s="1">
        <f xml:space="preserve"> IF(BD_Receitas[[#This Row],[TIPO DE COBRANÇA]]="Operação Normal",
_xlfn.XLOOKUP(BD_Receitas[[#This Row],[ID]],TabCondicoesComerciais[ID],TabCondicoesComerciais[Tarifa 2º Giro],0),0)</f>
        <v>20</v>
      </c>
      <c r="T744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74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60.090210829473563</v>
      </c>
      <c r="V74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74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265451.5</v>
      </c>
      <c r="X7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745" spans="1:24" hidden="1" x14ac:dyDescent="0.35">
      <c r="A745" s="3" t="s">
        <v>200</v>
      </c>
      <c r="B745" s="11">
        <v>45992</v>
      </c>
      <c r="C745" t="s">
        <v>31</v>
      </c>
      <c r="D745" t="s">
        <v>203</v>
      </c>
      <c r="E745" t="s">
        <v>32</v>
      </c>
      <c r="F745" s="10" t="s">
        <v>25</v>
      </c>
      <c r="G745" s="3" t="s">
        <v>12</v>
      </c>
      <c r="H745" s="3" t="s">
        <v>10</v>
      </c>
      <c r="I745" s="3" t="s">
        <v>15</v>
      </c>
      <c r="J745" s="1">
        <v>0</v>
      </c>
      <c r="K745" s="12">
        <v>0</v>
      </c>
      <c r="L745" s="1">
        <v>265451.5</v>
      </c>
      <c r="M745" s="12">
        <v>13272.575000000001</v>
      </c>
      <c r="N745" t="s">
        <v>303</v>
      </c>
      <c r="O745" t="s">
        <v>155</v>
      </c>
      <c r="P745" s="2">
        <f>IF(BD_Receitas[[#This Row],[TIPO DE COBRANÇA]]="Operação Normal",
_xlfn.XLOOKUP(BD_Receitas[[#This Row],[ID]],TabCondicoesComerciais[ID],TabCondicoesComerciais[Volume mínimo 
(m3)],0),"")</f>
        <v>8000</v>
      </c>
      <c r="Q745" s="2">
        <f>_xlfn.XLOOKUP(BD_Receitas[[#This Row],[ID]],TabCondicoesComerciais[ID],TabCondicoesComerciais[Vol. 1ºGiro],0)</f>
        <v>2000</v>
      </c>
      <c r="R7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745" s="1">
        <f xml:space="preserve"> IF(BD_Receitas[[#This Row],[TIPO DE COBRANÇA]]="Operação Normal",
_xlfn.XLOOKUP(BD_Receitas[[#This Row],[ID]],TabCondicoesComerciais[ID],TabCondicoesComerciais[Tarifa 2º Giro],0),0)</f>
        <v>20</v>
      </c>
      <c r="T74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74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60.090210829473563</v>
      </c>
      <c r="V74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74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265451.5</v>
      </c>
      <c r="X7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746" spans="1:24" hidden="1" x14ac:dyDescent="0.35">
      <c r="A746" s="3" t="s">
        <v>200</v>
      </c>
      <c r="B746" s="11">
        <v>45992</v>
      </c>
      <c r="C746" t="s">
        <v>31</v>
      </c>
      <c r="D746" t="s">
        <v>203</v>
      </c>
      <c r="E746" t="s">
        <v>32</v>
      </c>
      <c r="F746" s="10" t="s">
        <v>25</v>
      </c>
      <c r="G746" s="3" t="s">
        <v>12</v>
      </c>
      <c r="H746" s="3" t="s">
        <v>10</v>
      </c>
      <c r="I746" s="3" t="s">
        <v>65</v>
      </c>
      <c r="J746" s="1">
        <v>0</v>
      </c>
      <c r="K746" s="12">
        <v>0</v>
      </c>
      <c r="L746" s="1"/>
      <c r="M746" s="12"/>
      <c r="N746"/>
      <c r="O746"/>
      <c r="P746" s="2" t="str">
        <f>IF(BD_Receitas[[#This Row],[TIPO DE COBRANÇA]]="Operação Normal",
_xlfn.XLOOKUP(BD_Receitas[[#This Row],[ID]],TabCondicoesComerciais[ID],TabCondicoesComerciais[Volume mínimo 
(m3)],0),"")</f>
        <v/>
      </c>
      <c r="Q746" s="2">
        <f>_xlfn.XLOOKUP(BD_Receitas[[#This Row],[ID]],TabCondicoesComerciais[ID],TabCondicoesComerciais[Vol. 1ºGiro],0)</f>
        <v>2000</v>
      </c>
      <c r="R7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46" s="1">
        <f xml:space="preserve"> IF(BD_Receitas[[#This Row],[TIPO DE COBRANÇA]]="Operação Normal",
_xlfn.XLOOKUP(BD_Receitas[[#This Row],[ID]],TabCondicoesComerciais[ID],TabCondicoesComerciais[Tarifa 2º Giro],0),0)</f>
        <v>0</v>
      </c>
      <c r="T7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7" spans="1:24" hidden="1" x14ac:dyDescent="0.35">
      <c r="A747" s="3" t="s">
        <v>264</v>
      </c>
      <c r="B747" s="11">
        <v>45992</v>
      </c>
      <c r="C747" t="s">
        <v>31</v>
      </c>
      <c r="D747" t="s">
        <v>203</v>
      </c>
      <c r="E747" t="s">
        <v>32</v>
      </c>
      <c r="F747" s="10" t="s">
        <v>25</v>
      </c>
      <c r="G747" s="3" t="s">
        <v>12</v>
      </c>
      <c r="H747" s="3" t="s">
        <v>9</v>
      </c>
      <c r="I747" s="3" t="s">
        <v>7</v>
      </c>
      <c r="J747" s="1">
        <v>0</v>
      </c>
      <c r="K747" s="12">
        <v>0</v>
      </c>
      <c r="L747" s="1">
        <v>3672.44</v>
      </c>
      <c r="M747" s="12">
        <v>408.04899999999998</v>
      </c>
      <c r="N747" t="s">
        <v>287</v>
      </c>
      <c r="O747" t="s">
        <v>129</v>
      </c>
      <c r="P747" s="2" t="str">
        <f>IF(BD_Receitas[[#This Row],[TIPO DE COBRANÇA]]="Operação Normal",
_xlfn.XLOOKUP(BD_Receitas[[#This Row],[ID]],TabCondicoesComerciais[ID],TabCondicoesComerciais[Volume mínimo 
(m3)],0),"")</f>
        <v/>
      </c>
      <c r="Q747" s="2">
        <f>_xlfn.XLOOKUP(BD_Receitas[[#This Row],[ID]],TabCondicoesComerciais[ID],TabCondicoesComerciais[Vol. 1ºGiro],0)</f>
        <v>1125</v>
      </c>
      <c r="R7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47" s="1">
        <f xml:space="preserve"> IF(BD_Receitas[[#This Row],[TIPO DE COBRANÇA]]="Operação Normal",
_xlfn.XLOOKUP(BD_Receitas[[#This Row],[ID]],TabCondicoesComerciais[ID],TabCondicoesComerciais[Tarifa 2º Giro],0),0)</f>
        <v>0</v>
      </c>
      <c r="T74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8" spans="1:24" hidden="1" x14ac:dyDescent="0.35">
      <c r="A748" s="3" t="s">
        <v>264</v>
      </c>
      <c r="B748" s="11">
        <v>45992</v>
      </c>
      <c r="C748" t="s">
        <v>31</v>
      </c>
      <c r="D748" t="s">
        <v>203</v>
      </c>
      <c r="E748" t="s">
        <v>32</v>
      </c>
      <c r="F748" s="10" t="s">
        <v>25</v>
      </c>
      <c r="G748" s="3" t="s">
        <v>12</v>
      </c>
      <c r="H748" s="3" t="s">
        <v>9</v>
      </c>
      <c r="I748" s="3" t="s">
        <v>7</v>
      </c>
      <c r="J748" s="1">
        <v>0</v>
      </c>
      <c r="K748" s="12">
        <v>0</v>
      </c>
      <c r="L748" s="1">
        <v>3672.44</v>
      </c>
      <c r="M748" s="12">
        <v>408.04899999999998</v>
      </c>
      <c r="N748" t="s">
        <v>287</v>
      </c>
      <c r="O748" t="s">
        <v>129</v>
      </c>
      <c r="P748" s="2" t="str">
        <f>IF(BD_Receitas[[#This Row],[TIPO DE COBRANÇA]]="Operação Normal",
_xlfn.XLOOKUP(BD_Receitas[[#This Row],[ID]],TabCondicoesComerciais[ID],TabCondicoesComerciais[Volume mínimo 
(m3)],0),"")</f>
        <v/>
      </c>
      <c r="Q748" s="2">
        <f>_xlfn.XLOOKUP(BD_Receitas[[#This Row],[ID]],TabCondicoesComerciais[ID],TabCondicoesComerciais[Vol. 1ºGiro],0)</f>
        <v>1125</v>
      </c>
      <c r="R7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48" s="1">
        <f xml:space="preserve"> IF(BD_Receitas[[#This Row],[TIPO DE COBRANÇA]]="Operação Normal",
_xlfn.XLOOKUP(BD_Receitas[[#This Row],[ID]],TabCondicoesComerciais[ID],TabCondicoesComerciais[Tarifa 2º Giro],0),0)</f>
        <v>0</v>
      </c>
      <c r="T7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49" spans="1:24" hidden="1" x14ac:dyDescent="0.35">
      <c r="A749" s="3" t="s">
        <v>264</v>
      </c>
      <c r="B749" s="11">
        <v>45992</v>
      </c>
      <c r="C749" t="s">
        <v>31</v>
      </c>
      <c r="D749" t="s">
        <v>203</v>
      </c>
      <c r="E749" t="s">
        <v>32</v>
      </c>
      <c r="F749" s="10" t="s">
        <v>25</v>
      </c>
      <c r="G749" s="3" t="s">
        <v>12</v>
      </c>
      <c r="H749" s="3" t="s">
        <v>9</v>
      </c>
      <c r="I749" s="3" t="s">
        <v>7</v>
      </c>
      <c r="J749" s="1">
        <v>0</v>
      </c>
      <c r="K749" s="12">
        <v>0</v>
      </c>
      <c r="L749" s="1">
        <v>3672.44</v>
      </c>
      <c r="M749" s="12">
        <v>408.04899999999998</v>
      </c>
      <c r="N749" t="s">
        <v>287</v>
      </c>
      <c r="O749" t="s">
        <v>129</v>
      </c>
      <c r="P749" s="2" t="str">
        <f>IF(BD_Receitas[[#This Row],[TIPO DE COBRANÇA]]="Operação Normal",
_xlfn.XLOOKUP(BD_Receitas[[#This Row],[ID]],TabCondicoesComerciais[ID],TabCondicoesComerciais[Volume mínimo 
(m3)],0),"")</f>
        <v/>
      </c>
      <c r="Q749" s="2">
        <f>_xlfn.XLOOKUP(BD_Receitas[[#This Row],[ID]],TabCondicoesComerciais[ID],TabCondicoesComerciais[Vol. 1ºGiro],0)</f>
        <v>1125</v>
      </c>
      <c r="R7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49" s="1">
        <f xml:space="preserve"> IF(BD_Receitas[[#This Row],[TIPO DE COBRANÇA]]="Operação Normal",
_xlfn.XLOOKUP(BD_Receitas[[#This Row],[ID]],TabCondicoesComerciais[ID],TabCondicoesComerciais[Tarifa 2º Giro],0),0)</f>
        <v>0</v>
      </c>
      <c r="T7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0" spans="1:24" hidden="1" x14ac:dyDescent="0.35">
      <c r="A750" s="3" t="s">
        <v>264</v>
      </c>
      <c r="B750" s="11">
        <v>45992</v>
      </c>
      <c r="C750" t="s">
        <v>31</v>
      </c>
      <c r="D750" t="s">
        <v>203</v>
      </c>
      <c r="E750" t="s">
        <v>32</v>
      </c>
      <c r="F750" s="10" t="s">
        <v>25</v>
      </c>
      <c r="G750" s="3" t="s">
        <v>12</v>
      </c>
      <c r="H750" s="3" t="s">
        <v>9</v>
      </c>
      <c r="I750" s="3" t="s">
        <v>8</v>
      </c>
      <c r="J750" s="1">
        <v>0</v>
      </c>
      <c r="K750" s="12">
        <v>0</v>
      </c>
      <c r="L750" s="1"/>
      <c r="M750" s="12"/>
      <c r="N750"/>
      <c r="O750"/>
      <c r="P750" s="2" t="str">
        <f>IF(BD_Receitas[[#This Row],[TIPO DE COBRANÇA]]="Operação Normal",
_xlfn.XLOOKUP(BD_Receitas[[#This Row],[ID]],TabCondicoesComerciais[ID],TabCondicoesComerciais[Volume mínimo 
(m3)],0),"")</f>
        <v/>
      </c>
      <c r="Q750" s="2">
        <f>_xlfn.XLOOKUP(BD_Receitas[[#This Row],[ID]],TabCondicoesComerciais[ID],TabCondicoesComerciais[Vol. 1ºGiro],0)</f>
        <v>1125</v>
      </c>
      <c r="R7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50" s="1">
        <f xml:space="preserve"> IF(BD_Receitas[[#This Row],[TIPO DE COBRANÇA]]="Operação Normal",
_xlfn.XLOOKUP(BD_Receitas[[#This Row],[ID]],TabCondicoesComerciais[ID],TabCondicoesComerciais[Tarifa 2º Giro],0),0)</f>
        <v>0</v>
      </c>
      <c r="T7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1" spans="1:24" hidden="1" x14ac:dyDescent="0.35">
      <c r="A751" s="3" t="s">
        <v>264</v>
      </c>
      <c r="B751" s="11">
        <v>45992</v>
      </c>
      <c r="C751" t="s">
        <v>31</v>
      </c>
      <c r="D751" t="s">
        <v>203</v>
      </c>
      <c r="E751" t="s">
        <v>32</v>
      </c>
      <c r="F751" s="10" t="s">
        <v>25</v>
      </c>
      <c r="G751" s="3" t="s">
        <v>12</v>
      </c>
      <c r="H751" s="3" t="s">
        <v>9</v>
      </c>
      <c r="I751" s="3" t="s">
        <v>15</v>
      </c>
      <c r="J751" s="1">
        <v>165115.51999999999</v>
      </c>
      <c r="K751" s="12">
        <v>5625</v>
      </c>
      <c r="L751" s="1">
        <v>165859</v>
      </c>
      <c r="M751" s="12">
        <v>4914.6369999999997</v>
      </c>
      <c r="N751" t="s">
        <v>287</v>
      </c>
      <c r="O751" t="s">
        <v>155</v>
      </c>
      <c r="P751" s="2">
        <f>IF(BD_Receitas[[#This Row],[TIPO DE COBRANÇA]]="Operação Normal",
_xlfn.XLOOKUP(BD_Receitas[[#This Row],[ID]],TabCondicoesComerciais[ID],TabCondicoesComerciais[Volume mínimo 
(m3)],0),"")</f>
        <v>5625</v>
      </c>
      <c r="Q751" s="2">
        <f>_xlfn.XLOOKUP(BD_Receitas[[#This Row],[ID]],TabCondicoesComerciais[ID],TabCondicoesComerciais[Vol. 1ºGiro],0)</f>
        <v>1125</v>
      </c>
      <c r="R7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751" s="1">
        <f xml:space="preserve"> IF(BD_Receitas[[#This Row],[TIPO DE COBRANÇA]]="Operação Normal",
_xlfn.XLOOKUP(BD_Receitas[[#This Row],[ID]],TabCondicoesComerciais[ID],TabCondicoesComerciais[Tarifa 2º Giro],0),0)</f>
        <v>27.19</v>
      </c>
      <c r="T751" s="5">
        <f>IFERROR(IF(BD_Receitas[[#This Row],[TIPO DE COBRANÇA]]&lt;&gt;"Operação Normal","",BD_Receitas[[#This Row],[Valor Total R$]]/ MAX(BD_Receitas[[#This Row],[Vol. Movimentado M³]],
BD_Receitas[[#This Row],[Volume Mínimo ]])
),0)</f>
        <v>29.486044444444445</v>
      </c>
      <c r="U7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35.989701782654549</v>
      </c>
      <c r="V7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7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133628.98002999998</v>
      </c>
      <c r="X7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52" spans="1:24" hidden="1" x14ac:dyDescent="0.35">
      <c r="A752" s="3" t="s">
        <v>264</v>
      </c>
      <c r="B752" s="11">
        <v>45992</v>
      </c>
      <c r="C752" t="s">
        <v>31</v>
      </c>
      <c r="D752" t="s">
        <v>203</v>
      </c>
      <c r="E752" t="s">
        <v>32</v>
      </c>
      <c r="F752" s="10" t="s">
        <v>25</v>
      </c>
      <c r="G752" s="3" t="s">
        <v>12</v>
      </c>
      <c r="H752" s="3" t="s">
        <v>9</v>
      </c>
      <c r="I752" s="3" t="s">
        <v>65</v>
      </c>
      <c r="J752" s="1">
        <v>0</v>
      </c>
      <c r="K752" s="12">
        <v>0</v>
      </c>
      <c r="L752" s="1"/>
      <c r="M752" s="12"/>
      <c r="N752"/>
      <c r="O752"/>
      <c r="P752" s="2" t="str">
        <f>IF(BD_Receitas[[#This Row],[TIPO DE COBRANÇA]]="Operação Normal",
_xlfn.XLOOKUP(BD_Receitas[[#This Row],[ID]],TabCondicoesComerciais[ID],TabCondicoesComerciais[Volume mínimo 
(m3)],0),"")</f>
        <v/>
      </c>
      <c r="Q752" s="2">
        <f>_xlfn.XLOOKUP(BD_Receitas[[#This Row],[ID]],TabCondicoesComerciais[ID],TabCondicoesComerciais[Vol. 1ºGiro],0)</f>
        <v>1125</v>
      </c>
      <c r="R7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52" s="1">
        <f xml:space="preserve"> IF(BD_Receitas[[#This Row],[TIPO DE COBRANÇA]]="Operação Normal",
_xlfn.XLOOKUP(BD_Receitas[[#This Row],[ID]],TabCondicoesComerciais[ID],TabCondicoesComerciais[Tarifa 2º Giro],0),0)</f>
        <v>0</v>
      </c>
      <c r="T7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3" spans="1:24" hidden="1" x14ac:dyDescent="0.35">
      <c r="A753" s="3" t="s">
        <v>169</v>
      </c>
      <c r="B753" s="11">
        <v>45992</v>
      </c>
      <c r="C753" t="s">
        <v>31</v>
      </c>
      <c r="D753" t="s">
        <v>203</v>
      </c>
      <c r="E753" t="s">
        <v>32</v>
      </c>
      <c r="F753" s="10" t="s">
        <v>25</v>
      </c>
      <c r="G753" s="3" t="s">
        <v>12</v>
      </c>
      <c r="H753" s="3" t="s">
        <v>170</v>
      </c>
      <c r="I753" s="3" t="s">
        <v>7</v>
      </c>
      <c r="J753" s="1">
        <v>0</v>
      </c>
      <c r="K753" s="12">
        <v>0</v>
      </c>
      <c r="L753" s="1"/>
      <c r="M753" s="12"/>
      <c r="N753"/>
      <c r="O753"/>
      <c r="P753" s="2" t="str">
        <f>IF(BD_Receitas[[#This Row],[TIPO DE COBRANÇA]]="Operação Normal",
_xlfn.XLOOKUP(BD_Receitas[[#This Row],[ID]],TabCondicoesComerciais[ID],TabCondicoesComerciais[Volume mínimo 
(m3)],0),"")</f>
        <v/>
      </c>
      <c r="Q753" s="2">
        <f>_xlfn.XLOOKUP(BD_Receitas[[#This Row],[ID]],TabCondicoesComerciais[ID],TabCondicoesComerciais[Vol. 1ºGiro],0)</f>
        <v>1040</v>
      </c>
      <c r="R7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753" s="1">
        <f xml:space="preserve"> IF(BD_Receitas[[#This Row],[TIPO DE COBRANÇA]]="Operação Normal",
_xlfn.XLOOKUP(BD_Receitas[[#This Row],[ID]],TabCondicoesComerciais[ID],TabCondicoesComerciais[Tarifa 2º Giro],0),0)</f>
        <v>0</v>
      </c>
      <c r="T7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4" spans="1:24" hidden="1" x14ac:dyDescent="0.35">
      <c r="A754" s="3" t="s">
        <v>169</v>
      </c>
      <c r="B754" s="11">
        <v>45992</v>
      </c>
      <c r="C754" t="s">
        <v>31</v>
      </c>
      <c r="D754" t="s">
        <v>203</v>
      </c>
      <c r="E754" t="s">
        <v>32</v>
      </c>
      <c r="F754" s="10" t="s">
        <v>25</v>
      </c>
      <c r="G754" s="3" t="s">
        <v>12</v>
      </c>
      <c r="H754" s="3" t="s">
        <v>170</v>
      </c>
      <c r="I754" s="3" t="s">
        <v>8</v>
      </c>
      <c r="J754" s="1">
        <v>0</v>
      </c>
      <c r="K754" s="12">
        <v>0</v>
      </c>
      <c r="L754" s="1"/>
      <c r="M754" s="12"/>
      <c r="N754"/>
      <c r="O754"/>
      <c r="P754" s="2" t="str">
        <f>IF(BD_Receitas[[#This Row],[TIPO DE COBRANÇA]]="Operação Normal",
_xlfn.XLOOKUP(BD_Receitas[[#This Row],[ID]],TabCondicoesComerciais[ID],TabCondicoesComerciais[Volume mínimo 
(m3)],0),"")</f>
        <v/>
      </c>
      <c r="Q754" s="2">
        <f>_xlfn.XLOOKUP(BD_Receitas[[#This Row],[ID]],TabCondicoesComerciais[ID],TabCondicoesComerciais[Vol. 1ºGiro],0)</f>
        <v>1040</v>
      </c>
      <c r="R7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39.81</v>
      </c>
      <c r="S754" s="1">
        <f xml:space="preserve"> IF(BD_Receitas[[#This Row],[TIPO DE COBRANÇA]]="Operação Normal",
_xlfn.XLOOKUP(BD_Receitas[[#This Row],[ID]],TabCondicoesComerciais[ID],TabCondicoesComerciais[Tarifa 2º Giro],0),0)</f>
        <v>0</v>
      </c>
      <c r="T7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5" spans="1:24" hidden="1" x14ac:dyDescent="0.35">
      <c r="A755" s="3" t="s">
        <v>169</v>
      </c>
      <c r="B755" s="11">
        <v>45992</v>
      </c>
      <c r="C755" t="s">
        <v>31</v>
      </c>
      <c r="D755" t="s">
        <v>203</v>
      </c>
      <c r="E755" t="s">
        <v>32</v>
      </c>
      <c r="F755" s="10" t="s">
        <v>25</v>
      </c>
      <c r="G755" s="3" t="s">
        <v>12</v>
      </c>
      <c r="H755" s="3" t="s">
        <v>170</v>
      </c>
      <c r="I755" s="3" t="s">
        <v>15</v>
      </c>
      <c r="J755" s="1">
        <v>123240</v>
      </c>
      <c r="K755" s="12">
        <v>4160</v>
      </c>
      <c r="L755" s="1">
        <v>118310.39999999999</v>
      </c>
      <c r="M755" s="12">
        <v>39.9</v>
      </c>
      <c r="N755" t="s">
        <v>304</v>
      </c>
      <c r="O755" t="s">
        <v>155</v>
      </c>
      <c r="P755" s="2">
        <f>IF(BD_Receitas[[#This Row],[TIPO DE COBRANÇA]]="Operação Normal",
_xlfn.XLOOKUP(BD_Receitas[[#This Row],[ID]],TabCondicoesComerciais[ID],TabCondicoesComerciais[Volume mínimo 
(m3)],0),"")</f>
        <v>4160</v>
      </c>
      <c r="Q755" s="2">
        <f>_xlfn.XLOOKUP(BD_Receitas[[#This Row],[ID]],TabCondicoesComerciais[ID],TabCondicoesComerciais[Vol. 1ºGiro],0)</f>
        <v>1040</v>
      </c>
      <c r="R7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755" s="1">
        <f xml:space="preserve"> IF(BD_Receitas[[#This Row],[TIPO DE COBRANÇA]]="Operação Normal",
_xlfn.XLOOKUP(BD_Receitas[[#This Row],[ID]],TabCondicoesComerciais[ID],TabCondicoesComerciais[Tarifa 2º Giro],0),0)</f>
        <v>28.44</v>
      </c>
      <c r="T755" s="5">
        <f>IFERROR(IF(BD_Receitas[[#This Row],[TIPO DE COBRANÇA]]&lt;&gt;"Operação Normal","",BD_Receitas[[#This Row],[Valor Total R$]]/ MAX(BD_Receitas[[#This Row],[Vol. Movimentado M³]],
BD_Receitas[[#This Row],[Volume Mínimo ]])
),0)</f>
        <v>28.439999999999998</v>
      </c>
      <c r="U7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2965.1729323308268</v>
      </c>
      <c r="V7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7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1134.7560000000001</v>
      </c>
      <c r="X7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756" spans="1:24" hidden="1" x14ac:dyDescent="0.35">
      <c r="A756" s="3" t="s">
        <v>169</v>
      </c>
      <c r="B756" s="11">
        <v>45992</v>
      </c>
      <c r="C756" t="s">
        <v>31</v>
      </c>
      <c r="D756" t="s">
        <v>203</v>
      </c>
      <c r="E756" t="s">
        <v>32</v>
      </c>
      <c r="F756" s="10" t="s">
        <v>25</v>
      </c>
      <c r="G756" s="3" t="s">
        <v>12</v>
      </c>
      <c r="H756" s="3" t="s">
        <v>170</v>
      </c>
      <c r="I756" s="3" t="s">
        <v>65</v>
      </c>
      <c r="J756" s="1">
        <v>0</v>
      </c>
      <c r="K756" s="12">
        <v>0</v>
      </c>
      <c r="L756" s="1"/>
      <c r="M756" s="12"/>
      <c r="N756"/>
      <c r="O756"/>
      <c r="P756" s="2" t="str">
        <f>IF(BD_Receitas[[#This Row],[TIPO DE COBRANÇA]]="Operação Normal",
_xlfn.XLOOKUP(BD_Receitas[[#This Row],[ID]],TabCondicoesComerciais[ID],TabCondicoesComerciais[Volume mínimo 
(m3)],0),"")</f>
        <v/>
      </c>
      <c r="Q756" s="2">
        <f>_xlfn.XLOOKUP(BD_Receitas[[#This Row],[ID]],TabCondicoesComerciais[ID],TabCondicoesComerciais[Vol. 1ºGiro],0)</f>
        <v>1040</v>
      </c>
      <c r="R7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56" s="1">
        <f xml:space="preserve"> IF(BD_Receitas[[#This Row],[TIPO DE COBRANÇA]]="Operação Normal",
_xlfn.XLOOKUP(BD_Receitas[[#This Row],[ID]],TabCondicoesComerciais[ID],TabCondicoesComerciais[Tarifa 2º Giro],0),0)</f>
        <v>0</v>
      </c>
      <c r="T7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7" spans="1:24" hidden="1" x14ac:dyDescent="0.35">
      <c r="A757" s="3" t="s">
        <v>134</v>
      </c>
      <c r="B757" s="11">
        <v>45992</v>
      </c>
      <c r="C757" t="s">
        <v>31</v>
      </c>
      <c r="D757" t="s">
        <v>62</v>
      </c>
      <c r="E757" t="s">
        <v>37</v>
      </c>
      <c r="F757" s="10" t="s">
        <v>57</v>
      </c>
      <c r="G757" s="3" t="s">
        <v>58</v>
      </c>
      <c r="H757" s="3" t="s">
        <v>10</v>
      </c>
      <c r="I757" s="3" t="s">
        <v>7</v>
      </c>
      <c r="J757" s="1">
        <v>0</v>
      </c>
      <c r="K757" s="12">
        <v>0</v>
      </c>
      <c r="L757" s="1"/>
      <c r="M757" s="12"/>
      <c r="N757"/>
      <c r="O757"/>
      <c r="P757" s="2" t="str">
        <f>IF(BD_Receitas[[#This Row],[TIPO DE COBRANÇA]]="Operação Normal",
_xlfn.XLOOKUP(BD_Receitas[[#This Row],[ID]],TabCondicoesComerciais[ID],TabCondicoesComerciais[Volume mínimo 
(m3)],0),"")</f>
        <v/>
      </c>
      <c r="Q757" s="2">
        <f>_xlfn.XLOOKUP(BD_Receitas[[#This Row],[ID]],TabCondicoesComerciais[ID],TabCondicoesComerciais[Vol. 1ºGiro],0)</f>
        <v>310</v>
      </c>
      <c r="R7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57" s="1">
        <f xml:space="preserve"> IF(BD_Receitas[[#This Row],[TIPO DE COBRANÇA]]="Operação Normal",
_xlfn.XLOOKUP(BD_Receitas[[#This Row],[ID]],TabCondicoesComerciais[ID],TabCondicoesComerciais[Tarifa 2º Giro],0),0)</f>
        <v>0</v>
      </c>
      <c r="T7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8" spans="1:24" hidden="1" x14ac:dyDescent="0.35">
      <c r="A758" s="3" t="s">
        <v>134</v>
      </c>
      <c r="B758" s="11">
        <v>45992</v>
      </c>
      <c r="C758" t="s">
        <v>31</v>
      </c>
      <c r="D758" t="s">
        <v>62</v>
      </c>
      <c r="E758" t="s">
        <v>37</v>
      </c>
      <c r="F758" s="10" t="s">
        <v>57</v>
      </c>
      <c r="G758" s="3" t="s">
        <v>58</v>
      </c>
      <c r="H758" s="3" t="s">
        <v>10</v>
      </c>
      <c r="I758" s="3" t="s">
        <v>8</v>
      </c>
      <c r="J758" s="1">
        <v>0</v>
      </c>
      <c r="K758" s="12">
        <v>0</v>
      </c>
      <c r="L758" s="1"/>
      <c r="M758" s="12"/>
      <c r="N758"/>
      <c r="O758"/>
      <c r="P758" s="2" t="str">
        <f>IF(BD_Receitas[[#This Row],[TIPO DE COBRANÇA]]="Operação Normal",
_xlfn.XLOOKUP(BD_Receitas[[#This Row],[ID]],TabCondicoesComerciais[ID],TabCondicoesComerciais[Volume mínimo 
(m3)],0),"")</f>
        <v/>
      </c>
      <c r="Q758" s="2">
        <f>_xlfn.XLOOKUP(BD_Receitas[[#This Row],[ID]],TabCondicoesComerciais[ID],TabCondicoesComerciais[Vol. 1ºGiro],0)</f>
        <v>310</v>
      </c>
      <c r="R7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758" s="1">
        <f xml:space="preserve"> IF(BD_Receitas[[#This Row],[TIPO DE COBRANÇA]]="Operação Normal",
_xlfn.XLOOKUP(BD_Receitas[[#This Row],[ID]],TabCondicoesComerciais[ID],TabCondicoesComerciais[Tarifa 2º Giro],0),0)</f>
        <v>0</v>
      </c>
      <c r="T7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59" spans="1:24" hidden="1" x14ac:dyDescent="0.35">
      <c r="A759" s="3" t="s">
        <v>134</v>
      </c>
      <c r="B759" s="11">
        <v>45992</v>
      </c>
      <c r="C759" t="s">
        <v>31</v>
      </c>
      <c r="D759" t="s">
        <v>62</v>
      </c>
      <c r="E759" t="s">
        <v>37</v>
      </c>
      <c r="F759" s="10" t="s">
        <v>57</v>
      </c>
      <c r="G759" s="3" t="s">
        <v>58</v>
      </c>
      <c r="H759" s="3" t="s">
        <v>10</v>
      </c>
      <c r="I759" s="3" t="s">
        <v>15</v>
      </c>
      <c r="J759" s="1">
        <v>36294.29</v>
      </c>
      <c r="K759" s="12">
        <v>1100</v>
      </c>
      <c r="L759" s="1">
        <v>35019.49</v>
      </c>
      <c r="M759" s="12">
        <v>405.488</v>
      </c>
      <c r="N759" t="s">
        <v>305</v>
      </c>
      <c r="O759"/>
      <c r="P759" s="2">
        <f>IF(BD_Receitas[[#This Row],[TIPO DE COBRANÇA]]="Operação Normal",
_xlfn.XLOOKUP(BD_Receitas[[#This Row],[ID]],TabCondicoesComerciais[ID],TabCondicoesComerciais[Volume mínimo 
(m3)],0),"")</f>
        <v>1100</v>
      </c>
      <c r="Q759" s="2">
        <f>_xlfn.XLOOKUP(BD_Receitas[[#This Row],[ID]],TabCondicoesComerciais[ID],TabCondicoesComerciais[Vol. 1ºGiro],0)</f>
        <v>310</v>
      </c>
      <c r="R7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759" s="1">
        <f xml:space="preserve"> IF(BD_Receitas[[#This Row],[TIPO DE COBRANÇA]]="Operação Normal",
_xlfn.XLOOKUP(BD_Receitas[[#This Row],[ID]],TabCondicoesComerciais[ID],TabCondicoesComerciais[Tarifa 2º Giro],0),0)</f>
        <v>31.04</v>
      </c>
      <c r="T759" s="5">
        <f>IFERROR(IF(BD_Receitas[[#This Row],[TIPO DE COBRANÇA]]&lt;&gt;"Operação Normal","",BD_Receitas[[#This Row],[Valor Total R$]]/ MAX(BD_Receitas[[#This Row],[Vol. Movimentado M³]],
BD_Receitas[[#This Row],[Volume Mínimo ]])
),0)</f>
        <v>31.835899999999999</v>
      </c>
      <c r="U7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86.36381347906719</v>
      </c>
      <c r="V7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7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12586.347519999999</v>
      </c>
      <c r="X7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60" spans="1:24" hidden="1" x14ac:dyDescent="0.35">
      <c r="A760" s="3" t="s">
        <v>134</v>
      </c>
      <c r="B760" s="11">
        <v>45992</v>
      </c>
      <c r="C760" t="s">
        <v>31</v>
      </c>
      <c r="D760" t="s">
        <v>62</v>
      </c>
      <c r="E760" t="s">
        <v>37</v>
      </c>
      <c r="F760" s="10" t="s">
        <v>57</v>
      </c>
      <c r="G760" s="3" t="s">
        <v>58</v>
      </c>
      <c r="H760" s="3" t="s">
        <v>10</v>
      </c>
      <c r="I760" s="3" t="s">
        <v>65</v>
      </c>
      <c r="J760" s="1">
        <v>0</v>
      </c>
      <c r="K760" s="12">
        <v>0</v>
      </c>
      <c r="L760" s="1"/>
      <c r="M760" s="12"/>
      <c r="N760"/>
      <c r="O760"/>
      <c r="P760" s="2" t="str">
        <f>IF(BD_Receitas[[#This Row],[TIPO DE COBRANÇA]]="Operação Normal",
_xlfn.XLOOKUP(BD_Receitas[[#This Row],[ID]],TabCondicoesComerciais[ID],TabCondicoesComerciais[Volume mínimo 
(m3)],0),"")</f>
        <v/>
      </c>
      <c r="Q760" s="2">
        <f>_xlfn.XLOOKUP(BD_Receitas[[#This Row],[ID]],TabCondicoesComerciais[ID],TabCondicoesComerciais[Vol. 1ºGiro],0)</f>
        <v>310</v>
      </c>
      <c r="R7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0" s="1">
        <f xml:space="preserve"> IF(BD_Receitas[[#This Row],[TIPO DE COBRANÇA]]="Operação Normal",
_xlfn.XLOOKUP(BD_Receitas[[#This Row],[ID]],TabCondicoesComerciais[ID],TabCondicoesComerciais[Tarifa 2º Giro],0),0)</f>
        <v>0</v>
      </c>
      <c r="T7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1" spans="1:24" hidden="1" x14ac:dyDescent="0.35">
      <c r="A761" s="3" t="s">
        <v>173</v>
      </c>
      <c r="B761" s="11">
        <v>45992</v>
      </c>
      <c r="C761" t="s">
        <v>31</v>
      </c>
      <c r="D761" t="s">
        <v>62</v>
      </c>
      <c r="E761" t="s">
        <v>37</v>
      </c>
      <c r="F761" s="10" t="s">
        <v>57</v>
      </c>
      <c r="G761" s="3" t="s">
        <v>58</v>
      </c>
      <c r="H761" s="3" t="s">
        <v>6</v>
      </c>
      <c r="I761" s="3" t="s">
        <v>7</v>
      </c>
      <c r="J761" s="1">
        <v>0</v>
      </c>
      <c r="K761" s="12">
        <v>0</v>
      </c>
      <c r="L761" s="1"/>
      <c r="M761" s="12"/>
      <c r="N761"/>
      <c r="O761"/>
      <c r="P761" s="2" t="str">
        <f>IF(BD_Receitas[[#This Row],[TIPO DE COBRANÇA]]="Operação Normal",
_xlfn.XLOOKUP(BD_Receitas[[#This Row],[ID]],TabCondicoesComerciais[ID],TabCondicoesComerciais[Volume mínimo 
(m3)],0),"")</f>
        <v/>
      </c>
      <c r="Q761" s="2">
        <f>_xlfn.XLOOKUP(BD_Receitas[[#This Row],[ID]],TabCondicoesComerciais[ID],TabCondicoesComerciais[Vol. 1ºGiro],0)</f>
        <v>1070</v>
      </c>
      <c r="R7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1" s="1">
        <f xml:space="preserve"> IF(BD_Receitas[[#This Row],[TIPO DE COBRANÇA]]="Operação Normal",
_xlfn.XLOOKUP(BD_Receitas[[#This Row],[ID]],TabCondicoesComerciais[ID],TabCondicoesComerciais[Tarifa 2º Giro],0),0)</f>
        <v>0</v>
      </c>
      <c r="T7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2" spans="1:24" hidden="1" x14ac:dyDescent="0.35">
      <c r="A762" s="3" t="s">
        <v>173</v>
      </c>
      <c r="B762" s="11">
        <v>45992</v>
      </c>
      <c r="C762" t="s">
        <v>31</v>
      </c>
      <c r="D762" t="s">
        <v>62</v>
      </c>
      <c r="E762" t="s">
        <v>37</v>
      </c>
      <c r="F762" s="10" t="s">
        <v>57</v>
      </c>
      <c r="G762" s="3" t="s">
        <v>58</v>
      </c>
      <c r="H762" s="3" t="s">
        <v>6</v>
      </c>
      <c r="I762" s="3" t="s">
        <v>8</v>
      </c>
      <c r="J762" s="1">
        <v>0</v>
      </c>
      <c r="K762" s="12">
        <v>0</v>
      </c>
      <c r="L762" s="1"/>
      <c r="M762" s="12"/>
      <c r="N762"/>
      <c r="O762"/>
      <c r="P762" s="2" t="str">
        <f>IF(BD_Receitas[[#This Row],[TIPO DE COBRANÇA]]="Operação Normal",
_xlfn.XLOOKUP(BD_Receitas[[#This Row],[ID]],TabCondicoesComerciais[ID],TabCondicoesComerciais[Volume mínimo 
(m3)],0),"")</f>
        <v/>
      </c>
      <c r="Q762" s="2">
        <f>_xlfn.XLOOKUP(BD_Receitas[[#This Row],[ID]],TabCondicoesComerciais[ID],TabCondicoesComerciais[Vol. 1ºGiro],0)</f>
        <v>1070</v>
      </c>
      <c r="R7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2" s="1">
        <f xml:space="preserve"> IF(BD_Receitas[[#This Row],[TIPO DE COBRANÇA]]="Operação Normal",
_xlfn.XLOOKUP(BD_Receitas[[#This Row],[ID]],TabCondicoesComerciais[ID],TabCondicoesComerciais[Tarifa 2º Giro],0),0)</f>
        <v>0</v>
      </c>
      <c r="T7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3" spans="1:24" hidden="1" x14ac:dyDescent="0.35">
      <c r="A763" s="3" t="s">
        <v>173</v>
      </c>
      <c r="B763" s="11">
        <v>45992</v>
      </c>
      <c r="C763" t="s">
        <v>31</v>
      </c>
      <c r="D763" t="s">
        <v>62</v>
      </c>
      <c r="E763" t="s">
        <v>37</v>
      </c>
      <c r="F763" s="10" t="s">
        <v>57</v>
      </c>
      <c r="G763" s="3" t="s">
        <v>58</v>
      </c>
      <c r="H763" s="3" t="s">
        <v>6</v>
      </c>
      <c r="I763" s="3" t="s">
        <v>15</v>
      </c>
      <c r="J763" s="1">
        <v>82153.039999999994</v>
      </c>
      <c r="K763" s="12">
        <v>3300</v>
      </c>
      <c r="L763" s="1">
        <v>83110.64</v>
      </c>
      <c r="M763" s="12">
        <v>3459.9859999999999</v>
      </c>
      <c r="N763" t="s">
        <v>306</v>
      </c>
      <c r="O763"/>
      <c r="P763" s="2">
        <f>IF(BD_Receitas[[#This Row],[TIPO DE COBRANÇA]]="Operação Normal",
_xlfn.XLOOKUP(BD_Receitas[[#This Row],[ID]],TabCondicoesComerciais[ID],TabCondicoesComerciais[Volume mínimo 
(m3)],0),"")</f>
        <v>3300</v>
      </c>
      <c r="Q763" s="2">
        <f>_xlfn.XLOOKUP(BD_Receitas[[#This Row],[ID]],TabCondicoesComerciais[ID],TabCondicoesComerciais[Vol. 1ºGiro],0)</f>
        <v>1070</v>
      </c>
      <c r="R7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763" s="1">
        <f xml:space="preserve"> IF(BD_Receitas[[#This Row],[TIPO DE COBRANÇA]]="Operação Normal",
_xlfn.XLOOKUP(BD_Receitas[[#This Row],[ID]],TabCondicoesComerciais[ID],TabCondicoesComerciais[Tarifa 2º Giro],0),0)</f>
        <v>23.42</v>
      </c>
      <c r="T763" s="5">
        <f>IFERROR(IF(BD_Receitas[[#This Row],[TIPO DE COBRANÇA]]&lt;&gt;"Operação Normal","",BD_Receitas[[#This Row],[Valor Total R$]]/ MAX(BD_Receitas[[#This Row],[Vol. Movimentado M³]],
BD_Receitas[[#This Row],[Volume Mínimo ]])
),0)</f>
        <v>24.020513377799794</v>
      </c>
      <c r="U7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24.020513377799794</v>
      </c>
      <c r="V7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7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81032.87212</v>
      </c>
      <c r="X7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64" spans="1:24" hidden="1" x14ac:dyDescent="0.35">
      <c r="A764" s="3" t="s">
        <v>173</v>
      </c>
      <c r="B764" s="11">
        <v>45992</v>
      </c>
      <c r="C764" t="s">
        <v>31</v>
      </c>
      <c r="D764" t="s">
        <v>62</v>
      </c>
      <c r="E764" t="s">
        <v>37</v>
      </c>
      <c r="F764" s="10" t="s">
        <v>57</v>
      </c>
      <c r="G764" s="3" t="s">
        <v>58</v>
      </c>
      <c r="H764" s="3" t="s">
        <v>6</v>
      </c>
      <c r="I764" s="3" t="s">
        <v>65</v>
      </c>
      <c r="J764" s="1">
        <v>0</v>
      </c>
      <c r="K764" s="12">
        <v>0</v>
      </c>
      <c r="L764" s="1"/>
      <c r="M764" s="12"/>
      <c r="N764"/>
      <c r="O764"/>
      <c r="P764" s="2" t="str">
        <f>IF(BD_Receitas[[#This Row],[TIPO DE COBRANÇA]]="Operação Normal",
_xlfn.XLOOKUP(BD_Receitas[[#This Row],[ID]],TabCondicoesComerciais[ID],TabCondicoesComerciais[Volume mínimo 
(m3)],0),"")</f>
        <v/>
      </c>
      <c r="Q764" s="2">
        <f>_xlfn.XLOOKUP(BD_Receitas[[#This Row],[ID]],TabCondicoesComerciais[ID],TabCondicoesComerciais[Vol. 1ºGiro],0)</f>
        <v>1070</v>
      </c>
      <c r="R7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4" s="1">
        <f xml:space="preserve"> IF(BD_Receitas[[#This Row],[TIPO DE COBRANÇA]]="Operação Normal",
_xlfn.XLOOKUP(BD_Receitas[[#This Row],[ID]],TabCondicoesComerciais[ID],TabCondicoesComerciais[Tarifa 2º Giro],0),0)</f>
        <v>0</v>
      </c>
      <c r="T7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5" spans="1:24" hidden="1" x14ac:dyDescent="0.35">
      <c r="A765" s="3" t="s">
        <v>184</v>
      </c>
      <c r="B765" s="11">
        <v>45992</v>
      </c>
      <c r="C765" t="s">
        <v>31</v>
      </c>
      <c r="D765" t="s">
        <v>203</v>
      </c>
      <c r="E765" t="s">
        <v>34</v>
      </c>
      <c r="F765" s="10" t="s">
        <v>26</v>
      </c>
      <c r="G765" s="3" t="s">
        <v>19</v>
      </c>
      <c r="H765" s="3" t="s">
        <v>13</v>
      </c>
      <c r="I765" s="3" t="s">
        <v>7</v>
      </c>
      <c r="J765" s="1">
        <v>0</v>
      </c>
      <c r="K765" s="12">
        <v>0</v>
      </c>
      <c r="L765" s="1"/>
      <c r="M765" s="12"/>
      <c r="N765"/>
      <c r="O765"/>
      <c r="P765" s="2" t="str">
        <f>IF(BD_Receitas[[#This Row],[TIPO DE COBRANÇA]]="Operação Normal",
_xlfn.XLOOKUP(BD_Receitas[[#This Row],[ID]],TabCondicoesComerciais[ID],TabCondicoesComerciais[Volume mínimo 
(m3)],0),"")</f>
        <v/>
      </c>
      <c r="Q765" s="2">
        <f>_xlfn.XLOOKUP(BD_Receitas[[#This Row],[ID]],TabCondicoesComerciais[ID],TabCondicoesComerciais[Vol. 1ºGiro],0)</f>
        <v>340</v>
      </c>
      <c r="R7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5" s="1">
        <f xml:space="preserve"> IF(BD_Receitas[[#This Row],[TIPO DE COBRANÇA]]="Operação Normal",
_xlfn.XLOOKUP(BD_Receitas[[#This Row],[ID]],TabCondicoesComerciais[ID],TabCondicoesComerciais[Tarifa 2º Giro],0),0)</f>
        <v>0</v>
      </c>
      <c r="T7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6" spans="1:24" hidden="1" x14ac:dyDescent="0.35">
      <c r="A766" s="3" t="s">
        <v>184</v>
      </c>
      <c r="B766" s="11">
        <v>45992</v>
      </c>
      <c r="C766" t="s">
        <v>31</v>
      </c>
      <c r="D766" t="s">
        <v>203</v>
      </c>
      <c r="E766" t="s">
        <v>34</v>
      </c>
      <c r="F766" s="10" t="s">
        <v>26</v>
      </c>
      <c r="G766" s="3" t="s">
        <v>19</v>
      </c>
      <c r="H766" s="3" t="s">
        <v>13</v>
      </c>
      <c r="I766" s="3" t="s">
        <v>8</v>
      </c>
      <c r="J766" s="1">
        <v>0</v>
      </c>
      <c r="K766" s="12">
        <v>0</v>
      </c>
      <c r="L766" s="1"/>
      <c r="M766" s="12"/>
      <c r="N766"/>
      <c r="O766"/>
      <c r="P766" s="2" t="str">
        <f>IF(BD_Receitas[[#This Row],[TIPO DE COBRANÇA]]="Operação Normal",
_xlfn.XLOOKUP(BD_Receitas[[#This Row],[ID]],TabCondicoesComerciais[ID],TabCondicoesComerciais[Volume mínimo 
(m3)],0),"")</f>
        <v/>
      </c>
      <c r="Q766" s="2">
        <f>_xlfn.XLOOKUP(BD_Receitas[[#This Row],[ID]],TabCondicoesComerciais[ID],TabCondicoesComerciais[Vol. 1ºGiro],0)</f>
        <v>340</v>
      </c>
      <c r="R7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766" s="1">
        <f xml:space="preserve"> IF(BD_Receitas[[#This Row],[TIPO DE COBRANÇA]]="Operação Normal",
_xlfn.XLOOKUP(BD_Receitas[[#This Row],[ID]],TabCondicoesComerciais[ID],TabCondicoesComerciais[Tarifa 2º Giro],0),0)</f>
        <v>0</v>
      </c>
      <c r="T7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7" spans="1:24" hidden="1" x14ac:dyDescent="0.35">
      <c r="A767" s="3" t="s">
        <v>184</v>
      </c>
      <c r="B767" s="11">
        <v>45992</v>
      </c>
      <c r="C767" t="s">
        <v>31</v>
      </c>
      <c r="D767" t="s">
        <v>203</v>
      </c>
      <c r="E767" t="s">
        <v>34</v>
      </c>
      <c r="F767" s="10" t="s">
        <v>26</v>
      </c>
      <c r="G767" s="3" t="s">
        <v>19</v>
      </c>
      <c r="H767" s="3" t="s">
        <v>13</v>
      </c>
      <c r="I767" s="3" t="s">
        <v>15</v>
      </c>
      <c r="J767" s="1">
        <v>15310.52</v>
      </c>
      <c r="K767" s="12">
        <v>510</v>
      </c>
      <c r="L767" s="1">
        <v>14280</v>
      </c>
      <c r="M767" s="12">
        <v>937.55</v>
      </c>
      <c r="N767" t="s">
        <v>287</v>
      </c>
      <c r="O767" t="s">
        <v>199</v>
      </c>
      <c r="P767" s="2">
        <f>IF(BD_Receitas[[#This Row],[TIPO DE COBRANÇA]]="Operação Normal",
_xlfn.XLOOKUP(BD_Receitas[[#This Row],[ID]],TabCondicoesComerciais[ID],TabCondicoesComerciais[Volume mínimo 
(m3)],0),"")</f>
        <v>1020</v>
      </c>
      <c r="Q767" s="2">
        <f>_xlfn.XLOOKUP(BD_Receitas[[#This Row],[ID]],TabCondicoesComerciais[ID],TabCondicoesComerciais[Vol. 1ºGiro],0)</f>
        <v>340</v>
      </c>
      <c r="R7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67" s="1">
        <f xml:space="preserve"> IF(BD_Receitas[[#This Row],[TIPO DE COBRANÇA]]="Operação Normal",
_xlfn.XLOOKUP(BD_Receitas[[#This Row],[ID]],TabCondicoesComerciais[ID],TabCondicoesComerciais[Tarifa 2º Giro],0),0)</f>
        <v>28</v>
      </c>
      <c r="T767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7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15.231187669990934</v>
      </c>
      <c r="V7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7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26251.399999999998</v>
      </c>
      <c r="X7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68" spans="1:24" hidden="1" x14ac:dyDescent="0.35">
      <c r="A768" s="3" t="s">
        <v>184</v>
      </c>
      <c r="B768" s="11">
        <v>45992</v>
      </c>
      <c r="C768" t="s">
        <v>31</v>
      </c>
      <c r="D768" t="s">
        <v>203</v>
      </c>
      <c r="E768" t="s">
        <v>34</v>
      </c>
      <c r="F768" s="10" t="s">
        <v>26</v>
      </c>
      <c r="G768" s="3" t="s">
        <v>19</v>
      </c>
      <c r="H768" s="3" t="s">
        <v>13</v>
      </c>
      <c r="I768" s="3" t="s">
        <v>65</v>
      </c>
      <c r="J768" s="1">
        <v>0</v>
      </c>
      <c r="K768" s="12">
        <v>0</v>
      </c>
      <c r="L768" s="1"/>
      <c r="M768" s="12"/>
      <c r="N768"/>
      <c r="O768"/>
      <c r="P768" s="2" t="str">
        <f>IF(BD_Receitas[[#This Row],[TIPO DE COBRANÇA]]="Operação Normal",
_xlfn.XLOOKUP(BD_Receitas[[#This Row],[ID]],TabCondicoesComerciais[ID],TabCondicoesComerciais[Volume mínimo 
(m3)],0),"")</f>
        <v/>
      </c>
      <c r="Q768" s="2">
        <f>_xlfn.XLOOKUP(BD_Receitas[[#This Row],[ID]],TabCondicoesComerciais[ID],TabCondicoesComerciais[Vol. 1ºGiro],0)</f>
        <v>340</v>
      </c>
      <c r="R7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68" s="1">
        <f xml:space="preserve"> IF(BD_Receitas[[#This Row],[TIPO DE COBRANÇA]]="Operação Normal",
_xlfn.XLOOKUP(BD_Receitas[[#This Row],[ID]],TabCondicoesComerciais[ID],TabCondicoesComerciais[Tarifa 2º Giro],0),0)</f>
        <v>0</v>
      </c>
      <c r="T7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69" spans="1:24" hidden="1" x14ac:dyDescent="0.35">
      <c r="A769" s="3" t="s">
        <v>274</v>
      </c>
      <c r="B769" s="11">
        <v>46023</v>
      </c>
      <c r="C769" t="s">
        <v>31</v>
      </c>
      <c r="D769" t="s">
        <v>202</v>
      </c>
      <c r="E769" t="s">
        <v>36</v>
      </c>
      <c r="F769" s="10" t="s">
        <v>48</v>
      </c>
      <c r="G769" s="3" t="s">
        <v>49</v>
      </c>
      <c r="H769" s="3" t="s">
        <v>52</v>
      </c>
      <c r="I769" s="3" t="s">
        <v>7</v>
      </c>
      <c r="J769" s="1">
        <v>0</v>
      </c>
      <c r="K769" s="12">
        <v>0</v>
      </c>
      <c r="L769" s="1"/>
      <c r="M769" s="12"/>
      <c r="N769"/>
      <c r="O769"/>
      <c r="P769" s="2" t="str">
        <f>IF(BD_Receitas[[#This Row],[TIPO DE COBRANÇA]]="Operação Normal",
_xlfn.XLOOKUP(BD_Receitas[[#This Row],[ID]],TabCondicoesComerciais[ID],TabCondicoesComerciais[Volume mínimo 
(m3)],0),"")</f>
        <v/>
      </c>
      <c r="Q769" s="2">
        <f>_xlfn.XLOOKUP(BD_Receitas[[#This Row],[ID]],TabCondicoesComerciais[ID],TabCondicoesComerciais[Vol. 1ºGiro],0)</f>
        <v>360</v>
      </c>
      <c r="R7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769" s="1">
        <f xml:space="preserve"> IF(BD_Receitas[[#This Row],[TIPO DE COBRANÇA]]="Operação Normal",
_xlfn.XLOOKUP(BD_Receitas[[#This Row],[ID]],TabCondicoesComerciais[ID],TabCondicoesComerciais[Tarifa 2º Giro],0),0)</f>
        <v>0</v>
      </c>
      <c r="T7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0" spans="1:24" hidden="1" x14ac:dyDescent="0.35">
      <c r="A770" s="3" t="s">
        <v>274</v>
      </c>
      <c r="B770" s="11">
        <v>46023</v>
      </c>
      <c r="C770" t="s">
        <v>31</v>
      </c>
      <c r="D770" t="s">
        <v>202</v>
      </c>
      <c r="E770" t="s">
        <v>36</v>
      </c>
      <c r="F770" s="10" t="s">
        <v>48</v>
      </c>
      <c r="G770" s="3" t="s">
        <v>49</v>
      </c>
      <c r="H770" s="3" t="s">
        <v>52</v>
      </c>
      <c r="I770" s="3" t="s">
        <v>7</v>
      </c>
      <c r="J770" s="1">
        <v>0</v>
      </c>
      <c r="K770" s="12">
        <v>0</v>
      </c>
      <c r="L770" s="1"/>
      <c r="M770" s="12"/>
      <c r="N770"/>
      <c r="O770"/>
      <c r="P770" s="2" t="str">
        <f>IF(BD_Receitas[[#This Row],[TIPO DE COBRANÇA]]="Operação Normal",
_xlfn.XLOOKUP(BD_Receitas[[#This Row],[ID]],TabCondicoesComerciais[ID],TabCondicoesComerciais[Volume mínimo 
(m3)],0),"")</f>
        <v/>
      </c>
      <c r="Q770" s="2">
        <f>_xlfn.XLOOKUP(BD_Receitas[[#This Row],[ID]],TabCondicoesComerciais[ID],TabCondicoesComerciais[Vol. 1ºGiro],0)</f>
        <v>360</v>
      </c>
      <c r="R7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770" s="1">
        <f xml:space="preserve"> IF(BD_Receitas[[#This Row],[TIPO DE COBRANÇA]]="Operação Normal",
_xlfn.XLOOKUP(BD_Receitas[[#This Row],[ID]],TabCondicoesComerciais[ID],TabCondicoesComerciais[Tarifa 2º Giro],0),0)</f>
        <v>0</v>
      </c>
      <c r="T7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1" spans="1:24" hidden="1" x14ac:dyDescent="0.35">
      <c r="A771" s="3" t="s">
        <v>274</v>
      </c>
      <c r="B771" s="11">
        <v>46023</v>
      </c>
      <c r="C771" t="s">
        <v>31</v>
      </c>
      <c r="D771" t="s">
        <v>202</v>
      </c>
      <c r="E771" t="s">
        <v>36</v>
      </c>
      <c r="F771" s="10" t="s">
        <v>48</v>
      </c>
      <c r="G771" s="3" t="s">
        <v>49</v>
      </c>
      <c r="H771" s="3" t="s">
        <v>52</v>
      </c>
      <c r="I771" s="3" t="s">
        <v>8</v>
      </c>
      <c r="J771" s="1">
        <v>0</v>
      </c>
      <c r="K771" s="12">
        <v>0</v>
      </c>
      <c r="L771" s="1"/>
      <c r="M771" s="12"/>
      <c r="N771"/>
      <c r="O771"/>
      <c r="P771" s="2" t="str">
        <f>IF(BD_Receitas[[#This Row],[TIPO DE COBRANÇA]]="Operação Normal",
_xlfn.XLOOKUP(BD_Receitas[[#This Row],[ID]],TabCondicoesComerciais[ID],TabCondicoesComerciais[Volume mínimo 
(m3)],0),"")</f>
        <v/>
      </c>
      <c r="Q771" s="2">
        <f>_xlfn.XLOOKUP(BD_Receitas[[#This Row],[ID]],TabCondicoesComerciais[ID],TabCondicoesComerciais[Vol. 1ºGiro],0)</f>
        <v>360</v>
      </c>
      <c r="R7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771" s="1">
        <f xml:space="preserve"> IF(BD_Receitas[[#This Row],[TIPO DE COBRANÇA]]="Operação Normal",
_xlfn.XLOOKUP(BD_Receitas[[#This Row],[ID]],TabCondicoesComerciais[ID],TabCondicoesComerciais[Tarifa 2º Giro],0),0)</f>
        <v>0</v>
      </c>
      <c r="T77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2" spans="1:24" hidden="1" x14ac:dyDescent="0.35">
      <c r="A772" s="3" t="s">
        <v>274</v>
      </c>
      <c r="B772" s="11">
        <v>46023</v>
      </c>
      <c r="C772" t="s">
        <v>31</v>
      </c>
      <c r="D772" t="s">
        <v>202</v>
      </c>
      <c r="E772" t="s">
        <v>36</v>
      </c>
      <c r="F772" s="10" t="s">
        <v>48</v>
      </c>
      <c r="G772" s="3" t="s">
        <v>49</v>
      </c>
      <c r="H772" s="3" t="s">
        <v>52</v>
      </c>
      <c r="I772" s="3" t="s">
        <v>15</v>
      </c>
      <c r="J772" s="1">
        <v>93380.944900000002</v>
      </c>
      <c r="K772" s="12">
        <v>2040</v>
      </c>
      <c r="L772" s="1">
        <v>89596.800000000003</v>
      </c>
      <c r="M772" s="12">
        <v>644.99699999999996</v>
      </c>
      <c r="N772" t="s">
        <v>320</v>
      </c>
      <c r="O772" t="s">
        <v>312</v>
      </c>
      <c r="P772" s="2">
        <f>IF(BD_Receitas[[#This Row],[TIPO DE COBRANÇA]]="Operação Normal",
_xlfn.XLOOKUP(BD_Receitas[[#This Row],[ID]],TabCondicoesComerciais[ID],TabCondicoesComerciais[Volume mínimo 
(m3)],0),"")</f>
        <v>2040</v>
      </c>
      <c r="Q772" s="2">
        <f>_xlfn.XLOOKUP(BD_Receitas[[#This Row],[ID]],TabCondicoesComerciais[ID],TabCondicoesComerciais[Vol. 1ºGiro],0)</f>
        <v>360</v>
      </c>
      <c r="R7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772" s="1">
        <f xml:space="preserve"> IF(BD_Receitas[[#This Row],[TIPO DE COBRANÇA]]="Operação Normal",
_xlfn.XLOOKUP(BD_Receitas[[#This Row],[ID]],TabCondicoesComerciais[ID],TabCondicoesComerciais[Tarifa 2º Giro],0),0)</f>
        <v>43.92</v>
      </c>
      <c r="T772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77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138.91041353680717</v>
      </c>
      <c r="V77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77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28328.268239999998</v>
      </c>
      <c r="X7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773" spans="1:24" hidden="1" x14ac:dyDescent="0.35">
      <c r="A773" s="3" t="s">
        <v>274</v>
      </c>
      <c r="B773" s="11">
        <v>46023</v>
      </c>
      <c r="C773" t="s">
        <v>31</v>
      </c>
      <c r="D773" t="s">
        <v>202</v>
      </c>
      <c r="E773" t="s">
        <v>36</v>
      </c>
      <c r="F773" s="10" t="s">
        <v>48</v>
      </c>
      <c r="G773" s="3" t="s">
        <v>49</v>
      </c>
      <c r="H773" s="3" t="s">
        <v>52</v>
      </c>
      <c r="I773" s="3" t="s">
        <v>65</v>
      </c>
      <c r="J773" s="1">
        <v>0</v>
      </c>
      <c r="K773" s="12">
        <v>0</v>
      </c>
      <c r="L773" s="1"/>
      <c r="M773" s="12"/>
      <c r="N773"/>
      <c r="O773"/>
      <c r="P773" s="2" t="str">
        <f>IF(BD_Receitas[[#This Row],[TIPO DE COBRANÇA]]="Operação Normal",
_xlfn.XLOOKUP(BD_Receitas[[#This Row],[ID]],TabCondicoesComerciais[ID],TabCondicoesComerciais[Volume mínimo 
(m3)],0),"")</f>
        <v/>
      </c>
      <c r="Q773" s="2">
        <f>_xlfn.XLOOKUP(BD_Receitas[[#This Row],[ID]],TabCondicoesComerciais[ID],TabCondicoesComerciais[Vol. 1ºGiro],0)</f>
        <v>360</v>
      </c>
      <c r="R7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73" s="1">
        <f xml:space="preserve"> IF(BD_Receitas[[#This Row],[TIPO DE COBRANÇA]]="Operação Normal",
_xlfn.XLOOKUP(BD_Receitas[[#This Row],[ID]],TabCondicoesComerciais[ID],TabCondicoesComerciais[Tarifa 2º Giro],0),0)</f>
        <v>0</v>
      </c>
      <c r="T7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4" spans="1:24" hidden="1" x14ac:dyDescent="0.35">
      <c r="A774" s="3" t="s">
        <v>275</v>
      </c>
      <c r="B774" s="11">
        <v>46023</v>
      </c>
      <c r="C774" t="s">
        <v>31</v>
      </c>
      <c r="D774" t="s">
        <v>202</v>
      </c>
      <c r="E774" t="s">
        <v>36</v>
      </c>
      <c r="F774" s="10" t="s">
        <v>48</v>
      </c>
      <c r="G774" s="3" t="s">
        <v>49</v>
      </c>
      <c r="H774" s="3" t="s">
        <v>14</v>
      </c>
      <c r="I774" s="3" t="s">
        <v>7</v>
      </c>
      <c r="J774" s="1">
        <v>0</v>
      </c>
      <c r="K774" s="12">
        <v>0</v>
      </c>
      <c r="L774" s="1"/>
      <c r="M774" s="12"/>
      <c r="N774"/>
      <c r="O774"/>
      <c r="P774" s="2" t="str">
        <f>IF(BD_Receitas[[#This Row],[TIPO DE COBRANÇA]]="Operação Normal",
_xlfn.XLOOKUP(BD_Receitas[[#This Row],[ID]],TabCondicoesComerciais[ID],TabCondicoesComerciais[Volume mínimo 
(m3)],0),"")</f>
        <v/>
      </c>
      <c r="Q774" s="2">
        <f>_xlfn.XLOOKUP(BD_Receitas[[#This Row],[ID]],TabCondicoesComerciais[ID],TabCondicoesComerciais[Vol. 1ºGiro],0)</f>
        <v>365</v>
      </c>
      <c r="R7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74" s="1">
        <f xml:space="preserve"> IF(BD_Receitas[[#This Row],[TIPO DE COBRANÇA]]="Operação Normal",
_xlfn.XLOOKUP(BD_Receitas[[#This Row],[ID]],TabCondicoesComerciais[ID],TabCondicoesComerciais[Tarifa 2º Giro],0),0)</f>
        <v>0</v>
      </c>
      <c r="T7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5" spans="1:24" hidden="1" x14ac:dyDescent="0.35">
      <c r="A775" s="3" t="s">
        <v>275</v>
      </c>
      <c r="B775" s="11">
        <v>46023</v>
      </c>
      <c r="C775" t="s">
        <v>31</v>
      </c>
      <c r="D775" t="s">
        <v>202</v>
      </c>
      <c r="E775" t="s">
        <v>36</v>
      </c>
      <c r="F775" s="10" t="s">
        <v>48</v>
      </c>
      <c r="G775" s="3" t="s">
        <v>49</v>
      </c>
      <c r="H775" s="3" t="s">
        <v>14</v>
      </c>
      <c r="I775" s="3" t="s">
        <v>8</v>
      </c>
      <c r="J775" s="1">
        <v>0</v>
      </c>
      <c r="K775" s="12">
        <v>0</v>
      </c>
      <c r="L775" s="1"/>
      <c r="M775" s="12"/>
      <c r="N775"/>
      <c r="O775"/>
      <c r="P775" s="2" t="str">
        <f>IF(BD_Receitas[[#This Row],[TIPO DE COBRANÇA]]="Operação Normal",
_xlfn.XLOOKUP(BD_Receitas[[#This Row],[ID]],TabCondicoesComerciais[ID],TabCondicoesComerciais[Volume mínimo 
(m3)],0),"")</f>
        <v/>
      </c>
      <c r="Q775" s="2">
        <f>_xlfn.XLOOKUP(BD_Receitas[[#This Row],[ID]],TabCondicoesComerciais[ID],TabCondicoesComerciais[Vol. 1ºGiro],0)</f>
        <v>365</v>
      </c>
      <c r="R7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75" s="1">
        <f xml:space="preserve"> IF(BD_Receitas[[#This Row],[TIPO DE COBRANÇA]]="Operação Normal",
_xlfn.XLOOKUP(BD_Receitas[[#This Row],[ID]],TabCondicoesComerciais[ID],TabCondicoesComerciais[Tarifa 2º Giro],0),0)</f>
        <v>0</v>
      </c>
      <c r="T77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6" spans="1:24" hidden="1" x14ac:dyDescent="0.35">
      <c r="A776" s="3" t="s">
        <v>275</v>
      </c>
      <c r="B776" s="11">
        <v>46023</v>
      </c>
      <c r="C776" t="s">
        <v>31</v>
      </c>
      <c r="D776" t="s">
        <v>202</v>
      </c>
      <c r="E776" t="s">
        <v>36</v>
      </c>
      <c r="F776" s="10" t="s">
        <v>48</v>
      </c>
      <c r="G776" s="3" t="s">
        <v>49</v>
      </c>
      <c r="H776" s="3" t="s">
        <v>14</v>
      </c>
      <c r="I776" s="3" t="s">
        <v>15</v>
      </c>
      <c r="J776" s="1">
        <v>18715.3959</v>
      </c>
      <c r="K776" s="12">
        <v>936</v>
      </c>
      <c r="L776" s="1">
        <v>17718.48</v>
      </c>
      <c r="M776" s="12">
        <v>586.245</v>
      </c>
      <c r="N776" t="s">
        <v>48</v>
      </c>
      <c r="O776" t="s">
        <v>312</v>
      </c>
      <c r="P776" s="2">
        <f>IF(BD_Receitas[[#This Row],[TIPO DE COBRANÇA]]="Operação Normal",
_xlfn.XLOOKUP(BD_Receitas[[#This Row],[ID]],TabCondicoesComerciais[ID],TabCondicoesComerciais[Volume mínimo 
(m3)],0),"")</f>
        <v>936</v>
      </c>
      <c r="Q776" s="2">
        <f>_xlfn.XLOOKUP(BD_Receitas[[#This Row],[ID]],TabCondicoesComerciais[ID],TabCondicoesComerciais[Vol. 1ºGiro],0)</f>
        <v>365</v>
      </c>
      <c r="R7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776" s="1">
        <f xml:space="preserve"> IF(BD_Receitas[[#This Row],[TIPO DE COBRANÇA]]="Operação Normal",
_xlfn.XLOOKUP(BD_Receitas[[#This Row],[ID]],TabCondicoesComerciais[ID],TabCondicoesComerciais[Tarifa 2º Giro],0),0)</f>
        <v>18.93</v>
      </c>
      <c r="T776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77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30.223677813883274</v>
      </c>
      <c r="V77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77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11097.617849999999</v>
      </c>
      <c r="X7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777" spans="1:24" hidden="1" x14ac:dyDescent="0.35">
      <c r="A777" s="3" t="s">
        <v>275</v>
      </c>
      <c r="B777" s="11">
        <v>46023</v>
      </c>
      <c r="C777" t="s">
        <v>31</v>
      </c>
      <c r="D777" t="s">
        <v>202</v>
      </c>
      <c r="E777" t="s">
        <v>36</v>
      </c>
      <c r="F777" s="10" t="s">
        <v>48</v>
      </c>
      <c r="G777" s="3" t="s">
        <v>49</v>
      </c>
      <c r="H777" s="3" t="s">
        <v>14</v>
      </c>
      <c r="I777" s="3" t="s">
        <v>65</v>
      </c>
      <c r="J777" s="1">
        <v>0</v>
      </c>
      <c r="K777" s="12">
        <v>0</v>
      </c>
      <c r="L777" s="1"/>
      <c r="M777" s="12"/>
      <c r="N777"/>
      <c r="O777"/>
      <c r="P777" s="2" t="str">
        <f>IF(BD_Receitas[[#This Row],[TIPO DE COBRANÇA]]="Operação Normal",
_xlfn.XLOOKUP(BD_Receitas[[#This Row],[ID]],TabCondicoesComerciais[ID],TabCondicoesComerciais[Volume mínimo 
(m3)],0),"")</f>
        <v/>
      </c>
      <c r="Q777" s="2">
        <f>_xlfn.XLOOKUP(BD_Receitas[[#This Row],[ID]],TabCondicoesComerciais[ID],TabCondicoesComerciais[Vol. 1ºGiro],0)</f>
        <v>365</v>
      </c>
      <c r="R7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77" s="1">
        <f xml:space="preserve"> IF(BD_Receitas[[#This Row],[TIPO DE COBRANÇA]]="Operação Normal",
_xlfn.XLOOKUP(BD_Receitas[[#This Row],[ID]],TabCondicoesComerciais[ID],TabCondicoesComerciais[Tarifa 2º Giro],0),0)</f>
        <v>0</v>
      </c>
      <c r="T7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8" spans="1:24" hidden="1" x14ac:dyDescent="0.35">
      <c r="A778" s="3" t="s">
        <v>208</v>
      </c>
      <c r="B778" s="11">
        <v>46023</v>
      </c>
      <c r="C778" t="s">
        <v>31</v>
      </c>
      <c r="D778" t="s">
        <v>202</v>
      </c>
      <c r="E778" t="s">
        <v>35</v>
      </c>
      <c r="F778" s="10" t="s">
        <v>22</v>
      </c>
      <c r="G778" s="3" t="s">
        <v>11</v>
      </c>
      <c r="H778" s="3" t="s">
        <v>207</v>
      </c>
      <c r="I778" s="3" t="s">
        <v>7</v>
      </c>
      <c r="J778" s="1">
        <v>0</v>
      </c>
      <c r="K778" s="12">
        <v>0</v>
      </c>
      <c r="L778" s="1">
        <v>11043.3415</v>
      </c>
      <c r="M778" s="12">
        <v>1226</v>
      </c>
      <c r="N778" t="s">
        <v>309</v>
      </c>
      <c r="O778"/>
      <c r="P778" s="2" t="str">
        <f>IF(BD_Receitas[[#This Row],[TIPO DE COBRANÇA]]="Operação Normal",
_xlfn.XLOOKUP(BD_Receitas[[#This Row],[ID]],TabCondicoesComerciais[ID],TabCondicoesComerciais[Volume mínimo 
(m3)],0),"")</f>
        <v/>
      </c>
      <c r="Q778" s="2">
        <f>_xlfn.XLOOKUP(BD_Receitas[[#This Row],[ID]],TabCondicoesComerciais[ID],TabCondicoesComerciais[Vol. 1ºGiro],0)</f>
        <v>625</v>
      </c>
      <c r="R7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778" s="1">
        <f xml:space="preserve"> IF(BD_Receitas[[#This Row],[TIPO DE COBRANÇA]]="Operação Normal",
_xlfn.XLOOKUP(BD_Receitas[[#This Row],[ID]],TabCondicoesComerciais[ID],TabCondicoesComerciais[Tarifa 2º Giro],0),0)</f>
        <v>0</v>
      </c>
      <c r="T7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79" spans="1:24" hidden="1" x14ac:dyDescent="0.35">
      <c r="A779" s="3" t="s">
        <v>208</v>
      </c>
      <c r="B779" s="11">
        <v>46023</v>
      </c>
      <c r="C779" t="s">
        <v>31</v>
      </c>
      <c r="D779" t="s">
        <v>202</v>
      </c>
      <c r="E779" t="s">
        <v>35</v>
      </c>
      <c r="F779" s="10" t="s">
        <v>22</v>
      </c>
      <c r="G779" s="3" t="s">
        <v>11</v>
      </c>
      <c r="H779" s="3" t="s">
        <v>207</v>
      </c>
      <c r="I779" s="3" t="s">
        <v>8</v>
      </c>
      <c r="J779" s="1">
        <v>0</v>
      </c>
      <c r="K779" s="12">
        <v>0</v>
      </c>
      <c r="L779" s="1">
        <v>7116.7825000000003</v>
      </c>
      <c r="M779" s="12">
        <v>730</v>
      </c>
      <c r="N779" t="s">
        <v>309</v>
      </c>
      <c r="O779"/>
      <c r="P779" s="2" t="str">
        <f>IF(BD_Receitas[[#This Row],[TIPO DE COBRANÇA]]="Operação Normal",
_xlfn.XLOOKUP(BD_Receitas[[#This Row],[ID]],TabCondicoesComerciais[ID],TabCondicoesComerciais[Volume mínimo 
(m3)],0),"")</f>
        <v/>
      </c>
      <c r="Q779" s="2">
        <f>_xlfn.XLOOKUP(BD_Receitas[[#This Row],[ID]],TabCondicoesComerciais[ID],TabCondicoesComerciais[Vol. 1ºGiro],0)</f>
        <v>625</v>
      </c>
      <c r="R7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779" s="1">
        <f xml:space="preserve"> IF(BD_Receitas[[#This Row],[TIPO DE COBRANÇA]]="Operação Normal",
_xlfn.XLOOKUP(BD_Receitas[[#This Row],[ID]],TabCondicoesComerciais[ID],TabCondicoesComerciais[Tarifa 2º Giro],0),0)</f>
        <v>0</v>
      </c>
      <c r="T77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7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7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7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0" spans="1:24" hidden="1" x14ac:dyDescent="0.35">
      <c r="A780" s="3" t="s">
        <v>208</v>
      </c>
      <c r="B780" s="11">
        <v>46023</v>
      </c>
      <c r="C780" t="s">
        <v>31</v>
      </c>
      <c r="D780" t="s">
        <v>202</v>
      </c>
      <c r="E780" t="s">
        <v>35</v>
      </c>
      <c r="F780" s="10" t="s">
        <v>22</v>
      </c>
      <c r="G780" s="3" t="s">
        <v>11</v>
      </c>
      <c r="H780" s="3" t="s">
        <v>207</v>
      </c>
      <c r="I780" s="3" t="s">
        <v>15</v>
      </c>
      <c r="J780" s="1">
        <v>45394.736799999999</v>
      </c>
      <c r="K780" s="12">
        <v>1875</v>
      </c>
      <c r="L780" s="1">
        <v>76811.224000000002</v>
      </c>
      <c r="M780" s="12">
        <v>3128</v>
      </c>
      <c r="N780" t="s">
        <v>309</v>
      </c>
      <c r="O780"/>
      <c r="P780" s="2">
        <f>IF(BD_Receitas[[#This Row],[TIPO DE COBRANÇA]]="Operação Normal",
_xlfn.XLOOKUP(BD_Receitas[[#This Row],[ID]],TabCondicoesComerciais[ID],TabCondicoesComerciais[Volume mínimo 
(m3)],0),"")</f>
        <v>1875</v>
      </c>
      <c r="Q780" s="2">
        <f>_xlfn.XLOOKUP(BD_Receitas[[#This Row],[ID]],TabCondicoesComerciais[ID],TabCondicoesComerciais[Vol. 1ºGiro],0)</f>
        <v>625</v>
      </c>
      <c r="R7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780" s="1">
        <f xml:space="preserve"> IF(BD_Receitas[[#This Row],[TIPO DE COBRANÇA]]="Operação Normal",
_xlfn.XLOOKUP(BD_Receitas[[#This Row],[ID]],TabCondicoesComerciais[ID],TabCondicoesComerciais[Tarifa 2º Giro],0),0)</f>
        <v>33</v>
      </c>
      <c r="T780" s="5">
        <f>IFERROR(IF(BD_Receitas[[#This Row],[TIPO DE COBRANÇA]]&lt;&gt;"Operação Normal","",BD_Receitas[[#This Row],[Valor Total R$]]/ MAX(BD_Receitas[[#This Row],[Vol. Movimentado M³]],
BD_Receitas[[#This Row],[Volume Mínimo ]])
),0)</f>
        <v>24.556017902813299</v>
      </c>
      <c r="U780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30.361684143222504</v>
      </c>
      <c r="V780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780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103224</v>
      </c>
      <c r="X7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81" spans="1:24" hidden="1" x14ac:dyDescent="0.35">
      <c r="A781" s="3" t="s">
        <v>208</v>
      </c>
      <c r="B781" s="11">
        <v>46023</v>
      </c>
      <c r="C781" t="s">
        <v>31</v>
      </c>
      <c r="D781" t="s">
        <v>202</v>
      </c>
      <c r="E781" t="s">
        <v>35</v>
      </c>
      <c r="F781" s="10" t="s">
        <v>22</v>
      </c>
      <c r="G781" s="3" t="s">
        <v>11</v>
      </c>
      <c r="H781" s="3" t="s">
        <v>207</v>
      </c>
      <c r="I781" s="3" t="s">
        <v>65</v>
      </c>
      <c r="J781" s="1">
        <v>0</v>
      </c>
      <c r="K781" s="12">
        <v>0</v>
      </c>
      <c r="L781" s="1"/>
      <c r="M781" s="12"/>
      <c r="N781"/>
      <c r="O781"/>
      <c r="P781" s="2" t="str">
        <f>IF(BD_Receitas[[#This Row],[TIPO DE COBRANÇA]]="Operação Normal",
_xlfn.XLOOKUP(BD_Receitas[[#This Row],[ID]],TabCondicoesComerciais[ID],TabCondicoesComerciais[Volume mínimo 
(m3)],0),"")</f>
        <v/>
      </c>
      <c r="Q781" s="2">
        <f>_xlfn.XLOOKUP(BD_Receitas[[#This Row],[ID]],TabCondicoesComerciais[ID],TabCondicoesComerciais[Vol. 1ºGiro],0)</f>
        <v>625</v>
      </c>
      <c r="R7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81" s="1">
        <f xml:space="preserve"> IF(BD_Receitas[[#This Row],[TIPO DE COBRANÇA]]="Operação Normal",
_xlfn.XLOOKUP(BD_Receitas[[#This Row],[ID]],TabCondicoesComerciais[ID],TabCondicoesComerciais[Tarifa 2º Giro],0),0)</f>
        <v>0</v>
      </c>
      <c r="T7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2" spans="1:24" hidden="1" x14ac:dyDescent="0.35">
      <c r="A782" s="3" t="s">
        <v>190</v>
      </c>
      <c r="B782" s="11">
        <v>46023</v>
      </c>
      <c r="C782" t="s">
        <v>31</v>
      </c>
      <c r="D782" t="s">
        <v>202</v>
      </c>
      <c r="E782" t="s">
        <v>35</v>
      </c>
      <c r="F782" s="10" t="s">
        <v>22</v>
      </c>
      <c r="G782" s="3" t="s">
        <v>11</v>
      </c>
      <c r="H782" s="3" t="s">
        <v>116</v>
      </c>
      <c r="I782" s="3" t="s">
        <v>7</v>
      </c>
      <c r="J782" s="1">
        <v>0</v>
      </c>
      <c r="K782" s="12">
        <v>0</v>
      </c>
      <c r="L782" s="1"/>
      <c r="M782" s="12"/>
      <c r="N782"/>
      <c r="O782"/>
      <c r="P782" s="2" t="str">
        <f>IF(BD_Receitas[[#This Row],[TIPO DE COBRANÇA]]="Operação Normal",
_xlfn.XLOOKUP(BD_Receitas[[#This Row],[ID]],TabCondicoesComerciais[ID],TabCondicoesComerciais[Volume mínimo 
(m3)],0),"")</f>
        <v/>
      </c>
      <c r="Q782" s="2">
        <f>_xlfn.XLOOKUP(BD_Receitas[[#This Row],[ID]],TabCondicoesComerciais[ID],TabCondicoesComerciais[Vol. 1ºGiro],0)</f>
        <v>580</v>
      </c>
      <c r="R7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82" s="1">
        <f xml:space="preserve"> IF(BD_Receitas[[#This Row],[TIPO DE COBRANÇA]]="Operação Normal",
_xlfn.XLOOKUP(BD_Receitas[[#This Row],[ID]],TabCondicoesComerciais[ID],TabCondicoesComerciais[Tarifa 2º Giro],0),0)</f>
        <v>0</v>
      </c>
      <c r="T7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3" spans="1:24" hidden="1" x14ac:dyDescent="0.35">
      <c r="A783" s="3" t="s">
        <v>190</v>
      </c>
      <c r="B783" s="11">
        <v>46023</v>
      </c>
      <c r="C783" t="s">
        <v>31</v>
      </c>
      <c r="D783" t="s">
        <v>202</v>
      </c>
      <c r="E783" t="s">
        <v>35</v>
      </c>
      <c r="F783" s="10" t="s">
        <v>22</v>
      </c>
      <c r="G783" s="3" t="s">
        <v>11</v>
      </c>
      <c r="H783" s="3" t="s">
        <v>116</v>
      </c>
      <c r="I783" s="3" t="s">
        <v>8</v>
      </c>
      <c r="J783" s="1">
        <v>0</v>
      </c>
      <c r="K783" s="12">
        <v>0</v>
      </c>
      <c r="L783" s="1"/>
      <c r="M783" s="12"/>
      <c r="N783"/>
      <c r="O783"/>
      <c r="P783" s="2" t="str">
        <f>IF(BD_Receitas[[#This Row],[TIPO DE COBRANÇA]]="Operação Normal",
_xlfn.XLOOKUP(BD_Receitas[[#This Row],[ID]],TabCondicoesComerciais[ID],TabCondicoesComerciais[Volume mínimo 
(m3)],0),"")</f>
        <v/>
      </c>
      <c r="Q783" s="2">
        <f>_xlfn.XLOOKUP(BD_Receitas[[#This Row],[ID]],TabCondicoesComerciais[ID],TabCondicoesComerciais[Vol. 1ºGiro],0)</f>
        <v>580</v>
      </c>
      <c r="R7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83" s="1">
        <f xml:space="preserve"> IF(BD_Receitas[[#This Row],[TIPO DE COBRANÇA]]="Operação Normal",
_xlfn.XLOOKUP(BD_Receitas[[#This Row],[ID]],TabCondicoesComerciais[ID],TabCondicoesComerciais[Tarifa 2º Giro],0),0)</f>
        <v>0</v>
      </c>
      <c r="T78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4" spans="1:24" hidden="1" x14ac:dyDescent="0.35">
      <c r="A784" s="3" t="s">
        <v>190</v>
      </c>
      <c r="B784" s="11">
        <v>46023</v>
      </c>
      <c r="C784" t="s">
        <v>31</v>
      </c>
      <c r="D784" t="s">
        <v>202</v>
      </c>
      <c r="E784" t="s">
        <v>35</v>
      </c>
      <c r="F784" s="10" t="s">
        <v>22</v>
      </c>
      <c r="G784" s="3" t="s">
        <v>11</v>
      </c>
      <c r="H784" s="3" t="s">
        <v>116</v>
      </c>
      <c r="I784" s="3" t="s">
        <v>65</v>
      </c>
      <c r="J784" s="1">
        <v>0</v>
      </c>
      <c r="K784" s="12">
        <v>0</v>
      </c>
      <c r="L784" s="1"/>
      <c r="M784" s="12"/>
      <c r="N784"/>
      <c r="O784"/>
      <c r="P784" s="2" t="str">
        <f>IF(BD_Receitas[[#This Row],[TIPO DE COBRANÇA]]="Operação Normal",
_xlfn.XLOOKUP(BD_Receitas[[#This Row],[ID]],TabCondicoesComerciais[ID],TabCondicoesComerciais[Volume mínimo 
(m3)],0),"")</f>
        <v/>
      </c>
      <c r="Q784" s="2">
        <f>_xlfn.XLOOKUP(BD_Receitas[[#This Row],[ID]],TabCondicoesComerciais[ID],TabCondicoesComerciais[Vol. 1ºGiro],0)</f>
        <v>580</v>
      </c>
      <c r="R7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84" s="1">
        <f xml:space="preserve"> IF(BD_Receitas[[#This Row],[TIPO DE COBRANÇA]]="Operação Normal",
_xlfn.XLOOKUP(BD_Receitas[[#This Row],[ID]],TabCondicoesComerciais[ID],TabCondicoesComerciais[Tarifa 2º Giro],0),0)</f>
        <v>0</v>
      </c>
      <c r="T7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5" spans="1:24" hidden="1" x14ac:dyDescent="0.35">
      <c r="A785" s="3" t="s">
        <v>172</v>
      </c>
      <c r="B785" s="11">
        <v>46023</v>
      </c>
      <c r="C785" t="s">
        <v>31</v>
      </c>
      <c r="D785" t="s">
        <v>202</v>
      </c>
      <c r="E785" t="s">
        <v>35</v>
      </c>
      <c r="F785" s="10" t="s">
        <v>22</v>
      </c>
      <c r="G785" s="3" t="s">
        <v>11</v>
      </c>
      <c r="H785" s="3" t="s">
        <v>13</v>
      </c>
      <c r="I785" s="3" t="s">
        <v>7</v>
      </c>
      <c r="J785" s="1">
        <v>0</v>
      </c>
      <c r="K785" s="12">
        <v>0</v>
      </c>
      <c r="L785" s="1">
        <v>5839.28</v>
      </c>
      <c r="M785" s="12">
        <v>658</v>
      </c>
      <c r="N785" t="s">
        <v>308</v>
      </c>
      <c r="O785"/>
      <c r="P785" s="2" t="str">
        <f>IF(BD_Receitas[[#This Row],[TIPO DE COBRANÇA]]="Operação Normal",
_xlfn.XLOOKUP(BD_Receitas[[#This Row],[ID]],TabCondicoesComerciais[ID],TabCondicoesComerciais[Volume mínimo 
(m3)],0),"")</f>
        <v/>
      </c>
      <c r="Q785" s="2">
        <f>_xlfn.XLOOKUP(BD_Receitas[[#This Row],[ID]],TabCondicoesComerciais[ID],TabCondicoesComerciais[Vol. 1ºGiro],0)</f>
        <v>750</v>
      </c>
      <c r="R7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85" s="1">
        <f xml:space="preserve"> IF(BD_Receitas[[#This Row],[TIPO DE COBRANÇA]]="Operação Normal",
_xlfn.XLOOKUP(BD_Receitas[[#This Row],[ID]],TabCondicoesComerciais[ID],TabCondicoesComerciais[Tarifa 2º Giro],0),0)</f>
        <v>0</v>
      </c>
      <c r="T7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6" spans="1:24" hidden="1" x14ac:dyDescent="0.35">
      <c r="A786" s="3" t="s">
        <v>172</v>
      </c>
      <c r="B786" s="11">
        <v>46023</v>
      </c>
      <c r="C786" t="s">
        <v>31</v>
      </c>
      <c r="D786" t="s">
        <v>202</v>
      </c>
      <c r="E786" t="s">
        <v>35</v>
      </c>
      <c r="F786" s="10" t="s">
        <v>22</v>
      </c>
      <c r="G786" s="3" t="s">
        <v>11</v>
      </c>
      <c r="H786" s="3" t="s">
        <v>13</v>
      </c>
      <c r="I786" s="3" t="s">
        <v>8</v>
      </c>
      <c r="J786" s="1">
        <v>0</v>
      </c>
      <c r="K786" s="12">
        <v>0</v>
      </c>
      <c r="L786" s="1">
        <v>1987.56</v>
      </c>
      <c r="M786" s="12">
        <v>235</v>
      </c>
      <c r="N786" t="s">
        <v>308</v>
      </c>
      <c r="O786"/>
      <c r="P786" s="2" t="str">
        <f>IF(BD_Receitas[[#This Row],[TIPO DE COBRANÇA]]="Operação Normal",
_xlfn.XLOOKUP(BD_Receitas[[#This Row],[ID]],TabCondicoesComerciais[ID],TabCondicoesComerciais[Volume mínimo 
(m3)],0),"")</f>
        <v/>
      </c>
      <c r="Q786" s="2">
        <f>_xlfn.XLOOKUP(BD_Receitas[[#This Row],[ID]],TabCondicoesComerciais[ID],TabCondicoesComerciais[Vol. 1ºGiro],0)</f>
        <v>750</v>
      </c>
      <c r="R7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786" s="1">
        <f xml:space="preserve"> IF(BD_Receitas[[#This Row],[TIPO DE COBRANÇA]]="Operação Normal",
_xlfn.XLOOKUP(BD_Receitas[[#This Row],[ID]],TabCondicoesComerciais[ID],TabCondicoesComerciais[Tarifa 2º Giro],0),0)</f>
        <v>0</v>
      </c>
      <c r="T7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7" spans="1:24" hidden="1" x14ac:dyDescent="0.35">
      <c r="A787" s="3" t="s">
        <v>172</v>
      </c>
      <c r="B787" s="11">
        <v>46023</v>
      </c>
      <c r="C787" t="s">
        <v>31</v>
      </c>
      <c r="D787" t="s">
        <v>202</v>
      </c>
      <c r="E787" t="s">
        <v>35</v>
      </c>
      <c r="F787" s="10" t="s">
        <v>22</v>
      </c>
      <c r="G787" s="3" t="s">
        <v>11</v>
      </c>
      <c r="H787" s="3" t="s">
        <v>13</v>
      </c>
      <c r="I787" s="3" t="s">
        <v>15</v>
      </c>
      <c r="J787" s="1">
        <v>0</v>
      </c>
      <c r="K787" s="12">
        <v>0</v>
      </c>
      <c r="L787" s="1">
        <v>35182.28</v>
      </c>
      <c r="M787" s="12">
        <v>1580</v>
      </c>
      <c r="N787" t="s">
        <v>308</v>
      </c>
      <c r="O787"/>
      <c r="P787" s="2">
        <f>IF(BD_Receitas[[#This Row],[TIPO DE COBRANÇA]]="Operação Normal",
_xlfn.XLOOKUP(BD_Receitas[[#This Row],[ID]],TabCondicoesComerciais[ID],TabCondicoesComerciais[Volume mínimo 
(m3)],0),"")</f>
        <v>0</v>
      </c>
      <c r="Q787" s="2">
        <f>_xlfn.XLOOKUP(BD_Receitas[[#This Row],[ID]],TabCondicoesComerciais[ID],TabCondicoesComerciais[Vol. 1ºGiro],0)</f>
        <v>750</v>
      </c>
      <c r="R7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787" s="1">
        <f xml:space="preserve"> IF(BD_Receitas[[#This Row],[TIPO DE COBRANÇA]]="Operação Normal",
_xlfn.XLOOKUP(BD_Receitas[[#This Row],[ID]],TabCondicoesComerciais[ID],TabCondicoesComerciais[Tarifa 2º Giro],0),0)</f>
        <v>22.2</v>
      </c>
      <c r="T787" s="5">
        <f>IFERROR(IF(BD_Receitas[[#This Row],[TIPO DE COBRANÇA]]&lt;&gt;"Operação Normal","",BD_Receitas[[#This Row],[Valor Total R$]]/ MAX(BD_Receitas[[#This Row],[Vol. Movimentado M³]],
BD_Receitas[[#This Row],[Volume Mínimo ]])
),0)</f>
        <v>22.267265822784811</v>
      </c>
      <c r="U7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27.220962025316453</v>
      </c>
      <c r="V7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7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35076</v>
      </c>
      <c r="X7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88" spans="1:24" hidden="1" x14ac:dyDescent="0.35">
      <c r="A788" s="3" t="s">
        <v>172</v>
      </c>
      <c r="B788" s="11">
        <v>46023</v>
      </c>
      <c r="C788" t="s">
        <v>31</v>
      </c>
      <c r="D788" t="s">
        <v>202</v>
      </c>
      <c r="E788" t="s">
        <v>35</v>
      </c>
      <c r="F788" s="10" t="s">
        <v>22</v>
      </c>
      <c r="G788" s="3" t="s">
        <v>11</v>
      </c>
      <c r="H788" s="3" t="s">
        <v>13</v>
      </c>
      <c r="I788" s="3" t="s">
        <v>65</v>
      </c>
      <c r="J788" s="1">
        <v>0</v>
      </c>
      <c r="K788" s="12">
        <v>0</v>
      </c>
      <c r="L788" s="1"/>
      <c r="M788" s="12"/>
      <c r="N788"/>
      <c r="O788"/>
      <c r="P788" s="2" t="str">
        <f>IF(BD_Receitas[[#This Row],[TIPO DE COBRANÇA]]="Operação Normal",
_xlfn.XLOOKUP(BD_Receitas[[#This Row],[ID]],TabCondicoesComerciais[ID],TabCondicoesComerciais[Volume mínimo 
(m3)],0),"")</f>
        <v/>
      </c>
      <c r="Q788" s="2">
        <f>_xlfn.XLOOKUP(BD_Receitas[[#This Row],[ID]],TabCondicoesComerciais[ID],TabCondicoesComerciais[Vol. 1ºGiro],0)</f>
        <v>750</v>
      </c>
      <c r="R7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88" s="1">
        <f xml:space="preserve"> IF(BD_Receitas[[#This Row],[TIPO DE COBRANÇA]]="Operação Normal",
_xlfn.XLOOKUP(BD_Receitas[[#This Row],[ID]],TabCondicoesComerciais[ID],TabCondicoesComerciais[Tarifa 2º Giro],0),0)</f>
        <v>0</v>
      </c>
      <c r="T7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89" spans="1:24" hidden="1" x14ac:dyDescent="0.35">
      <c r="A789" s="3" t="s">
        <v>150</v>
      </c>
      <c r="B789" s="11">
        <v>46023</v>
      </c>
      <c r="C789" t="s">
        <v>31</v>
      </c>
      <c r="D789" t="s">
        <v>62</v>
      </c>
      <c r="E789" t="s">
        <v>33</v>
      </c>
      <c r="F789" s="10" t="s">
        <v>46</v>
      </c>
      <c r="G789" s="3" t="s">
        <v>87</v>
      </c>
      <c r="H789" s="3" t="s">
        <v>9</v>
      </c>
      <c r="I789" s="3" t="s">
        <v>7</v>
      </c>
      <c r="J789" s="1">
        <v>0</v>
      </c>
      <c r="K789" s="12">
        <v>0</v>
      </c>
      <c r="L789" s="1">
        <v>618.87599999999998</v>
      </c>
      <c r="M789" s="12">
        <v>83.161000000000001</v>
      </c>
      <c r="N789" t="s">
        <v>22</v>
      </c>
      <c r="O789"/>
      <c r="P789" s="2" t="str">
        <f>IF(BD_Receitas[[#This Row],[TIPO DE COBRANÇA]]="Operação Normal",
_xlfn.XLOOKUP(BD_Receitas[[#This Row],[ID]],TabCondicoesComerciais[ID],TabCondicoesComerciais[Volume mínimo 
(m3)],0),"")</f>
        <v/>
      </c>
      <c r="Q789" s="2">
        <f>_xlfn.XLOOKUP(BD_Receitas[[#This Row],[ID]],TabCondicoesComerciais[ID],TabCondicoesComerciais[Vol. 1ºGiro],0)</f>
        <v>1070</v>
      </c>
      <c r="R7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789" s="1">
        <f xml:space="preserve"> IF(BD_Receitas[[#This Row],[TIPO DE COBRANÇA]]="Operação Normal",
_xlfn.XLOOKUP(BD_Receitas[[#This Row],[ID]],TabCondicoesComerciais[ID],TabCondicoesComerciais[Tarifa 2º Giro],0),0)</f>
        <v>0</v>
      </c>
      <c r="T7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0" spans="1:24" hidden="1" x14ac:dyDescent="0.35">
      <c r="A790" s="3" t="s">
        <v>150</v>
      </c>
      <c r="B790" s="11">
        <v>46023</v>
      </c>
      <c r="C790" t="s">
        <v>31</v>
      </c>
      <c r="D790" t="s">
        <v>62</v>
      </c>
      <c r="E790" t="s">
        <v>33</v>
      </c>
      <c r="F790" s="10" t="s">
        <v>46</v>
      </c>
      <c r="G790" s="3" t="s">
        <v>87</v>
      </c>
      <c r="H790" s="3" t="s">
        <v>9</v>
      </c>
      <c r="I790" s="3" t="s">
        <v>8</v>
      </c>
      <c r="J790" s="1">
        <v>0</v>
      </c>
      <c r="K790" s="12">
        <v>0</v>
      </c>
      <c r="L790" s="1">
        <v>834.62400000000002</v>
      </c>
      <c r="M790" s="12">
        <v>112.152</v>
      </c>
      <c r="N790" t="s">
        <v>22</v>
      </c>
      <c r="O790"/>
      <c r="P790" s="2" t="str">
        <f>IF(BD_Receitas[[#This Row],[TIPO DE COBRANÇA]]="Operação Normal",
_xlfn.XLOOKUP(BD_Receitas[[#This Row],[ID]],TabCondicoesComerciais[ID],TabCondicoesComerciais[Volume mínimo 
(m3)],0),"")</f>
        <v/>
      </c>
      <c r="Q790" s="2">
        <f>_xlfn.XLOOKUP(BD_Receitas[[#This Row],[ID]],TabCondicoesComerciais[ID],TabCondicoesComerciais[Vol. 1ºGiro],0)</f>
        <v>1070</v>
      </c>
      <c r="R7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790" s="1">
        <f xml:space="preserve"> IF(BD_Receitas[[#This Row],[TIPO DE COBRANÇA]]="Operação Normal",
_xlfn.XLOOKUP(BD_Receitas[[#This Row],[ID]],TabCondicoesComerciais[ID],TabCondicoesComerciais[Tarifa 2º Giro],0),0)</f>
        <v>0</v>
      </c>
      <c r="T7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1" spans="1:24" hidden="1" x14ac:dyDescent="0.35">
      <c r="A791" s="3" t="s">
        <v>150</v>
      </c>
      <c r="B791" s="11">
        <v>46023</v>
      </c>
      <c r="C791" t="s">
        <v>31</v>
      </c>
      <c r="D791" t="s">
        <v>62</v>
      </c>
      <c r="E791" t="s">
        <v>33</v>
      </c>
      <c r="F791" s="10" t="s">
        <v>46</v>
      </c>
      <c r="G791" s="3" t="s">
        <v>87</v>
      </c>
      <c r="H791" s="3" t="s">
        <v>9</v>
      </c>
      <c r="I791" s="3" t="s">
        <v>15</v>
      </c>
      <c r="J791" s="1">
        <v>66173.305300000007</v>
      </c>
      <c r="K791" s="12">
        <v>1926</v>
      </c>
      <c r="L791" s="1">
        <v>62864.639999999999</v>
      </c>
      <c r="M791" s="12">
        <v>896.702</v>
      </c>
      <c r="N791" t="s">
        <v>22</v>
      </c>
      <c r="O791"/>
      <c r="P791" s="2">
        <f>IF(BD_Receitas[[#This Row],[TIPO DE COBRANÇA]]="Operação Normal",
_xlfn.XLOOKUP(BD_Receitas[[#This Row],[ID]],TabCondicoesComerciais[ID],TabCondicoesComerciais[Volume mínimo 
(m3)],0),"")</f>
        <v>3210</v>
      </c>
      <c r="Q791" s="2">
        <f>_xlfn.XLOOKUP(BD_Receitas[[#This Row],[ID]],TabCondicoesComerciais[ID],TabCondicoesComerciais[Vol. 1ºGiro],0)</f>
        <v>1070</v>
      </c>
      <c r="R7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791" s="1">
        <f xml:space="preserve"> IF(BD_Receitas[[#This Row],[TIPO DE COBRANÇA]]="Operação Normal",
_xlfn.XLOOKUP(BD_Receitas[[#This Row],[ID]],TabCondicoesComerciais[ID],TabCondicoesComerciais[Tarifa 2º Giro],0),0)</f>
        <v>30</v>
      </c>
      <c r="T791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7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71.727441223505693</v>
      </c>
      <c r="V7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96300</v>
      </c>
      <c r="W7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26901.06</v>
      </c>
      <c r="X7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792" spans="1:24" hidden="1" x14ac:dyDescent="0.35">
      <c r="A792" s="3" t="s">
        <v>150</v>
      </c>
      <c r="B792" s="11">
        <v>46023</v>
      </c>
      <c r="C792" t="s">
        <v>31</v>
      </c>
      <c r="D792" t="s">
        <v>62</v>
      </c>
      <c r="E792" t="s">
        <v>33</v>
      </c>
      <c r="F792" s="10" t="s">
        <v>46</v>
      </c>
      <c r="G792" s="3" t="s">
        <v>87</v>
      </c>
      <c r="H792" s="3" t="s">
        <v>9</v>
      </c>
      <c r="I792" s="3" t="s">
        <v>65</v>
      </c>
      <c r="J792" s="1">
        <v>0</v>
      </c>
      <c r="K792" s="12">
        <v>0</v>
      </c>
      <c r="L792" s="1"/>
      <c r="M792" s="12"/>
      <c r="N792"/>
      <c r="O792"/>
      <c r="P792" s="2" t="str">
        <f>IF(BD_Receitas[[#This Row],[TIPO DE COBRANÇA]]="Operação Normal",
_xlfn.XLOOKUP(BD_Receitas[[#This Row],[ID]],TabCondicoesComerciais[ID],TabCondicoesComerciais[Volume mínimo 
(m3)],0),"")</f>
        <v/>
      </c>
      <c r="Q792" s="2">
        <f>_xlfn.XLOOKUP(BD_Receitas[[#This Row],[ID]],TabCondicoesComerciais[ID],TabCondicoesComerciais[Vol. 1ºGiro],0)</f>
        <v>1070</v>
      </c>
      <c r="R7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92" s="1">
        <f xml:space="preserve"> IF(BD_Receitas[[#This Row],[TIPO DE COBRANÇA]]="Operação Normal",
_xlfn.XLOOKUP(BD_Receitas[[#This Row],[ID]],TabCondicoesComerciais[ID],TabCondicoesComerciais[Tarifa 2º Giro],0),0)</f>
        <v>0</v>
      </c>
      <c r="T7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3" spans="1:24" hidden="1" x14ac:dyDescent="0.35">
      <c r="A793" s="3" t="s">
        <v>200</v>
      </c>
      <c r="B793" s="11">
        <v>46023</v>
      </c>
      <c r="C793" t="s">
        <v>31</v>
      </c>
      <c r="D793" t="s">
        <v>203</v>
      </c>
      <c r="E793" t="s">
        <v>32</v>
      </c>
      <c r="F793" s="10" t="s">
        <v>25</v>
      </c>
      <c r="G793" s="3" t="s">
        <v>12</v>
      </c>
      <c r="H793" s="3" t="s">
        <v>10</v>
      </c>
      <c r="I793" s="3" t="s">
        <v>7</v>
      </c>
      <c r="J793" s="1">
        <v>0</v>
      </c>
      <c r="K793" s="12">
        <v>0</v>
      </c>
      <c r="L793" s="1">
        <v>203.48</v>
      </c>
      <c r="M793" s="12">
        <v>7.2670000000000003</v>
      </c>
      <c r="N793" t="s">
        <v>310</v>
      </c>
      <c r="O793" t="s">
        <v>155</v>
      </c>
      <c r="P793" s="2" t="str">
        <f>IF(BD_Receitas[[#This Row],[TIPO DE COBRANÇA]]="Operação Normal",
_xlfn.XLOOKUP(BD_Receitas[[#This Row],[ID]],TabCondicoesComerciais[ID],TabCondicoesComerciais[Volume mínimo 
(m3)],0),"")</f>
        <v/>
      </c>
      <c r="Q793" s="2">
        <f>_xlfn.XLOOKUP(BD_Receitas[[#This Row],[ID]],TabCondicoesComerciais[ID],TabCondicoesComerciais[Vol. 1ºGiro],0)</f>
        <v>2000</v>
      </c>
      <c r="R7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93" s="1">
        <f xml:space="preserve"> IF(BD_Receitas[[#This Row],[TIPO DE COBRANÇA]]="Operação Normal",
_xlfn.XLOOKUP(BD_Receitas[[#This Row],[ID]],TabCondicoesComerciais[ID],TabCondicoesComerciais[Tarifa 2º Giro],0),0)</f>
        <v>0</v>
      </c>
      <c r="T7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4" spans="1:24" hidden="1" x14ac:dyDescent="0.35">
      <c r="A794" s="3" t="s">
        <v>200</v>
      </c>
      <c r="B794" s="11">
        <v>46023</v>
      </c>
      <c r="C794" t="s">
        <v>31</v>
      </c>
      <c r="D794" t="s">
        <v>203</v>
      </c>
      <c r="E794" t="s">
        <v>32</v>
      </c>
      <c r="F794" s="10" t="s">
        <v>25</v>
      </c>
      <c r="G794" s="3" t="s">
        <v>12</v>
      </c>
      <c r="H794" s="3" t="s">
        <v>10</v>
      </c>
      <c r="I794" s="3" t="s">
        <v>8</v>
      </c>
      <c r="J794" s="1">
        <v>0</v>
      </c>
      <c r="K794" s="12">
        <v>0</v>
      </c>
      <c r="L794" s="1"/>
      <c r="M794" s="12"/>
      <c r="N794"/>
      <c r="O794"/>
      <c r="P794" s="2" t="str">
        <f>IF(BD_Receitas[[#This Row],[TIPO DE COBRANÇA]]="Operação Normal",
_xlfn.XLOOKUP(BD_Receitas[[#This Row],[ID]],TabCondicoesComerciais[ID],TabCondicoesComerciais[Volume mínimo 
(m3)],0),"")</f>
        <v/>
      </c>
      <c r="Q794" s="2">
        <f>_xlfn.XLOOKUP(BD_Receitas[[#This Row],[ID]],TabCondicoesComerciais[ID],TabCondicoesComerciais[Vol. 1ºGiro],0)</f>
        <v>2000</v>
      </c>
      <c r="R7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794" s="1">
        <f xml:space="preserve"> IF(BD_Receitas[[#This Row],[TIPO DE COBRANÇA]]="Operação Normal",
_xlfn.XLOOKUP(BD_Receitas[[#This Row],[ID]],TabCondicoesComerciais[ID],TabCondicoesComerciais[Tarifa 2º Giro],0),0)</f>
        <v>0</v>
      </c>
      <c r="T7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5" spans="1:24" hidden="1" x14ac:dyDescent="0.35">
      <c r="A795" s="3" t="s">
        <v>200</v>
      </c>
      <c r="B795" s="11">
        <v>46023</v>
      </c>
      <c r="C795" t="s">
        <v>31</v>
      </c>
      <c r="D795" t="s">
        <v>203</v>
      </c>
      <c r="E795" t="s">
        <v>32</v>
      </c>
      <c r="F795" s="10" t="s">
        <v>25</v>
      </c>
      <c r="G795" s="3" t="s">
        <v>12</v>
      </c>
      <c r="H795" s="3" t="s">
        <v>10</v>
      </c>
      <c r="I795" s="3" t="s">
        <v>15</v>
      </c>
      <c r="J795" s="1">
        <v>0</v>
      </c>
      <c r="K795" s="12">
        <v>0</v>
      </c>
      <c r="L795" s="1">
        <v>273628.74</v>
      </c>
      <c r="M795" s="12">
        <v>13681.437</v>
      </c>
      <c r="N795" t="s">
        <v>310</v>
      </c>
      <c r="O795" t="s">
        <v>155</v>
      </c>
      <c r="P795" s="2">
        <f>IF(BD_Receitas[[#This Row],[TIPO DE COBRANÇA]]="Operação Normal",
_xlfn.XLOOKUP(BD_Receitas[[#This Row],[ID]],TabCondicoesComerciais[ID],TabCondicoesComerciais[Volume mínimo 
(m3)],0),"")</f>
        <v>8000</v>
      </c>
      <c r="Q795" s="2">
        <f>_xlfn.XLOOKUP(BD_Receitas[[#This Row],[ID]],TabCondicoesComerciais[ID],TabCondicoesComerciais[Vol. 1ºGiro],0)</f>
        <v>2000</v>
      </c>
      <c r="R7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795" s="1">
        <f xml:space="preserve"> IF(BD_Receitas[[#This Row],[TIPO DE COBRANÇA]]="Operação Normal",
_xlfn.XLOOKUP(BD_Receitas[[#This Row],[ID]],TabCondicoesComerciais[ID],TabCondicoesComerciais[Tarifa 2º Giro],0),0)</f>
        <v>20</v>
      </c>
      <c r="T79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7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20.014872706719331</v>
      </c>
      <c r="V7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7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273628.74</v>
      </c>
      <c r="X7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796" spans="1:24" hidden="1" x14ac:dyDescent="0.35">
      <c r="A796" s="3" t="s">
        <v>200</v>
      </c>
      <c r="B796" s="11">
        <v>46023</v>
      </c>
      <c r="C796" t="s">
        <v>31</v>
      </c>
      <c r="D796" t="s">
        <v>203</v>
      </c>
      <c r="E796" t="s">
        <v>32</v>
      </c>
      <c r="F796" s="10" t="s">
        <v>25</v>
      </c>
      <c r="G796" s="3" t="s">
        <v>12</v>
      </c>
      <c r="H796" s="3" t="s">
        <v>10</v>
      </c>
      <c r="I796" s="3" t="s">
        <v>65</v>
      </c>
      <c r="J796" s="1">
        <v>0</v>
      </c>
      <c r="K796" s="12">
        <v>0</v>
      </c>
      <c r="L796" s="1"/>
      <c r="M796" s="12"/>
      <c r="N796"/>
      <c r="O796"/>
      <c r="P796" s="2" t="str">
        <f>IF(BD_Receitas[[#This Row],[TIPO DE COBRANÇA]]="Operação Normal",
_xlfn.XLOOKUP(BD_Receitas[[#This Row],[ID]],TabCondicoesComerciais[ID],TabCondicoesComerciais[Volume mínimo 
(m3)],0),"")</f>
        <v/>
      </c>
      <c r="Q796" s="2">
        <f>_xlfn.XLOOKUP(BD_Receitas[[#This Row],[ID]],TabCondicoesComerciais[ID],TabCondicoesComerciais[Vol. 1ºGiro],0)</f>
        <v>2000</v>
      </c>
      <c r="R7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796" s="1">
        <f xml:space="preserve"> IF(BD_Receitas[[#This Row],[TIPO DE COBRANÇA]]="Operação Normal",
_xlfn.XLOOKUP(BD_Receitas[[#This Row],[ID]],TabCondicoesComerciais[ID],TabCondicoesComerciais[Tarifa 2º Giro],0),0)</f>
        <v>0</v>
      </c>
      <c r="T7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7" spans="1:24" hidden="1" x14ac:dyDescent="0.35">
      <c r="A797" s="3" t="s">
        <v>264</v>
      </c>
      <c r="B797" s="11">
        <v>46023</v>
      </c>
      <c r="C797" t="s">
        <v>31</v>
      </c>
      <c r="D797" t="s">
        <v>203</v>
      </c>
      <c r="E797" t="s">
        <v>32</v>
      </c>
      <c r="F797" s="10" t="s">
        <v>25</v>
      </c>
      <c r="G797" s="3" t="s">
        <v>12</v>
      </c>
      <c r="H797" s="3" t="s">
        <v>9</v>
      </c>
      <c r="I797" s="3" t="s">
        <v>7</v>
      </c>
      <c r="J797" s="1">
        <v>0</v>
      </c>
      <c r="K797" s="12">
        <v>0</v>
      </c>
      <c r="L797" s="1">
        <v>28707.1</v>
      </c>
      <c r="M797" s="12">
        <v>2640.9479999999999</v>
      </c>
      <c r="N797" t="s">
        <v>311</v>
      </c>
      <c r="O797" t="s">
        <v>129</v>
      </c>
      <c r="P797" s="2" t="str">
        <f>IF(BD_Receitas[[#This Row],[TIPO DE COBRANÇA]]="Operação Normal",
_xlfn.XLOOKUP(BD_Receitas[[#This Row],[ID]],TabCondicoesComerciais[ID],TabCondicoesComerciais[Volume mínimo 
(m3)],0),"")</f>
        <v/>
      </c>
      <c r="Q797" s="2">
        <f>_xlfn.XLOOKUP(BD_Receitas[[#This Row],[ID]],TabCondicoesComerciais[ID],TabCondicoesComerciais[Vol. 1ºGiro],0)</f>
        <v>1125</v>
      </c>
      <c r="R7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97" s="1">
        <f xml:space="preserve"> IF(BD_Receitas[[#This Row],[TIPO DE COBRANÇA]]="Operação Normal",
_xlfn.XLOOKUP(BD_Receitas[[#This Row],[ID]],TabCondicoesComerciais[ID],TabCondicoesComerciais[Tarifa 2º Giro],0),0)</f>
        <v>0</v>
      </c>
      <c r="T7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8" spans="1:24" hidden="1" x14ac:dyDescent="0.35">
      <c r="A798" s="3" t="s">
        <v>264</v>
      </c>
      <c r="B798" s="11">
        <v>46023</v>
      </c>
      <c r="C798" t="s">
        <v>31</v>
      </c>
      <c r="D798" t="s">
        <v>203</v>
      </c>
      <c r="E798" t="s">
        <v>32</v>
      </c>
      <c r="F798" s="10" t="s">
        <v>25</v>
      </c>
      <c r="G798" s="3" t="s">
        <v>12</v>
      </c>
      <c r="H798" s="3" t="s">
        <v>9</v>
      </c>
      <c r="I798" s="3" t="s">
        <v>8</v>
      </c>
      <c r="J798" s="1">
        <v>0</v>
      </c>
      <c r="K798" s="12">
        <v>0</v>
      </c>
      <c r="L798" s="1"/>
      <c r="M798" s="12"/>
      <c r="N798"/>
      <c r="O798"/>
      <c r="P798" s="2" t="str">
        <f>IF(BD_Receitas[[#This Row],[TIPO DE COBRANÇA]]="Operação Normal",
_xlfn.XLOOKUP(BD_Receitas[[#This Row],[ID]],TabCondicoesComerciais[ID],TabCondicoesComerciais[Volume mínimo 
(m3)],0),"")</f>
        <v/>
      </c>
      <c r="Q798" s="2">
        <f>_xlfn.XLOOKUP(BD_Receitas[[#This Row],[ID]],TabCondicoesComerciais[ID],TabCondicoesComerciais[Vol. 1ºGiro],0)</f>
        <v>1125</v>
      </c>
      <c r="R7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798" s="1">
        <f xml:space="preserve"> IF(BD_Receitas[[#This Row],[TIPO DE COBRANÇA]]="Operação Normal",
_xlfn.XLOOKUP(BD_Receitas[[#This Row],[ID]],TabCondicoesComerciais[ID],TabCondicoesComerciais[Tarifa 2º Giro],0),0)</f>
        <v>0</v>
      </c>
      <c r="T7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7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7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7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7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799" spans="1:24" hidden="1" x14ac:dyDescent="0.35">
      <c r="A799" s="3" t="s">
        <v>264</v>
      </c>
      <c r="B799" s="11">
        <v>46023</v>
      </c>
      <c r="C799" t="s">
        <v>31</v>
      </c>
      <c r="D799" t="s">
        <v>203</v>
      </c>
      <c r="E799" t="s">
        <v>32</v>
      </c>
      <c r="F799" s="10" t="s">
        <v>25</v>
      </c>
      <c r="G799" s="3" t="s">
        <v>12</v>
      </c>
      <c r="H799" s="3" t="s">
        <v>9</v>
      </c>
      <c r="I799" s="3" t="s">
        <v>15</v>
      </c>
      <c r="J799" s="1">
        <v>159316.4062</v>
      </c>
      <c r="K799" s="12">
        <v>5625</v>
      </c>
      <c r="L799" s="1">
        <v>167624.82</v>
      </c>
      <c r="M799" s="12">
        <v>6164.9440000000004</v>
      </c>
      <c r="N799" t="s">
        <v>311</v>
      </c>
      <c r="O799" t="s">
        <v>155</v>
      </c>
      <c r="P799" s="2">
        <f>IF(BD_Receitas[[#This Row],[TIPO DE COBRANÇA]]="Operação Normal",
_xlfn.XLOOKUP(BD_Receitas[[#This Row],[ID]],TabCondicoesComerciais[ID],TabCondicoesComerciais[Volume mínimo 
(m3)],0),"")</f>
        <v>5625</v>
      </c>
      <c r="Q799" s="2">
        <f>_xlfn.XLOOKUP(BD_Receitas[[#This Row],[ID]],TabCondicoesComerciais[ID],TabCondicoesComerciais[Vol. 1ºGiro],0)</f>
        <v>1125</v>
      </c>
      <c r="R7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799" s="1">
        <f xml:space="preserve"> IF(BD_Receitas[[#This Row],[TIPO DE COBRANÇA]]="Operação Normal",
_xlfn.XLOOKUP(BD_Receitas[[#This Row],[ID]],TabCondicoesComerciais[ID],TabCondicoesComerciais[Tarifa 2º Giro],0),0)</f>
        <v>27.19</v>
      </c>
      <c r="T799" s="5">
        <f>IFERROR(IF(BD_Receitas[[#This Row],[TIPO DE COBRANÇA]]&lt;&gt;"Operação Normal","",BD_Receitas[[#This Row],[Valor Total R$]]/ MAX(BD_Receitas[[#This Row],[Vol. Movimentado M³]],
BD_Receitas[[#This Row],[Volume Mínimo ]])
),0)</f>
        <v>27.189998806152982</v>
      </c>
      <c r="U7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31.846505012859808</v>
      </c>
      <c r="V7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7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167624.82736000002</v>
      </c>
      <c r="X7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800" spans="1:24" hidden="1" x14ac:dyDescent="0.35">
      <c r="A800" s="3" t="s">
        <v>264</v>
      </c>
      <c r="B800" s="11">
        <v>46023</v>
      </c>
      <c r="C800" t="s">
        <v>31</v>
      </c>
      <c r="D800" t="s">
        <v>203</v>
      </c>
      <c r="E800" t="s">
        <v>32</v>
      </c>
      <c r="F800" s="10" t="s">
        <v>25</v>
      </c>
      <c r="G800" s="3" t="s">
        <v>12</v>
      </c>
      <c r="H800" s="3" t="s">
        <v>9</v>
      </c>
      <c r="I800" s="3" t="s">
        <v>65</v>
      </c>
      <c r="J800" s="1">
        <v>0</v>
      </c>
      <c r="K800" s="12">
        <v>0</v>
      </c>
      <c r="L800" s="1"/>
      <c r="M800" s="12"/>
      <c r="N800"/>
      <c r="O800"/>
      <c r="P800" s="2" t="str">
        <f>IF(BD_Receitas[[#This Row],[TIPO DE COBRANÇA]]="Operação Normal",
_xlfn.XLOOKUP(BD_Receitas[[#This Row],[ID]],TabCondicoesComerciais[ID],TabCondicoesComerciais[Volume mínimo 
(m3)],0),"")</f>
        <v/>
      </c>
      <c r="Q800" s="2">
        <f>_xlfn.XLOOKUP(BD_Receitas[[#This Row],[ID]],TabCondicoesComerciais[ID],TabCondicoesComerciais[Vol. 1ºGiro],0)</f>
        <v>1125</v>
      </c>
      <c r="R8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0" s="1">
        <f xml:space="preserve"> IF(BD_Receitas[[#This Row],[TIPO DE COBRANÇA]]="Operação Normal",
_xlfn.XLOOKUP(BD_Receitas[[#This Row],[ID]],TabCondicoesComerciais[ID],TabCondicoesComerciais[Tarifa 2º Giro],0),0)</f>
        <v>0</v>
      </c>
      <c r="T8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1" spans="1:24" hidden="1" x14ac:dyDescent="0.35">
      <c r="A801" s="3" t="s">
        <v>169</v>
      </c>
      <c r="B801" s="11">
        <v>46023</v>
      </c>
      <c r="C801" t="s">
        <v>31</v>
      </c>
      <c r="D801" t="s">
        <v>203</v>
      </c>
      <c r="E801" t="s">
        <v>32</v>
      </c>
      <c r="F801" s="10" t="s">
        <v>25</v>
      </c>
      <c r="G801" s="3" t="s">
        <v>12</v>
      </c>
      <c r="H801" s="3" t="s">
        <v>170</v>
      </c>
      <c r="I801" s="3" t="s">
        <v>15</v>
      </c>
      <c r="J801" s="1">
        <v>123240</v>
      </c>
      <c r="K801" s="12">
        <v>4160</v>
      </c>
      <c r="L801" s="1"/>
      <c r="M801" s="12"/>
      <c r="N801"/>
      <c r="O801"/>
      <c r="P801" s="2">
        <f>IF(BD_Receitas[[#This Row],[TIPO DE COBRANÇA]]="Operação Normal",
_xlfn.XLOOKUP(BD_Receitas[[#This Row],[ID]],TabCondicoesComerciais[ID],TabCondicoesComerciais[Volume mínimo 
(m3)],0),"")</f>
        <v>4160</v>
      </c>
      <c r="Q801" s="2">
        <f>_xlfn.XLOOKUP(BD_Receitas[[#This Row],[ID]],TabCondicoesComerciais[ID],TabCondicoesComerciais[Vol. 1ºGiro],0)</f>
        <v>1040</v>
      </c>
      <c r="R8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28.44</v>
      </c>
      <c r="S801" s="1">
        <f xml:space="preserve"> IF(BD_Receitas[[#This Row],[TIPO DE COBRANÇA]]="Operação Normal",
_xlfn.XLOOKUP(BD_Receitas[[#This Row],[ID]],TabCondicoesComerciais[ID],TabCondicoesComerciais[Tarifa 2º Giro],0),0)</f>
        <v>28.44</v>
      </c>
      <c r="T80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0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0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118310.40000000001</v>
      </c>
      <c r="W80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02" spans="1:24" hidden="1" x14ac:dyDescent="0.35">
      <c r="A802" s="3" t="s">
        <v>134</v>
      </c>
      <c r="B802" s="11">
        <v>46023</v>
      </c>
      <c r="C802" t="s">
        <v>31</v>
      </c>
      <c r="D802" t="s">
        <v>62</v>
      </c>
      <c r="E802" t="s">
        <v>37</v>
      </c>
      <c r="F802" s="10" t="s">
        <v>57</v>
      </c>
      <c r="G802" s="3" t="s">
        <v>58</v>
      </c>
      <c r="H802" s="3" t="s">
        <v>10</v>
      </c>
      <c r="I802" s="3" t="s">
        <v>7</v>
      </c>
      <c r="J802" s="1">
        <v>0</v>
      </c>
      <c r="K802" s="12">
        <v>0</v>
      </c>
      <c r="L802" s="1"/>
      <c r="M802" s="12"/>
      <c r="N802"/>
      <c r="O802"/>
      <c r="P802" s="2" t="str">
        <f>IF(BD_Receitas[[#This Row],[TIPO DE COBRANÇA]]="Operação Normal",
_xlfn.XLOOKUP(BD_Receitas[[#This Row],[ID]],TabCondicoesComerciais[ID],TabCondicoesComerciais[Volume mínimo 
(m3)],0),"")</f>
        <v/>
      </c>
      <c r="Q802" s="2">
        <f>_xlfn.XLOOKUP(BD_Receitas[[#This Row],[ID]],TabCondicoesComerciais[ID],TabCondicoesComerciais[Vol. 1ºGiro],0)</f>
        <v>310</v>
      </c>
      <c r="R8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2" s="1">
        <f xml:space="preserve"> IF(BD_Receitas[[#This Row],[TIPO DE COBRANÇA]]="Operação Normal",
_xlfn.XLOOKUP(BD_Receitas[[#This Row],[ID]],TabCondicoesComerciais[ID],TabCondicoesComerciais[Tarifa 2º Giro],0),0)</f>
        <v>0</v>
      </c>
      <c r="T8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3" spans="1:24" hidden="1" x14ac:dyDescent="0.35">
      <c r="A803" s="3" t="s">
        <v>134</v>
      </c>
      <c r="B803" s="11">
        <v>46023</v>
      </c>
      <c r="C803" t="s">
        <v>31</v>
      </c>
      <c r="D803" t="s">
        <v>62</v>
      </c>
      <c r="E803" t="s">
        <v>37</v>
      </c>
      <c r="F803" s="10" t="s">
        <v>57</v>
      </c>
      <c r="G803" s="3" t="s">
        <v>58</v>
      </c>
      <c r="H803" s="3" t="s">
        <v>10</v>
      </c>
      <c r="I803" s="3" t="s">
        <v>8</v>
      </c>
      <c r="J803" s="1">
        <v>0</v>
      </c>
      <c r="K803" s="12">
        <v>0</v>
      </c>
      <c r="L803" s="1"/>
      <c r="M803" s="12"/>
      <c r="N803"/>
      <c r="O803"/>
      <c r="P803" s="2" t="str">
        <f>IF(BD_Receitas[[#This Row],[TIPO DE COBRANÇA]]="Operação Normal",
_xlfn.XLOOKUP(BD_Receitas[[#This Row],[ID]],TabCondicoesComerciais[ID],TabCondicoesComerciais[Volume mínimo 
(m3)],0),"")</f>
        <v/>
      </c>
      <c r="Q803" s="2">
        <f>_xlfn.XLOOKUP(BD_Receitas[[#This Row],[ID]],TabCondicoesComerciais[ID],TabCondicoesComerciais[Vol. 1ºGiro],0)</f>
        <v>310</v>
      </c>
      <c r="R8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803" s="1">
        <f xml:space="preserve"> IF(BD_Receitas[[#This Row],[TIPO DE COBRANÇA]]="Operação Normal",
_xlfn.XLOOKUP(BD_Receitas[[#This Row],[ID]],TabCondicoesComerciais[ID],TabCondicoesComerciais[Tarifa 2º Giro],0),0)</f>
        <v>0</v>
      </c>
      <c r="T80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4" spans="1:24" hidden="1" x14ac:dyDescent="0.35">
      <c r="A804" s="3" t="s">
        <v>134</v>
      </c>
      <c r="B804" s="11">
        <v>46023</v>
      </c>
      <c r="C804" t="s">
        <v>31</v>
      </c>
      <c r="D804" t="s">
        <v>62</v>
      </c>
      <c r="E804" t="s">
        <v>37</v>
      </c>
      <c r="F804" s="10" t="s">
        <v>57</v>
      </c>
      <c r="G804" s="3" t="s">
        <v>58</v>
      </c>
      <c r="H804" s="3" t="s">
        <v>10</v>
      </c>
      <c r="I804" s="3" t="s">
        <v>15</v>
      </c>
      <c r="J804" s="1">
        <v>17509.743600000002</v>
      </c>
      <c r="K804" s="12">
        <v>550</v>
      </c>
      <c r="L804" s="1"/>
      <c r="M804" s="12"/>
      <c r="N804"/>
      <c r="O804"/>
      <c r="P804" s="2">
        <f>IF(BD_Receitas[[#This Row],[TIPO DE COBRANÇA]]="Operação Normal",
_xlfn.XLOOKUP(BD_Receitas[[#This Row],[ID]],TabCondicoesComerciais[ID],TabCondicoesComerciais[Volume mínimo 
(m3)],0),"")</f>
        <v>1100</v>
      </c>
      <c r="Q804" s="2">
        <f>_xlfn.XLOOKUP(BD_Receitas[[#This Row],[ID]],TabCondicoesComerciais[ID],TabCondicoesComerciais[Vol. 1ºGiro],0)</f>
        <v>310</v>
      </c>
      <c r="R8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804" s="1">
        <f xml:space="preserve"> IF(BD_Receitas[[#This Row],[TIPO DE COBRANÇA]]="Operação Normal",
_xlfn.XLOOKUP(BD_Receitas[[#This Row],[ID]],TabCondicoesComerciais[ID],TabCondicoesComerciais[Tarifa 2º Giro],0),0)</f>
        <v>31.04</v>
      </c>
      <c r="T804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04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04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804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05" spans="1:24" hidden="1" x14ac:dyDescent="0.35">
      <c r="A805" s="3" t="s">
        <v>134</v>
      </c>
      <c r="B805" s="11">
        <v>46023</v>
      </c>
      <c r="C805" t="s">
        <v>31</v>
      </c>
      <c r="D805" t="s">
        <v>62</v>
      </c>
      <c r="E805" t="s">
        <v>37</v>
      </c>
      <c r="F805" s="10" t="s">
        <v>57</v>
      </c>
      <c r="G805" s="3" t="s">
        <v>58</v>
      </c>
      <c r="H805" s="3" t="s">
        <v>10</v>
      </c>
      <c r="I805" s="3" t="s">
        <v>65</v>
      </c>
      <c r="J805" s="1">
        <v>0</v>
      </c>
      <c r="K805" s="12">
        <v>0</v>
      </c>
      <c r="L805" s="1"/>
      <c r="M805" s="12"/>
      <c r="N805"/>
      <c r="O805"/>
      <c r="P805" s="2" t="str">
        <f>IF(BD_Receitas[[#This Row],[TIPO DE COBRANÇA]]="Operação Normal",
_xlfn.XLOOKUP(BD_Receitas[[#This Row],[ID]],TabCondicoesComerciais[ID],TabCondicoesComerciais[Volume mínimo 
(m3)],0),"")</f>
        <v/>
      </c>
      <c r="Q805" s="2">
        <f>_xlfn.XLOOKUP(BD_Receitas[[#This Row],[ID]],TabCondicoesComerciais[ID],TabCondicoesComerciais[Vol. 1ºGiro],0)</f>
        <v>310</v>
      </c>
      <c r="R8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5" s="1">
        <f xml:space="preserve"> IF(BD_Receitas[[#This Row],[TIPO DE COBRANÇA]]="Operação Normal",
_xlfn.XLOOKUP(BD_Receitas[[#This Row],[ID]],TabCondicoesComerciais[ID],TabCondicoesComerciais[Tarifa 2º Giro],0),0)</f>
        <v>0</v>
      </c>
      <c r="T8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6" spans="1:24" hidden="1" x14ac:dyDescent="0.35">
      <c r="A806" s="3" t="s">
        <v>173</v>
      </c>
      <c r="B806" s="11">
        <v>46023</v>
      </c>
      <c r="C806" t="s">
        <v>31</v>
      </c>
      <c r="D806" t="s">
        <v>62</v>
      </c>
      <c r="E806" t="s">
        <v>37</v>
      </c>
      <c r="F806" s="10" t="s">
        <v>57</v>
      </c>
      <c r="G806" s="3" t="s">
        <v>58</v>
      </c>
      <c r="H806" s="3" t="s">
        <v>6</v>
      </c>
      <c r="I806" s="3" t="s">
        <v>7</v>
      </c>
      <c r="J806" s="1">
        <v>0</v>
      </c>
      <c r="K806" s="12">
        <v>0</v>
      </c>
      <c r="L806" s="1"/>
      <c r="M806" s="12"/>
      <c r="N806"/>
      <c r="O806"/>
      <c r="P806" s="2" t="str">
        <f>IF(BD_Receitas[[#This Row],[TIPO DE COBRANÇA]]="Operação Normal",
_xlfn.XLOOKUP(BD_Receitas[[#This Row],[ID]],TabCondicoesComerciais[ID],TabCondicoesComerciais[Volume mínimo 
(m3)],0),"")</f>
        <v/>
      </c>
      <c r="Q806" s="2">
        <f>_xlfn.XLOOKUP(BD_Receitas[[#This Row],[ID]],TabCondicoesComerciais[ID],TabCondicoesComerciais[Vol. 1ºGiro],0)</f>
        <v>1070</v>
      </c>
      <c r="R8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6" s="1">
        <f xml:space="preserve"> IF(BD_Receitas[[#This Row],[TIPO DE COBRANÇA]]="Operação Normal",
_xlfn.XLOOKUP(BD_Receitas[[#This Row],[ID]],TabCondicoesComerciais[ID],TabCondicoesComerciais[Tarifa 2º Giro],0),0)</f>
        <v>0</v>
      </c>
      <c r="T8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7" spans="1:24" hidden="1" x14ac:dyDescent="0.35">
      <c r="A807" s="3" t="s">
        <v>173</v>
      </c>
      <c r="B807" s="11">
        <v>46023</v>
      </c>
      <c r="C807" t="s">
        <v>31</v>
      </c>
      <c r="D807" t="s">
        <v>62</v>
      </c>
      <c r="E807" t="s">
        <v>37</v>
      </c>
      <c r="F807" s="10" t="s">
        <v>57</v>
      </c>
      <c r="G807" s="3" t="s">
        <v>58</v>
      </c>
      <c r="H807" s="3" t="s">
        <v>6</v>
      </c>
      <c r="I807" s="3" t="s">
        <v>8</v>
      </c>
      <c r="J807" s="1">
        <v>0</v>
      </c>
      <c r="K807" s="12">
        <v>0</v>
      </c>
      <c r="L807" s="1"/>
      <c r="M807" s="12"/>
      <c r="N807"/>
      <c r="O807"/>
      <c r="P807" s="2" t="str">
        <f>IF(BD_Receitas[[#This Row],[TIPO DE COBRANÇA]]="Operação Normal",
_xlfn.XLOOKUP(BD_Receitas[[#This Row],[ID]],TabCondicoesComerciais[ID],TabCondicoesComerciais[Volume mínimo 
(m3)],0),"")</f>
        <v/>
      </c>
      <c r="Q807" s="2">
        <f>_xlfn.XLOOKUP(BD_Receitas[[#This Row],[ID]],TabCondicoesComerciais[ID],TabCondicoesComerciais[Vol. 1ºGiro],0)</f>
        <v>1070</v>
      </c>
      <c r="R8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7" s="1">
        <f xml:space="preserve"> IF(BD_Receitas[[#This Row],[TIPO DE COBRANÇA]]="Operação Normal",
_xlfn.XLOOKUP(BD_Receitas[[#This Row],[ID]],TabCondicoesComerciais[ID],TabCondicoesComerciais[Tarifa 2º Giro],0),0)</f>
        <v>0</v>
      </c>
      <c r="T80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08" spans="1:24" hidden="1" x14ac:dyDescent="0.35">
      <c r="A808" s="3" t="s">
        <v>173</v>
      </c>
      <c r="B808" s="11">
        <v>46023</v>
      </c>
      <c r="C808" t="s">
        <v>31</v>
      </c>
      <c r="D808" t="s">
        <v>62</v>
      </c>
      <c r="E808" t="s">
        <v>37</v>
      </c>
      <c r="F808" s="10" t="s">
        <v>57</v>
      </c>
      <c r="G808" s="3" t="s">
        <v>58</v>
      </c>
      <c r="H808" s="3" t="s">
        <v>6</v>
      </c>
      <c r="I808" s="3" t="s">
        <v>15</v>
      </c>
      <c r="J808" s="1">
        <v>0</v>
      </c>
      <c r="K808" s="12">
        <v>0</v>
      </c>
      <c r="L808" s="1">
        <v>78450.42</v>
      </c>
      <c r="M808" s="12">
        <v>3349</v>
      </c>
      <c r="N808" t="s">
        <v>48</v>
      </c>
      <c r="O808"/>
      <c r="P808" s="2">
        <f>IF(BD_Receitas[[#This Row],[TIPO DE COBRANÇA]]="Operação Normal",
_xlfn.XLOOKUP(BD_Receitas[[#This Row],[ID]],TabCondicoesComerciais[ID],TabCondicoesComerciais[Volume mínimo 
(m3)],0),"")</f>
        <v>3300</v>
      </c>
      <c r="Q808" s="2">
        <f>_xlfn.XLOOKUP(BD_Receitas[[#This Row],[ID]],TabCondicoesComerciais[ID],TabCondicoesComerciais[Vol. 1ºGiro],0)</f>
        <v>1070</v>
      </c>
      <c r="R8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808" s="1">
        <f xml:space="preserve"> IF(BD_Receitas[[#This Row],[TIPO DE COBRANÇA]]="Operação Normal",
_xlfn.XLOOKUP(BD_Receitas[[#This Row],[ID]],TabCondicoesComerciais[ID],TabCondicoesComerciais[Tarifa 2º Giro],0),0)</f>
        <v>23.42</v>
      </c>
      <c r="T808" s="5">
        <f>IFERROR(IF(BD_Receitas[[#This Row],[TIPO DE COBRANÇA]]&lt;&gt;"Operação Normal","",BD_Receitas[[#This Row],[Valor Total R$]]/ MAX(BD_Receitas[[#This Row],[Vol. Movimentado M³]],
BD_Receitas[[#This Row],[Volume Mínimo ]])
),0)</f>
        <v>23.425028366676621</v>
      </c>
      <c r="U808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23.425028366676621</v>
      </c>
      <c r="V808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808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78433.58</v>
      </c>
      <c r="X8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09" spans="1:24" hidden="1" x14ac:dyDescent="0.35">
      <c r="A809" s="3" t="s">
        <v>173</v>
      </c>
      <c r="B809" s="11">
        <v>46023</v>
      </c>
      <c r="C809" t="s">
        <v>31</v>
      </c>
      <c r="D809" t="s">
        <v>62</v>
      </c>
      <c r="E809" t="s">
        <v>37</v>
      </c>
      <c r="F809" s="10" t="s">
        <v>57</v>
      </c>
      <c r="G809" s="3" t="s">
        <v>58</v>
      </c>
      <c r="H809" s="3" t="s">
        <v>6</v>
      </c>
      <c r="I809" s="3" t="s">
        <v>65</v>
      </c>
      <c r="J809" s="1">
        <v>0</v>
      </c>
      <c r="K809" s="12">
        <v>0</v>
      </c>
      <c r="L809" s="1"/>
      <c r="M809" s="12"/>
      <c r="N809"/>
      <c r="O809"/>
      <c r="P809" s="2" t="str">
        <f>IF(BD_Receitas[[#This Row],[TIPO DE COBRANÇA]]="Operação Normal",
_xlfn.XLOOKUP(BD_Receitas[[#This Row],[ID]],TabCondicoesComerciais[ID],TabCondicoesComerciais[Volume mínimo 
(m3)],0),"")</f>
        <v/>
      </c>
      <c r="Q809" s="2">
        <f>_xlfn.XLOOKUP(BD_Receitas[[#This Row],[ID]],TabCondicoesComerciais[ID],TabCondicoesComerciais[Vol. 1ºGiro],0)</f>
        <v>1070</v>
      </c>
      <c r="R8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09" s="1">
        <f xml:space="preserve"> IF(BD_Receitas[[#This Row],[TIPO DE COBRANÇA]]="Operação Normal",
_xlfn.XLOOKUP(BD_Receitas[[#This Row],[ID]],TabCondicoesComerciais[ID],TabCondicoesComerciais[Tarifa 2º Giro],0),0)</f>
        <v>0</v>
      </c>
      <c r="T8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0" spans="1:24" x14ac:dyDescent="0.35">
      <c r="A810" s="3" t="s">
        <v>184</v>
      </c>
      <c r="B810" s="11">
        <v>46023</v>
      </c>
      <c r="C810" t="s">
        <v>31</v>
      </c>
      <c r="D810" t="s">
        <v>203</v>
      </c>
      <c r="E810" t="s">
        <v>34</v>
      </c>
      <c r="F810" s="10" t="s">
        <v>26</v>
      </c>
      <c r="G810" s="3" t="s">
        <v>19</v>
      </c>
      <c r="H810" s="3" t="s">
        <v>13</v>
      </c>
      <c r="I810" s="3" t="s">
        <v>7</v>
      </c>
      <c r="J810" s="1">
        <v>0</v>
      </c>
      <c r="K810" s="12">
        <v>0</v>
      </c>
      <c r="L810" s="1"/>
      <c r="M810" s="12"/>
      <c r="N810"/>
      <c r="O810"/>
      <c r="P810" s="2" t="str">
        <f>IF(BD_Receitas[[#This Row],[TIPO DE COBRANÇA]]="Operação Normal",
_xlfn.XLOOKUP(BD_Receitas[[#This Row],[ID]],TabCondicoesComerciais[ID],TabCondicoesComerciais[Volume mínimo 
(m3)],0),"")</f>
        <v/>
      </c>
      <c r="Q810" s="2">
        <f>_xlfn.XLOOKUP(BD_Receitas[[#This Row],[ID]],TabCondicoesComerciais[ID],TabCondicoesComerciais[Vol. 1ºGiro],0)</f>
        <v>340</v>
      </c>
      <c r="R8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0" s="1">
        <f xml:space="preserve"> IF(BD_Receitas[[#This Row],[TIPO DE COBRANÇA]]="Operação Normal",
_xlfn.XLOOKUP(BD_Receitas[[#This Row],[ID]],TabCondicoesComerciais[ID],TabCondicoesComerciais[Tarifa 2º Giro],0),0)</f>
        <v>0</v>
      </c>
      <c r="T8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1" spans="1:24" x14ac:dyDescent="0.35">
      <c r="A811" s="3" t="s">
        <v>184</v>
      </c>
      <c r="B811" s="11">
        <v>46023</v>
      </c>
      <c r="C811" t="s">
        <v>31</v>
      </c>
      <c r="D811" t="s">
        <v>203</v>
      </c>
      <c r="E811" t="s">
        <v>34</v>
      </c>
      <c r="F811" s="10" t="s">
        <v>26</v>
      </c>
      <c r="G811" s="3" t="s">
        <v>19</v>
      </c>
      <c r="H811" s="3" t="s">
        <v>13</v>
      </c>
      <c r="I811" s="3" t="s">
        <v>8</v>
      </c>
      <c r="J811" s="1">
        <v>0</v>
      </c>
      <c r="K811" s="12">
        <v>0</v>
      </c>
      <c r="L811" s="1"/>
      <c r="M811" s="12"/>
      <c r="N811"/>
      <c r="O811"/>
      <c r="P811" s="2" t="str">
        <f>IF(BD_Receitas[[#This Row],[TIPO DE COBRANÇA]]="Operação Normal",
_xlfn.XLOOKUP(BD_Receitas[[#This Row],[ID]],TabCondicoesComerciais[ID],TabCondicoesComerciais[Volume mínimo 
(m3)],0),"")</f>
        <v/>
      </c>
      <c r="Q811" s="2">
        <f>_xlfn.XLOOKUP(BD_Receitas[[#This Row],[ID]],TabCondicoesComerciais[ID],TabCondicoesComerciais[Vol. 1ºGiro],0)</f>
        <v>340</v>
      </c>
      <c r="R8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11" s="1">
        <f xml:space="preserve"> IF(BD_Receitas[[#This Row],[TIPO DE COBRANÇA]]="Operação Normal",
_xlfn.XLOOKUP(BD_Receitas[[#This Row],[ID]],TabCondicoesComerciais[ID],TabCondicoesComerciais[Tarifa 2º Giro],0),0)</f>
        <v>0</v>
      </c>
      <c r="T81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2" spans="1:24" x14ac:dyDescent="0.35">
      <c r="A812" s="3" t="s">
        <v>184</v>
      </c>
      <c r="B812" s="11">
        <v>46023</v>
      </c>
      <c r="C812" t="s">
        <v>31</v>
      </c>
      <c r="D812" t="s">
        <v>203</v>
      </c>
      <c r="E812" t="s">
        <v>34</v>
      </c>
      <c r="F812" s="10" t="s">
        <v>26</v>
      </c>
      <c r="G812" s="3" t="s">
        <v>19</v>
      </c>
      <c r="H812" s="3" t="s">
        <v>13</v>
      </c>
      <c r="I812" s="3" t="s">
        <v>15</v>
      </c>
      <c r="J812" s="1">
        <v>15647.0103</v>
      </c>
      <c r="K812" s="12">
        <v>510</v>
      </c>
      <c r="L812" s="1">
        <v>14280</v>
      </c>
      <c r="M812" s="12">
        <v>831.41600000000005</v>
      </c>
      <c r="N812" t="s">
        <v>304</v>
      </c>
      <c r="O812" t="s">
        <v>199</v>
      </c>
      <c r="P812" s="2">
        <f>IF(BD_Receitas[[#This Row],[TIPO DE COBRANÇA]]="Operação Normal",
_xlfn.XLOOKUP(BD_Receitas[[#This Row],[ID]],TabCondicoesComerciais[ID],TabCondicoesComerciais[Volume mínimo 
(m3)],0),"")</f>
        <v>1020</v>
      </c>
      <c r="Q812" s="2">
        <f>_xlfn.XLOOKUP(BD_Receitas[[#This Row],[ID]],TabCondicoesComerciais[ID],TabCondicoesComerciais[Vol. 1ºGiro],0)</f>
        <v>340</v>
      </c>
      <c r="R8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12" s="1">
        <f xml:space="preserve"> IF(BD_Receitas[[#This Row],[TIPO DE COBRANÇA]]="Operação Normal",
_xlfn.XLOOKUP(BD_Receitas[[#This Row],[ID]],TabCondicoesComerciais[ID],TabCondicoesComerciais[Tarifa 2º Giro],0),0)</f>
        <v>28</v>
      </c>
      <c r="T812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812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17.175517430504101</v>
      </c>
      <c r="V812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812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23279.648000000001</v>
      </c>
      <c r="X8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13" spans="1:24" hidden="1" x14ac:dyDescent="0.35">
      <c r="A813" s="3" t="s">
        <v>184</v>
      </c>
      <c r="B813" s="11">
        <v>46023</v>
      </c>
      <c r="C813" t="s">
        <v>31</v>
      </c>
      <c r="D813" t="s">
        <v>203</v>
      </c>
      <c r="E813" t="s">
        <v>34</v>
      </c>
      <c r="F813" s="10" t="s">
        <v>26</v>
      </c>
      <c r="G813" s="3" t="s">
        <v>19</v>
      </c>
      <c r="H813" s="3" t="s">
        <v>13</v>
      </c>
      <c r="I813" s="3" t="s">
        <v>65</v>
      </c>
      <c r="J813" s="1">
        <v>0</v>
      </c>
      <c r="K813" s="12">
        <v>0</v>
      </c>
      <c r="L813" s="1"/>
      <c r="M813" s="12"/>
      <c r="N813"/>
      <c r="O813"/>
      <c r="P813" s="2" t="str">
        <f>IF(BD_Receitas[[#This Row],[TIPO DE COBRANÇA]]="Operação Normal",
_xlfn.XLOOKUP(BD_Receitas[[#This Row],[ID]],TabCondicoesComerciais[ID],TabCondicoesComerciais[Volume mínimo 
(m3)],0),"")</f>
        <v/>
      </c>
      <c r="Q813" s="2">
        <f>_xlfn.XLOOKUP(BD_Receitas[[#This Row],[ID]],TabCondicoesComerciais[ID],TabCondicoesComerciais[Vol. 1ºGiro],0)</f>
        <v>340</v>
      </c>
      <c r="R8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3" s="1">
        <f xml:space="preserve"> IF(BD_Receitas[[#This Row],[TIPO DE COBRANÇA]]="Operação Normal",
_xlfn.XLOOKUP(BD_Receitas[[#This Row],[ID]],TabCondicoesComerciais[ID],TabCondicoesComerciais[Tarifa 2º Giro],0),0)</f>
        <v>0</v>
      </c>
      <c r="T8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4" spans="1:24" hidden="1" x14ac:dyDescent="0.35">
      <c r="A814" s="3" t="s">
        <v>274</v>
      </c>
      <c r="B814" s="11">
        <v>46054</v>
      </c>
      <c r="C814" t="s">
        <v>31</v>
      </c>
      <c r="D814" t="s">
        <v>202</v>
      </c>
      <c r="E814" t="s">
        <v>36</v>
      </c>
      <c r="F814" s="10" t="s">
        <v>48</v>
      </c>
      <c r="G814" s="3" t="s">
        <v>49</v>
      </c>
      <c r="H814" s="3" t="s">
        <v>52</v>
      </c>
      <c r="I814" s="3" t="s">
        <v>8</v>
      </c>
      <c r="J814" s="1">
        <v>0</v>
      </c>
      <c r="K814" s="12">
        <v>0</v>
      </c>
      <c r="L814" s="1"/>
      <c r="M814" s="12"/>
      <c r="N814"/>
      <c r="O814"/>
      <c r="P814" s="2" t="str">
        <f>IF(BD_Receitas[[#This Row],[TIPO DE COBRANÇA]]="Operação Normal",
_xlfn.XLOOKUP(BD_Receitas[[#This Row],[ID]],TabCondicoesComerciais[ID],TabCondicoesComerciais[Volume mínimo 
(m3)],0),"")</f>
        <v/>
      </c>
      <c r="Q814" s="2">
        <f>_xlfn.XLOOKUP(BD_Receitas[[#This Row],[ID]],TabCondicoesComerciais[ID],TabCondicoesComerciais[Vol. 1ºGiro],0)</f>
        <v>360</v>
      </c>
      <c r="R8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814" s="1">
        <f xml:space="preserve"> IF(BD_Receitas[[#This Row],[TIPO DE COBRANÇA]]="Operação Normal",
_xlfn.XLOOKUP(BD_Receitas[[#This Row],[ID]],TabCondicoesComerciais[ID],TabCondicoesComerciais[Tarifa 2º Giro],0),0)</f>
        <v>0</v>
      </c>
      <c r="T8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5" spans="1:24" hidden="1" x14ac:dyDescent="0.35">
      <c r="A815" s="3" t="s">
        <v>274</v>
      </c>
      <c r="B815" s="11">
        <v>46054</v>
      </c>
      <c r="C815" t="s">
        <v>31</v>
      </c>
      <c r="D815" t="s">
        <v>202</v>
      </c>
      <c r="E815" t="s">
        <v>36</v>
      </c>
      <c r="F815" s="10" t="s">
        <v>48</v>
      </c>
      <c r="G815" s="3" t="s">
        <v>49</v>
      </c>
      <c r="H815" s="3" t="s">
        <v>52</v>
      </c>
      <c r="I815" s="3" t="s">
        <v>15</v>
      </c>
      <c r="J815" s="1">
        <v>89789.3701</v>
      </c>
      <c r="K815" s="12">
        <v>2040</v>
      </c>
      <c r="L815" s="1">
        <v>89596.800000000003</v>
      </c>
      <c r="M815" s="12">
        <v>651.34400000000005</v>
      </c>
      <c r="N815" t="s">
        <v>326</v>
      </c>
      <c r="O815" t="s">
        <v>312</v>
      </c>
      <c r="P815" s="2">
        <f>IF(BD_Receitas[[#This Row],[TIPO DE COBRANÇA]]="Operação Normal",
_xlfn.XLOOKUP(BD_Receitas[[#This Row],[ID]],TabCondicoesComerciais[ID],TabCondicoesComerciais[Volume mínimo 
(m3)],0),"")</f>
        <v>2040</v>
      </c>
      <c r="Q815" s="2">
        <f>_xlfn.XLOOKUP(BD_Receitas[[#This Row],[ID]],TabCondicoesComerciais[ID],TabCondicoesComerciais[Vol. 1ºGiro],0)</f>
        <v>360</v>
      </c>
      <c r="R8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815" s="1">
        <f xml:space="preserve"> IF(BD_Receitas[[#This Row],[TIPO DE COBRANÇA]]="Operação Normal",
_xlfn.XLOOKUP(BD_Receitas[[#This Row],[ID]],TabCondicoesComerciais[ID],TabCondicoesComerciais[Tarifa 2º Giro],0),0)</f>
        <v>43.92</v>
      </c>
      <c r="T815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8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137.55680562037878</v>
      </c>
      <c r="V8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8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28607.028480000001</v>
      </c>
      <c r="X8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16" spans="1:24" hidden="1" x14ac:dyDescent="0.35">
      <c r="A816" s="3" t="s">
        <v>274</v>
      </c>
      <c r="B816" s="11">
        <v>46054</v>
      </c>
      <c r="C816" t="s">
        <v>31</v>
      </c>
      <c r="D816" t="s">
        <v>202</v>
      </c>
      <c r="E816" t="s">
        <v>36</v>
      </c>
      <c r="F816" s="10" t="s">
        <v>48</v>
      </c>
      <c r="G816" s="3" t="s">
        <v>49</v>
      </c>
      <c r="H816" s="3" t="s">
        <v>52</v>
      </c>
      <c r="I816" s="3" t="s">
        <v>65</v>
      </c>
      <c r="J816" s="1">
        <v>0</v>
      </c>
      <c r="K816" s="12">
        <v>0</v>
      </c>
      <c r="L816" s="1"/>
      <c r="M816" s="12"/>
      <c r="N816"/>
      <c r="O816"/>
      <c r="P816" s="2" t="str">
        <f>IF(BD_Receitas[[#This Row],[TIPO DE COBRANÇA]]="Operação Normal",
_xlfn.XLOOKUP(BD_Receitas[[#This Row],[ID]],TabCondicoesComerciais[ID],TabCondicoesComerciais[Volume mínimo 
(m3)],0),"")</f>
        <v/>
      </c>
      <c r="Q816" s="2">
        <f>_xlfn.XLOOKUP(BD_Receitas[[#This Row],[ID]],TabCondicoesComerciais[ID],TabCondicoesComerciais[Vol. 1ºGiro],0)</f>
        <v>360</v>
      </c>
      <c r="R8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6" s="1">
        <f xml:space="preserve"> IF(BD_Receitas[[#This Row],[TIPO DE COBRANÇA]]="Operação Normal",
_xlfn.XLOOKUP(BD_Receitas[[#This Row],[ID]],TabCondicoesComerciais[ID],TabCondicoesComerciais[Tarifa 2º Giro],0),0)</f>
        <v>0</v>
      </c>
      <c r="T8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7" spans="1:24" hidden="1" x14ac:dyDescent="0.35">
      <c r="A817" s="3" t="s">
        <v>275</v>
      </c>
      <c r="B817" s="11">
        <v>46054</v>
      </c>
      <c r="C817" t="s">
        <v>31</v>
      </c>
      <c r="D817" t="s">
        <v>202</v>
      </c>
      <c r="E817" t="s">
        <v>36</v>
      </c>
      <c r="F817" s="10" t="s">
        <v>48</v>
      </c>
      <c r="G817" s="3" t="s">
        <v>49</v>
      </c>
      <c r="H817" s="3" t="s">
        <v>14</v>
      </c>
      <c r="I817" s="3" t="s">
        <v>7</v>
      </c>
      <c r="J817" s="1">
        <v>0</v>
      </c>
      <c r="K817" s="12">
        <v>0</v>
      </c>
      <c r="L817" s="1"/>
      <c r="M817" s="12"/>
      <c r="N817"/>
      <c r="O817"/>
      <c r="P817" s="2" t="str">
        <f>IF(BD_Receitas[[#This Row],[TIPO DE COBRANÇA]]="Operação Normal",
_xlfn.XLOOKUP(BD_Receitas[[#This Row],[ID]],TabCondicoesComerciais[ID],TabCondicoesComerciais[Volume mínimo 
(m3)],0),"")</f>
        <v/>
      </c>
      <c r="Q817" s="2">
        <f>_xlfn.XLOOKUP(BD_Receitas[[#This Row],[ID]],TabCondicoesComerciais[ID],TabCondicoesComerciais[Vol. 1ºGiro],0)</f>
        <v>365</v>
      </c>
      <c r="R8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7" s="1">
        <f xml:space="preserve"> IF(BD_Receitas[[#This Row],[TIPO DE COBRANÇA]]="Operação Normal",
_xlfn.XLOOKUP(BD_Receitas[[#This Row],[ID]],TabCondicoesComerciais[ID],TabCondicoesComerciais[Tarifa 2º Giro],0),0)</f>
        <v>0</v>
      </c>
      <c r="T8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8" spans="1:24" hidden="1" x14ac:dyDescent="0.35">
      <c r="A818" s="3" t="s">
        <v>275</v>
      </c>
      <c r="B818" s="11">
        <v>46054</v>
      </c>
      <c r="C818" t="s">
        <v>31</v>
      </c>
      <c r="D818" t="s">
        <v>202</v>
      </c>
      <c r="E818" t="s">
        <v>36</v>
      </c>
      <c r="F818" s="10" t="s">
        <v>48</v>
      </c>
      <c r="G818" s="3" t="s">
        <v>49</v>
      </c>
      <c r="H818" s="3" t="s">
        <v>14</v>
      </c>
      <c r="I818" s="3" t="s">
        <v>8</v>
      </c>
      <c r="J818" s="1">
        <v>0</v>
      </c>
      <c r="K818" s="12">
        <v>0</v>
      </c>
      <c r="L818" s="1"/>
      <c r="M818" s="12"/>
      <c r="N818"/>
      <c r="O818"/>
      <c r="P818" s="2" t="str">
        <f>IF(BD_Receitas[[#This Row],[TIPO DE COBRANÇA]]="Operação Normal",
_xlfn.XLOOKUP(BD_Receitas[[#This Row],[ID]],TabCondicoesComerciais[ID],TabCondicoesComerciais[Volume mínimo 
(m3)],0),"")</f>
        <v/>
      </c>
      <c r="Q818" s="2">
        <f>_xlfn.XLOOKUP(BD_Receitas[[#This Row],[ID]],TabCondicoesComerciais[ID],TabCondicoesComerciais[Vol. 1ºGiro],0)</f>
        <v>365</v>
      </c>
      <c r="R8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18" s="1">
        <f xml:space="preserve"> IF(BD_Receitas[[#This Row],[TIPO DE COBRANÇA]]="Operação Normal",
_xlfn.XLOOKUP(BD_Receitas[[#This Row],[ID]],TabCondicoesComerciais[ID],TabCondicoesComerciais[Tarifa 2º Giro],0),0)</f>
        <v>0</v>
      </c>
      <c r="T8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19" spans="1:24" hidden="1" x14ac:dyDescent="0.35">
      <c r="A819" s="3" t="s">
        <v>275</v>
      </c>
      <c r="B819" s="11">
        <v>46054</v>
      </c>
      <c r="C819" t="s">
        <v>31</v>
      </c>
      <c r="D819" t="s">
        <v>202</v>
      </c>
      <c r="E819" t="s">
        <v>36</v>
      </c>
      <c r="F819" s="10" t="s">
        <v>48</v>
      </c>
      <c r="G819" s="3" t="s">
        <v>49</v>
      </c>
      <c r="H819" s="3" t="s">
        <v>14</v>
      </c>
      <c r="I819" s="3" t="s">
        <v>15</v>
      </c>
      <c r="J819" s="1">
        <v>28839.059300000001</v>
      </c>
      <c r="K819" s="12">
        <v>1500</v>
      </c>
      <c r="L819" s="1">
        <v>22453.06</v>
      </c>
      <c r="M819" s="12">
        <v>1186.1099999999999</v>
      </c>
      <c r="N819" t="s">
        <v>258</v>
      </c>
      <c r="O819" t="s">
        <v>312</v>
      </c>
      <c r="P819" s="2">
        <f>IF(BD_Receitas[[#This Row],[TIPO DE COBRANÇA]]="Operação Normal",
_xlfn.XLOOKUP(BD_Receitas[[#This Row],[ID]],TabCondicoesComerciais[ID],TabCondicoesComerciais[Volume mínimo 
(m3)],0),"")</f>
        <v>936</v>
      </c>
      <c r="Q819" s="2">
        <f>_xlfn.XLOOKUP(BD_Receitas[[#This Row],[ID]],TabCondicoesComerciais[ID],TabCondicoesComerciais[Vol. 1ºGiro],0)</f>
        <v>365</v>
      </c>
      <c r="R8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819" s="1">
        <f xml:space="preserve"> IF(BD_Receitas[[#This Row],[TIPO DE COBRANÇA]]="Operação Normal",
_xlfn.XLOOKUP(BD_Receitas[[#This Row],[ID]],TabCondicoesComerciais[ID],TabCondicoesComerciais[Tarifa 2º Giro],0),0)</f>
        <v>18.93</v>
      </c>
      <c r="T819" s="5">
        <f>IFERROR(IF(BD_Receitas[[#This Row],[TIPO DE COBRANÇA]]&lt;&gt;"Operação Normal","",BD_Receitas[[#This Row],[Valor Total R$]]/ MAX(BD_Receitas[[#This Row],[Vol. Movimentado M³]],
BD_Receitas[[#This Row],[Volume Mínimo ]])
),0)</f>
        <v>18.929998060888117</v>
      </c>
      <c r="U8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18.929998060888117</v>
      </c>
      <c r="V8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8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22453.062299999998</v>
      </c>
      <c r="X8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820" spans="1:24" hidden="1" x14ac:dyDescent="0.35">
      <c r="A820" s="3" t="s">
        <v>275</v>
      </c>
      <c r="B820" s="11">
        <v>46054</v>
      </c>
      <c r="C820" t="s">
        <v>31</v>
      </c>
      <c r="D820" t="s">
        <v>202</v>
      </c>
      <c r="E820" t="s">
        <v>36</v>
      </c>
      <c r="F820" s="10" t="s">
        <v>48</v>
      </c>
      <c r="G820" s="3" t="s">
        <v>49</v>
      </c>
      <c r="H820" s="3" t="s">
        <v>14</v>
      </c>
      <c r="I820" s="3" t="s">
        <v>65</v>
      </c>
      <c r="J820" s="1">
        <v>0</v>
      </c>
      <c r="K820" s="12">
        <v>0</v>
      </c>
      <c r="L820" s="1"/>
      <c r="M820" s="12"/>
      <c r="N820"/>
      <c r="O820"/>
      <c r="P820" s="2" t="str">
        <f>IF(BD_Receitas[[#This Row],[TIPO DE COBRANÇA]]="Operação Normal",
_xlfn.XLOOKUP(BD_Receitas[[#This Row],[ID]],TabCondicoesComerciais[ID],TabCondicoesComerciais[Volume mínimo 
(m3)],0),"")</f>
        <v/>
      </c>
      <c r="Q820" s="2">
        <f>_xlfn.XLOOKUP(BD_Receitas[[#This Row],[ID]],TabCondicoesComerciais[ID],TabCondicoesComerciais[Vol. 1ºGiro],0)</f>
        <v>365</v>
      </c>
      <c r="R8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20" s="1">
        <f xml:space="preserve"> IF(BD_Receitas[[#This Row],[TIPO DE COBRANÇA]]="Operação Normal",
_xlfn.XLOOKUP(BD_Receitas[[#This Row],[ID]],TabCondicoesComerciais[ID],TabCondicoesComerciais[Tarifa 2º Giro],0),0)</f>
        <v>0</v>
      </c>
      <c r="T8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1" spans="1:24" hidden="1" x14ac:dyDescent="0.35">
      <c r="A821" s="3" t="s">
        <v>208</v>
      </c>
      <c r="B821" s="11">
        <v>46054</v>
      </c>
      <c r="C821" t="s">
        <v>31</v>
      </c>
      <c r="D821" t="s">
        <v>202</v>
      </c>
      <c r="E821" t="s">
        <v>35</v>
      </c>
      <c r="F821" s="10" t="s">
        <v>22</v>
      </c>
      <c r="G821" s="3" t="s">
        <v>11</v>
      </c>
      <c r="H821" s="3" t="s">
        <v>207</v>
      </c>
      <c r="I821" s="3" t="s">
        <v>7</v>
      </c>
      <c r="J821" s="1">
        <v>0</v>
      </c>
      <c r="K821" s="12">
        <v>0</v>
      </c>
      <c r="L821" s="1">
        <v>10275.219999999999</v>
      </c>
      <c r="M821" s="12">
        <v>1097.3309999999999</v>
      </c>
      <c r="N821" t="s">
        <v>315</v>
      </c>
      <c r="O821"/>
      <c r="P821" s="2" t="str">
        <f>IF(BD_Receitas[[#This Row],[TIPO DE COBRANÇA]]="Operação Normal",
_xlfn.XLOOKUP(BD_Receitas[[#This Row],[ID]],TabCondicoesComerciais[ID],TabCondicoesComerciais[Volume mínimo 
(m3)],0),"")</f>
        <v/>
      </c>
      <c r="Q821" s="2">
        <f>_xlfn.XLOOKUP(BD_Receitas[[#This Row],[ID]],TabCondicoesComerciais[ID],TabCondicoesComerciais[Vol. 1ºGiro],0)</f>
        <v>625</v>
      </c>
      <c r="R8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821" s="1">
        <f xml:space="preserve"> IF(BD_Receitas[[#This Row],[TIPO DE COBRANÇA]]="Operação Normal",
_xlfn.XLOOKUP(BD_Receitas[[#This Row],[ID]],TabCondicoesComerciais[ID],TabCondicoesComerciais[Tarifa 2º Giro],0),0)</f>
        <v>0</v>
      </c>
      <c r="T8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2" spans="1:24" hidden="1" x14ac:dyDescent="0.35">
      <c r="A822" s="3" t="s">
        <v>208</v>
      </c>
      <c r="B822" s="11">
        <v>46054</v>
      </c>
      <c r="C822" t="s">
        <v>31</v>
      </c>
      <c r="D822" t="s">
        <v>202</v>
      </c>
      <c r="E822" t="s">
        <v>35</v>
      </c>
      <c r="F822" s="10" t="s">
        <v>22</v>
      </c>
      <c r="G822" s="3" t="s">
        <v>11</v>
      </c>
      <c r="H822" s="3" t="s">
        <v>207</v>
      </c>
      <c r="I822" s="3" t="s">
        <v>8</v>
      </c>
      <c r="J822" s="1">
        <v>0</v>
      </c>
      <c r="K822" s="12">
        <v>0</v>
      </c>
      <c r="L822" s="1">
        <v>3795.94</v>
      </c>
      <c r="M822" s="12">
        <v>372.13900000000001</v>
      </c>
      <c r="N822" t="s">
        <v>315</v>
      </c>
      <c r="O822"/>
      <c r="P822" s="2" t="str">
        <f>IF(BD_Receitas[[#This Row],[TIPO DE COBRANÇA]]="Operação Normal",
_xlfn.XLOOKUP(BD_Receitas[[#This Row],[ID]],TabCondicoesComerciais[ID],TabCondicoesComerciais[Volume mínimo 
(m3)],0),"")</f>
        <v/>
      </c>
      <c r="Q822" s="2">
        <f>_xlfn.XLOOKUP(BD_Receitas[[#This Row],[ID]],TabCondicoesComerciais[ID],TabCondicoesComerciais[Vol. 1ºGiro],0)</f>
        <v>625</v>
      </c>
      <c r="R8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822" s="1">
        <f xml:space="preserve"> IF(BD_Receitas[[#This Row],[TIPO DE COBRANÇA]]="Operação Normal",
_xlfn.XLOOKUP(BD_Receitas[[#This Row],[ID]],TabCondicoesComerciais[ID],TabCondicoesComerciais[Tarifa 2º Giro],0),0)</f>
        <v>0</v>
      </c>
      <c r="T8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3" spans="1:24" hidden="1" x14ac:dyDescent="0.35">
      <c r="A823" s="3" t="s">
        <v>208</v>
      </c>
      <c r="B823" s="11">
        <v>46054</v>
      </c>
      <c r="C823" t="s">
        <v>31</v>
      </c>
      <c r="D823" t="s">
        <v>202</v>
      </c>
      <c r="E823" t="s">
        <v>35</v>
      </c>
      <c r="F823" s="10" t="s">
        <v>22</v>
      </c>
      <c r="G823" s="3" t="s">
        <v>11</v>
      </c>
      <c r="H823" s="3" t="s">
        <v>207</v>
      </c>
      <c r="I823" s="3" t="s">
        <v>15</v>
      </c>
      <c r="J823" s="1">
        <v>45394.74</v>
      </c>
      <c r="K823" s="12">
        <v>1875</v>
      </c>
      <c r="L823" s="1">
        <v>80056.320000000007</v>
      </c>
      <c r="M823" s="12">
        <v>3112.328</v>
      </c>
      <c r="N823" t="s">
        <v>315</v>
      </c>
      <c r="O823"/>
      <c r="P823" s="2">
        <f>IF(BD_Receitas[[#This Row],[TIPO DE COBRANÇA]]="Operação Normal",
_xlfn.XLOOKUP(BD_Receitas[[#This Row],[ID]],TabCondicoesComerciais[ID],TabCondicoesComerciais[Volume mínimo 
(m3)],0),"")</f>
        <v>1875</v>
      </c>
      <c r="Q823" s="2">
        <f>_xlfn.XLOOKUP(BD_Receitas[[#This Row],[ID]],TabCondicoesComerciais[ID],TabCondicoesComerciais[Vol. 1ºGiro],0)</f>
        <v>625</v>
      </c>
      <c r="R8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823" s="1">
        <f xml:space="preserve"> IF(BD_Receitas[[#This Row],[TIPO DE COBRANÇA]]="Operação Normal",
_xlfn.XLOOKUP(BD_Receitas[[#This Row],[ID]],TabCondicoesComerciais[ID],TabCondicoesComerciais[Tarifa 2º Giro],0),0)</f>
        <v>33</v>
      </c>
      <c r="T823" s="5">
        <f>IFERROR(IF(BD_Receitas[[#This Row],[TIPO DE COBRANÇA]]&lt;&gt;"Operação Normal","",BD_Receitas[[#This Row],[Valor Total R$]]/ MAX(BD_Receitas[[#This Row],[Vol. Movimentado M³]],
BD_Receitas[[#This Row],[Volume Mínimo ]])
),0)</f>
        <v>25.722327466770857</v>
      </c>
      <c r="U8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30.243431926198014</v>
      </c>
      <c r="V8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8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102706.82399999999</v>
      </c>
      <c r="X8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24" spans="1:24" hidden="1" x14ac:dyDescent="0.35">
      <c r="A824" s="3" t="s">
        <v>208</v>
      </c>
      <c r="B824" s="11">
        <v>46054</v>
      </c>
      <c r="C824" t="s">
        <v>31</v>
      </c>
      <c r="D824" t="s">
        <v>202</v>
      </c>
      <c r="E824" t="s">
        <v>35</v>
      </c>
      <c r="F824" s="10" t="s">
        <v>22</v>
      </c>
      <c r="G824" s="3" t="s">
        <v>11</v>
      </c>
      <c r="H824" s="3" t="s">
        <v>207</v>
      </c>
      <c r="I824" s="3" t="s">
        <v>65</v>
      </c>
      <c r="J824" s="1">
        <v>0</v>
      </c>
      <c r="K824" s="12">
        <v>0</v>
      </c>
      <c r="L824" s="1"/>
      <c r="M824" s="12"/>
      <c r="N824"/>
      <c r="O824"/>
      <c r="P824" s="2" t="str">
        <f>IF(BD_Receitas[[#This Row],[TIPO DE COBRANÇA]]="Operação Normal",
_xlfn.XLOOKUP(BD_Receitas[[#This Row],[ID]],TabCondicoesComerciais[ID],TabCondicoesComerciais[Volume mínimo 
(m3)],0),"")</f>
        <v/>
      </c>
      <c r="Q824" s="2">
        <f>_xlfn.XLOOKUP(BD_Receitas[[#This Row],[ID]],TabCondicoesComerciais[ID],TabCondicoesComerciais[Vol. 1ºGiro],0)</f>
        <v>625</v>
      </c>
      <c r="R8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24" s="1">
        <f xml:space="preserve"> IF(BD_Receitas[[#This Row],[TIPO DE COBRANÇA]]="Operação Normal",
_xlfn.XLOOKUP(BD_Receitas[[#This Row],[ID]],TabCondicoesComerciais[ID],TabCondicoesComerciais[Tarifa 2º Giro],0),0)</f>
        <v>0</v>
      </c>
      <c r="T8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5" spans="1:24" hidden="1" x14ac:dyDescent="0.35">
      <c r="A825" s="3" t="s">
        <v>190</v>
      </c>
      <c r="B825" s="11">
        <v>46054</v>
      </c>
      <c r="C825" t="s">
        <v>31</v>
      </c>
      <c r="D825" t="s">
        <v>202</v>
      </c>
      <c r="E825" t="s">
        <v>35</v>
      </c>
      <c r="F825" s="10" t="s">
        <v>22</v>
      </c>
      <c r="G825" s="3" t="s">
        <v>11</v>
      </c>
      <c r="H825" s="3" t="s">
        <v>116</v>
      </c>
      <c r="I825" s="3" t="s">
        <v>7</v>
      </c>
      <c r="J825" s="1">
        <v>0</v>
      </c>
      <c r="K825" s="12">
        <v>0</v>
      </c>
      <c r="L825" s="1"/>
      <c r="M825" s="12"/>
      <c r="N825"/>
      <c r="O825"/>
      <c r="P825" s="2" t="str">
        <f>IF(BD_Receitas[[#This Row],[TIPO DE COBRANÇA]]="Operação Normal",
_xlfn.XLOOKUP(BD_Receitas[[#This Row],[ID]],TabCondicoesComerciais[ID],TabCondicoesComerciais[Volume mínimo 
(m3)],0),"")</f>
        <v/>
      </c>
      <c r="Q825" s="2">
        <f>_xlfn.XLOOKUP(BD_Receitas[[#This Row],[ID]],TabCondicoesComerciais[ID],TabCondicoesComerciais[Vol. 1ºGiro],0)</f>
        <v>580</v>
      </c>
      <c r="R8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25" s="1">
        <f xml:space="preserve"> IF(BD_Receitas[[#This Row],[TIPO DE COBRANÇA]]="Operação Normal",
_xlfn.XLOOKUP(BD_Receitas[[#This Row],[ID]],TabCondicoesComerciais[ID],TabCondicoesComerciais[Tarifa 2º Giro],0),0)</f>
        <v>0</v>
      </c>
      <c r="T8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6" spans="1:24" hidden="1" x14ac:dyDescent="0.35">
      <c r="A826" s="3" t="s">
        <v>190</v>
      </c>
      <c r="B826" s="11">
        <v>46054</v>
      </c>
      <c r="C826" t="s">
        <v>31</v>
      </c>
      <c r="D826" t="s">
        <v>202</v>
      </c>
      <c r="E826" t="s">
        <v>35</v>
      </c>
      <c r="F826" s="10" t="s">
        <v>22</v>
      </c>
      <c r="G826" s="3" t="s">
        <v>11</v>
      </c>
      <c r="H826" s="3" t="s">
        <v>116</v>
      </c>
      <c r="I826" s="3" t="s">
        <v>8</v>
      </c>
      <c r="J826" s="1">
        <v>0</v>
      </c>
      <c r="K826" s="12">
        <v>0</v>
      </c>
      <c r="L826" s="1"/>
      <c r="M826" s="12"/>
      <c r="N826"/>
      <c r="O826"/>
      <c r="P826" s="2" t="str">
        <f>IF(BD_Receitas[[#This Row],[TIPO DE COBRANÇA]]="Operação Normal",
_xlfn.XLOOKUP(BD_Receitas[[#This Row],[ID]],TabCondicoesComerciais[ID],TabCondicoesComerciais[Volume mínimo 
(m3)],0),"")</f>
        <v/>
      </c>
      <c r="Q826" s="2">
        <f>_xlfn.XLOOKUP(BD_Receitas[[#This Row],[ID]],TabCondicoesComerciais[ID],TabCondicoesComerciais[Vol. 1ºGiro],0)</f>
        <v>580</v>
      </c>
      <c r="R8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26" s="1">
        <f xml:space="preserve"> IF(BD_Receitas[[#This Row],[TIPO DE COBRANÇA]]="Operação Normal",
_xlfn.XLOOKUP(BD_Receitas[[#This Row],[ID]],TabCondicoesComerciais[ID],TabCondicoesComerciais[Tarifa 2º Giro],0),0)</f>
        <v>0</v>
      </c>
      <c r="T8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7" spans="1:24" hidden="1" x14ac:dyDescent="0.35">
      <c r="A827" s="3" t="s">
        <v>190</v>
      </c>
      <c r="B827" s="11">
        <v>46054</v>
      </c>
      <c r="C827" t="s">
        <v>31</v>
      </c>
      <c r="D827" t="s">
        <v>202</v>
      </c>
      <c r="E827" t="s">
        <v>35</v>
      </c>
      <c r="F827" s="10" t="s">
        <v>22</v>
      </c>
      <c r="G827" s="3" t="s">
        <v>11</v>
      </c>
      <c r="H827" s="3" t="s">
        <v>116</v>
      </c>
      <c r="I827" s="3" t="s">
        <v>15</v>
      </c>
      <c r="J827" s="1">
        <v>59115.789499999999</v>
      </c>
      <c r="K827" s="12">
        <v>2000</v>
      </c>
      <c r="L827" s="1"/>
      <c r="M827" s="12"/>
      <c r="N827"/>
      <c r="O827"/>
      <c r="P827" s="2">
        <f>IF(BD_Receitas[[#This Row],[TIPO DE COBRANÇA]]="Operação Normal",
_xlfn.XLOOKUP(BD_Receitas[[#This Row],[ID]],TabCondicoesComerciais[ID],TabCondicoesComerciais[Volume mínimo 
(m3)],0),"")</f>
        <v>2000</v>
      </c>
      <c r="Q827" s="2">
        <f>_xlfn.XLOOKUP(BD_Receitas[[#This Row],[ID]],TabCondicoesComerciais[ID],TabCondicoesComerciais[Vol. 1ºGiro],0)</f>
        <v>580</v>
      </c>
      <c r="R8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827" s="1">
        <f xml:space="preserve"> IF(BD_Receitas[[#This Row],[TIPO DE COBRANÇA]]="Operação Normal",
_xlfn.XLOOKUP(BD_Receitas[[#This Row],[ID]],TabCondicoesComerciais[ID],TabCondicoesComerciais[Tarifa 2º Giro],0),0)</f>
        <v>27</v>
      </c>
      <c r="T82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8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28" spans="1:24" hidden="1" x14ac:dyDescent="0.35">
      <c r="A828" s="3" t="s">
        <v>190</v>
      </c>
      <c r="B828" s="11">
        <v>46054</v>
      </c>
      <c r="C828" t="s">
        <v>31</v>
      </c>
      <c r="D828" t="s">
        <v>202</v>
      </c>
      <c r="E828" t="s">
        <v>35</v>
      </c>
      <c r="F828" s="10" t="s">
        <v>22</v>
      </c>
      <c r="G828" s="3" t="s">
        <v>11</v>
      </c>
      <c r="H828" s="3" t="s">
        <v>116</v>
      </c>
      <c r="I828" s="3" t="s">
        <v>65</v>
      </c>
      <c r="J828" s="1">
        <v>0</v>
      </c>
      <c r="K828" s="12">
        <v>0</v>
      </c>
      <c r="L828" s="1"/>
      <c r="M828" s="12"/>
      <c r="N828"/>
      <c r="O828"/>
      <c r="P828" s="2" t="str">
        <f>IF(BD_Receitas[[#This Row],[TIPO DE COBRANÇA]]="Operação Normal",
_xlfn.XLOOKUP(BD_Receitas[[#This Row],[ID]],TabCondicoesComerciais[ID],TabCondicoesComerciais[Volume mínimo 
(m3)],0),"")</f>
        <v/>
      </c>
      <c r="Q828" s="2">
        <f>_xlfn.XLOOKUP(BD_Receitas[[#This Row],[ID]],TabCondicoesComerciais[ID],TabCondicoesComerciais[Vol. 1ºGiro],0)</f>
        <v>580</v>
      </c>
      <c r="R8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28" s="1">
        <f xml:space="preserve"> IF(BD_Receitas[[#This Row],[TIPO DE COBRANÇA]]="Operação Normal",
_xlfn.XLOOKUP(BD_Receitas[[#This Row],[ID]],TabCondicoesComerciais[ID],TabCondicoesComerciais[Tarifa 2º Giro],0),0)</f>
        <v>0</v>
      </c>
      <c r="T8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29" spans="1:24" hidden="1" x14ac:dyDescent="0.35">
      <c r="A829" s="3" t="s">
        <v>172</v>
      </c>
      <c r="B829" s="11">
        <v>46054</v>
      </c>
      <c r="C829" t="s">
        <v>31</v>
      </c>
      <c r="D829" t="s">
        <v>202</v>
      </c>
      <c r="E829" t="s">
        <v>35</v>
      </c>
      <c r="F829" s="10" t="s">
        <v>22</v>
      </c>
      <c r="G829" s="3" t="s">
        <v>11</v>
      </c>
      <c r="H829" s="3" t="s">
        <v>13</v>
      </c>
      <c r="I829" s="3" t="s">
        <v>7</v>
      </c>
      <c r="J829" s="1">
        <v>0</v>
      </c>
      <c r="K829" s="12">
        <v>0</v>
      </c>
      <c r="L829" s="1">
        <v>10194.76</v>
      </c>
      <c r="M829" s="12">
        <v>1115.5070000000001</v>
      </c>
      <c r="N829" t="s">
        <v>316</v>
      </c>
      <c r="O829"/>
      <c r="P829" s="2" t="str">
        <f>IF(BD_Receitas[[#This Row],[TIPO DE COBRANÇA]]="Operação Normal",
_xlfn.XLOOKUP(BD_Receitas[[#This Row],[ID]],TabCondicoesComerciais[ID],TabCondicoesComerciais[Volume mínimo 
(m3)],0),"")</f>
        <v/>
      </c>
      <c r="Q829" s="2">
        <f>_xlfn.XLOOKUP(BD_Receitas[[#This Row],[ID]],TabCondicoesComerciais[ID],TabCondicoesComerciais[Vol. 1ºGiro],0)</f>
        <v>750</v>
      </c>
      <c r="R8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829" s="1">
        <f xml:space="preserve"> IF(BD_Receitas[[#This Row],[TIPO DE COBRANÇA]]="Operação Normal",
_xlfn.XLOOKUP(BD_Receitas[[#This Row],[ID]],TabCondicoesComerciais[ID],TabCondicoesComerciais[Tarifa 2º Giro],0),0)</f>
        <v>0</v>
      </c>
      <c r="T8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0" spans="1:24" hidden="1" x14ac:dyDescent="0.35">
      <c r="A830" s="3" t="s">
        <v>172</v>
      </c>
      <c r="B830" s="11">
        <v>46054</v>
      </c>
      <c r="C830" t="s">
        <v>31</v>
      </c>
      <c r="D830" t="s">
        <v>202</v>
      </c>
      <c r="E830" t="s">
        <v>35</v>
      </c>
      <c r="F830" s="10" t="s">
        <v>22</v>
      </c>
      <c r="G830" s="3" t="s">
        <v>11</v>
      </c>
      <c r="H830" s="3" t="s">
        <v>13</v>
      </c>
      <c r="I830" s="3" t="s">
        <v>8</v>
      </c>
      <c r="J830" s="1">
        <v>0</v>
      </c>
      <c r="K830" s="12">
        <v>0</v>
      </c>
      <c r="L830" s="1">
        <v>1042</v>
      </c>
      <c r="M830" s="12">
        <v>117.342</v>
      </c>
      <c r="N830" t="s">
        <v>316</v>
      </c>
      <c r="O830"/>
      <c r="P830" s="2" t="str">
        <f>IF(BD_Receitas[[#This Row],[TIPO DE COBRANÇA]]="Operação Normal",
_xlfn.XLOOKUP(BD_Receitas[[#This Row],[ID]],TabCondicoesComerciais[ID],TabCondicoesComerciais[Volume mínimo 
(m3)],0),"")</f>
        <v/>
      </c>
      <c r="Q830" s="2">
        <f>_xlfn.XLOOKUP(BD_Receitas[[#This Row],[ID]],TabCondicoesComerciais[ID],TabCondicoesComerciais[Vol. 1ºGiro],0)</f>
        <v>750</v>
      </c>
      <c r="R8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830" s="1">
        <f xml:space="preserve"> IF(BD_Receitas[[#This Row],[TIPO DE COBRANÇA]]="Operação Normal",
_xlfn.XLOOKUP(BD_Receitas[[#This Row],[ID]],TabCondicoesComerciais[ID],TabCondicoesComerciais[Tarifa 2º Giro],0),0)</f>
        <v>0</v>
      </c>
      <c r="T8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1" spans="1:24" hidden="1" x14ac:dyDescent="0.35">
      <c r="A831" s="3" t="s">
        <v>172</v>
      </c>
      <c r="B831" s="11">
        <v>46054</v>
      </c>
      <c r="C831" t="s">
        <v>31</v>
      </c>
      <c r="D831" t="s">
        <v>202</v>
      </c>
      <c r="E831" t="s">
        <v>35</v>
      </c>
      <c r="F831" s="10" t="s">
        <v>22</v>
      </c>
      <c r="G831" s="3" t="s">
        <v>11</v>
      </c>
      <c r="H831" s="3" t="s">
        <v>13</v>
      </c>
      <c r="I831" s="3" t="s">
        <v>15</v>
      </c>
      <c r="J831" s="1">
        <v>0</v>
      </c>
      <c r="K831" s="12">
        <v>0</v>
      </c>
      <c r="L831" s="1">
        <v>59714.99</v>
      </c>
      <c r="M831" s="12">
        <v>2553.0239999999999</v>
      </c>
      <c r="N831" t="s">
        <v>316</v>
      </c>
      <c r="O831"/>
      <c r="P831" s="2">
        <f>IF(BD_Receitas[[#This Row],[TIPO DE COBRANÇA]]="Operação Normal",
_xlfn.XLOOKUP(BD_Receitas[[#This Row],[ID]],TabCondicoesComerciais[ID],TabCondicoesComerciais[Volume mínimo 
(m3)],0),"")</f>
        <v>0</v>
      </c>
      <c r="Q831" s="2">
        <f>_xlfn.XLOOKUP(BD_Receitas[[#This Row],[ID]],TabCondicoesComerciais[ID],TabCondicoesComerciais[Vol. 1ºGiro],0)</f>
        <v>750</v>
      </c>
      <c r="R8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831" s="1">
        <f xml:space="preserve"> IF(BD_Receitas[[#This Row],[TIPO DE COBRANÇA]]="Operação Normal",
_xlfn.XLOOKUP(BD_Receitas[[#This Row],[ID]],TabCondicoesComerciais[ID],TabCondicoesComerciais[Tarifa 2º Giro],0),0)</f>
        <v>22.2</v>
      </c>
      <c r="T831" s="5">
        <f>IFERROR(IF(BD_Receitas[[#This Row],[TIPO DE COBRANÇA]]&lt;&gt;"Operação Normal","",BD_Receitas[[#This Row],[Valor Total R$]]/ MAX(BD_Receitas[[#This Row],[Vol. Movimentado M³]],
BD_Receitas[[#This Row],[Volume Mínimo ]])
),0)</f>
        <v>23.389905461131583</v>
      </c>
      <c r="U8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27.791258523225792</v>
      </c>
      <c r="V8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8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56677.132799999999</v>
      </c>
      <c r="X8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32" spans="1:24" hidden="1" x14ac:dyDescent="0.35">
      <c r="A832" s="3" t="s">
        <v>172</v>
      </c>
      <c r="B832" s="11">
        <v>46054</v>
      </c>
      <c r="C832" t="s">
        <v>31</v>
      </c>
      <c r="D832" t="s">
        <v>202</v>
      </c>
      <c r="E832" t="s">
        <v>35</v>
      </c>
      <c r="F832" s="10" t="s">
        <v>22</v>
      </c>
      <c r="G832" s="3" t="s">
        <v>11</v>
      </c>
      <c r="H832" s="3" t="s">
        <v>13</v>
      </c>
      <c r="I832" s="3" t="s">
        <v>65</v>
      </c>
      <c r="J832" s="1">
        <v>0</v>
      </c>
      <c r="K832" s="12">
        <v>0</v>
      </c>
      <c r="L832" s="1"/>
      <c r="M832" s="12"/>
      <c r="N832"/>
      <c r="O832"/>
      <c r="P832" s="2" t="str">
        <f>IF(BD_Receitas[[#This Row],[TIPO DE COBRANÇA]]="Operação Normal",
_xlfn.XLOOKUP(BD_Receitas[[#This Row],[ID]],TabCondicoesComerciais[ID],TabCondicoesComerciais[Volume mínimo 
(m3)],0),"")</f>
        <v/>
      </c>
      <c r="Q832" s="2">
        <f>_xlfn.XLOOKUP(BD_Receitas[[#This Row],[ID]],TabCondicoesComerciais[ID],TabCondicoesComerciais[Vol. 1ºGiro],0)</f>
        <v>750</v>
      </c>
      <c r="R8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32" s="1">
        <f xml:space="preserve"> IF(BD_Receitas[[#This Row],[TIPO DE COBRANÇA]]="Operação Normal",
_xlfn.XLOOKUP(BD_Receitas[[#This Row],[ID]],TabCondicoesComerciais[ID],TabCondicoesComerciais[Tarifa 2º Giro],0),0)</f>
        <v>0</v>
      </c>
      <c r="T8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3" spans="1:24" hidden="1" x14ac:dyDescent="0.35">
      <c r="A833" s="3" t="s">
        <v>150</v>
      </c>
      <c r="B833" s="11">
        <v>46054</v>
      </c>
      <c r="C833" t="s">
        <v>31</v>
      </c>
      <c r="D833" t="s">
        <v>62</v>
      </c>
      <c r="E833" t="s">
        <v>33</v>
      </c>
      <c r="F833" s="10" t="s">
        <v>46</v>
      </c>
      <c r="G833" s="3" t="s">
        <v>87</v>
      </c>
      <c r="H833" s="3" t="s">
        <v>9</v>
      </c>
      <c r="I833" s="3" t="s">
        <v>7</v>
      </c>
      <c r="J833" s="1">
        <v>0</v>
      </c>
      <c r="K833" s="12">
        <v>0</v>
      </c>
      <c r="L833" s="1"/>
      <c r="M833" s="12"/>
      <c r="N833"/>
      <c r="O833"/>
      <c r="P833" s="2" t="str">
        <f>IF(BD_Receitas[[#This Row],[TIPO DE COBRANÇA]]="Operação Normal",
_xlfn.XLOOKUP(BD_Receitas[[#This Row],[ID]],TabCondicoesComerciais[ID],TabCondicoesComerciais[Volume mínimo 
(m3)],0),"")</f>
        <v/>
      </c>
      <c r="Q833" s="2">
        <f>_xlfn.XLOOKUP(BD_Receitas[[#This Row],[ID]],TabCondicoesComerciais[ID],TabCondicoesComerciais[Vol. 1ºGiro],0)</f>
        <v>1070</v>
      </c>
      <c r="R8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33" s="1">
        <f xml:space="preserve"> IF(BD_Receitas[[#This Row],[TIPO DE COBRANÇA]]="Operação Normal",
_xlfn.XLOOKUP(BD_Receitas[[#This Row],[ID]],TabCondicoesComerciais[ID],TabCondicoesComerciais[Tarifa 2º Giro],0),0)</f>
        <v>0</v>
      </c>
      <c r="T8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4" spans="1:24" hidden="1" x14ac:dyDescent="0.35">
      <c r="A834" s="3" t="s">
        <v>150</v>
      </c>
      <c r="B834" s="11">
        <v>46054</v>
      </c>
      <c r="C834" t="s">
        <v>31</v>
      </c>
      <c r="D834" t="s">
        <v>62</v>
      </c>
      <c r="E834" t="s">
        <v>33</v>
      </c>
      <c r="F834" s="10" t="s">
        <v>46</v>
      </c>
      <c r="G834" s="3" t="s">
        <v>87</v>
      </c>
      <c r="H834" s="3" t="s">
        <v>9</v>
      </c>
      <c r="I834" s="3" t="s">
        <v>8</v>
      </c>
      <c r="J834" s="1">
        <v>0</v>
      </c>
      <c r="K834" s="12">
        <v>0</v>
      </c>
      <c r="L834" s="1">
        <v>426.07799999999997</v>
      </c>
      <c r="M834" s="12">
        <v>54.390999999999998</v>
      </c>
      <c r="N834" t="s">
        <v>317</v>
      </c>
      <c r="O834"/>
      <c r="P834" s="2" t="str">
        <f>IF(BD_Receitas[[#This Row],[TIPO DE COBRANÇA]]="Operação Normal",
_xlfn.XLOOKUP(BD_Receitas[[#This Row],[ID]],TabCondicoesComerciais[ID],TabCondicoesComerciais[Volume mínimo 
(m3)],0),"")</f>
        <v/>
      </c>
      <c r="Q834" s="2">
        <f>_xlfn.XLOOKUP(BD_Receitas[[#This Row],[ID]],TabCondicoesComerciais[ID],TabCondicoesComerciais[Vol. 1ºGiro],0)</f>
        <v>1070</v>
      </c>
      <c r="R8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34" s="1">
        <f xml:space="preserve"> IF(BD_Receitas[[#This Row],[TIPO DE COBRANÇA]]="Operação Normal",
_xlfn.XLOOKUP(BD_Receitas[[#This Row],[ID]],TabCondicoesComerciais[ID],TabCondicoesComerciais[Tarifa 2º Giro],0),0)</f>
        <v>0</v>
      </c>
      <c r="T8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5" spans="1:24" hidden="1" x14ac:dyDescent="0.35">
      <c r="A835" s="3" t="s">
        <v>150</v>
      </c>
      <c r="B835" s="11">
        <v>46054</v>
      </c>
      <c r="C835" t="s">
        <v>31</v>
      </c>
      <c r="D835" t="s">
        <v>62</v>
      </c>
      <c r="E835" t="s">
        <v>33</v>
      </c>
      <c r="F835" s="10" t="s">
        <v>46</v>
      </c>
      <c r="G835" s="3" t="s">
        <v>87</v>
      </c>
      <c r="H835" s="3" t="s">
        <v>9</v>
      </c>
      <c r="I835" s="3" t="s">
        <v>15</v>
      </c>
      <c r="J835" s="1">
        <v>137499.15789999999</v>
      </c>
      <c r="K835" s="12">
        <v>4200</v>
      </c>
      <c r="L835" s="1">
        <v>62864.639999999999</v>
      </c>
      <c r="M835" s="12">
        <v>657.46</v>
      </c>
      <c r="N835" t="s">
        <v>317</v>
      </c>
      <c r="O835"/>
      <c r="P835" s="2">
        <f>IF(BD_Receitas[[#This Row],[TIPO DE COBRANÇA]]="Operação Normal",
_xlfn.XLOOKUP(BD_Receitas[[#This Row],[ID]],TabCondicoesComerciais[ID],TabCondicoesComerciais[Volume mínimo 
(m3)],0),"")</f>
        <v>3210</v>
      </c>
      <c r="Q835" s="2">
        <f>_xlfn.XLOOKUP(BD_Receitas[[#This Row],[ID]],TabCondicoesComerciais[ID],TabCondicoesComerciais[Vol. 1ºGiro],0)</f>
        <v>1070</v>
      </c>
      <c r="R8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835" s="1">
        <f xml:space="preserve"> IF(BD_Receitas[[#This Row],[TIPO DE COBRANÇA]]="Operação Normal",
_xlfn.XLOOKUP(BD_Receitas[[#This Row],[ID]],TabCondicoesComerciais[ID],TabCondicoesComerciais[Tarifa 2º Giro],0),0)</f>
        <v>30</v>
      </c>
      <c r="T835" s="5">
        <f>IFERROR(IF(BD_Receitas[[#This Row],[TIPO DE COBRANÇA]]&lt;&gt;"Operação Normal","",BD_Receitas[[#This Row],[Valor Total R$]]/ MAX(BD_Receitas[[#This Row],[Vol. Movimentado M³]],
BD_Receitas[[#This Row],[Volume Mínimo ]])
),0)</f>
        <v>19.584</v>
      </c>
      <c r="U8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96.26550360478204</v>
      </c>
      <c r="V8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96300</v>
      </c>
      <c r="W8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19723.800000000003</v>
      </c>
      <c r="X8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36" spans="1:24" hidden="1" x14ac:dyDescent="0.35">
      <c r="A836" s="3" t="s">
        <v>150</v>
      </c>
      <c r="B836" s="11">
        <v>46054</v>
      </c>
      <c r="C836" t="s">
        <v>31</v>
      </c>
      <c r="D836" t="s">
        <v>62</v>
      </c>
      <c r="E836" t="s">
        <v>33</v>
      </c>
      <c r="F836" s="10" t="s">
        <v>46</v>
      </c>
      <c r="G836" s="3" t="s">
        <v>87</v>
      </c>
      <c r="H836" s="3" t="s">
        <v>9</v>
      </c>
      <c r="I836" s="3" t="s">
        <v>65</v>
      </c>
      <c r="J836" s="1">
        <v>0</v>
      </c>
      <c r="K836" s="12">
        <v>0</v>
      </c>
      <c r="L836" s="1"/>
      <c r="M836" s="12"/>
      <c r="N836"/>
      <c r="O836"/>
      <c r="P836" s="2" t="str">
        <f>IF(BD_Receitas[[#This Row],[TIPO DE COBRANÇA]]="Operação Normal",
_xlfn.XLOOKUP(BD_Receitas[[#This Row],[ID]],TabCondicoesComerciais[ID],TabCondicoesComerciais[Volume mínimo 
(m3)],0),"")</f>
        <v/>
      </c>
      <c r="Q836" s="2">
        <f>_xlfn.XLOOKUP(BD_Receitas[[#This Row],[ID]],TabCondicoesComerciais[ID],TabCondicoesComerciais[Vol. 1ºGiro],0)</f>
        <v>1070</v>
      </c>
      <c r="R8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36" s="1">
        <f xml:space="preserve"> IF(BD_Receitas[[#This Row],[TIPO DE COBRANÇA]]="Operação Normal",
_xlfn.XLOOKUP(BD_Receitas[[#This Row],[ID]],TabCondicoesComerciais[ID],TabCondicoesComerciais[Tarifa 2º Giro],0),0)</f>
        <v>0</v>
      </c>
      <c r="T8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7" spans="1:24" hidden="1" x14ac:dyDescent="0.35">
      <c r="A837" s="3" t="s">
        <v>200</v>
      </c>
      <c r="B837" s="11">
        <v>46054</v>
      </c>
      <c r="C837" t="s">
        <v>31</v>
      </c>
      <c r="D837" t="s">
        <v>203</v>
      </c>
      <c r="E837" t="s">
        <v>32</v>
      </c>
      <c r="F837" s="10" t="s">
        <v>25</v>
      </c>
      <c r="G837" s="3" t="s">
        <v>12</v>
      </c>
      <c r="H837" s="3" t="s">
        <v>10</v>
      </c>
      <c r="I837" s="3" t="s">
        <v>7</v>
      </c>
      <c r="J837" s="1">
        <v>0</v>
      </c>
      <c r="K837" s="12">
        <v>0</v>
      </c>
      <c r="L837" s="1">
        <v>133.36000000000001</v>
      </c>
      <c r="M837" s="12">
        <v>4.7629999999999999</v>
      </c>
      <c r="N837" t="s">
        <v>318</v>
      </c>
      <c r="O837" t="s">
        <v>155</v>
      </c>
      <c r="P837" s="2" t="str">
        <f>IF(BD_Receitas[[#This Row],[TIPO DE COBRANÇA]]="Operação Normal",
_xlfn.XLOOKUP(BD_Receitas[[#This Row],[ID]],TabCondicoesComerciais[ID],TabCondicoesComerciais[Volume mínimo 
(m3)],0),"")</f>
        <v/>
      </c>
      <c r="Q837" s="2">
        <f>_xlfn.XLOOKUP(BD_Receitas[[#This Row],[ID]],TabCondicoesComerciais[ID],TabCondicoesComerciais[Vol. 1ºGiro],0)</f>
        <v>2000</v>
      </c>
      <c r="R8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37" s="1">
        <f xml:space="preserve"> IF(BD_Receitas[[#This Row],[TIPO DE COBRANÇA]]="Operação Normal",
_xlfn.XLOOKUP(BD_Receitas[[#This Row],[ID]],TabCondicoesComerciais[ID],TabCondicoesComerciais[Tarifa 2º Giro],0),0)</f>
        <v>0</v>
      </c>
      <c r="T8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8" spans="1:24" hidden="1" x14ac:dyDescent="0.35">
      <c r="A838" s="3" t="s">
        <v>200</v>
      </c>
      <c r="B838" s="11">
        <v>46054</v>
      </c>
      <c r="C838" t="s">
        <v>31</v>
      </c>
      <c r="D838" t="s">
        <v>203</v>
      </c>
      <c r="E838" t="s">
        <v>32</v>
      </c>
      <c r="F838" s="10" t="s">
        <v>25</v>
      </c>
      <c r="G838" s="3" t="s">
        <v>12</v>
      </c>
      <c r="H838" s="3" t="s">
        <v>10</v>
      </c>
      <c r="I838" s="3" t="s">
        <v>8</v>
      </c>
      <c r="J838" s="1">
        <v>0</v>
      </c>
      <c r="K838" s="12">
        <v>0</v>
      </c>
      <c r="L838" s="1"/>
      <c r="M838" s="12"/>
      <c r="N838"/>
      <c r="O838"/>
      <c r="P838" s="2" t="str">
        <f>IF(BD_Receitas[[#This Row],[TIPO DE COBRANÇA]]="Operação Normal",
_xlfn.XLOOKUP(BD_Receitas[[#This Row],[ID]],TabCondicoesComerciais[ID],TabCondicoesComerciais[Volume mínimo 
(m3)],0),"")</f>
        <v/>
      </c>
      <c r="Q838" s="2">
        <f>_xlfn.XLOOKUP(BD_Receitas[[#This Row],[ID]],TabCondicoesComerciais[ID],TabCondicoesComerciais[Vol. 1ºGiro],0)</f>
        <v>2000</v>
      </c>
      <c r="R8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38" s="1">
        <f xml:space="preserve"> IF(BD_Receitas[[#This Row],[TIPO DE COBRANÇA]]="Operação Normal",
_xlfn.XLOOKUP(BD_Receitas[[#This Row],[ID]],TabCondicoesComerciais[ID],TabCondicoesComerciais[Tarifa 2º Giro],0),0)</f>
        <v>0</v>
      </c>
      <c r="T8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39" spans="1:24" hidden="1" x14ac:dyDescent="0.35">
      <c r="A839" s="3" t="s">
        <v>200</v>
      </c>
      <c r="B839" s="11">
        <v>46054</v>
      </c>
      <c r="C839" t="s">
        <v>31</v>
      </c>
      <c r="D839" t="s">
        <v>203</v>
      </c>
      <c r="E839" t="s">
        <v>32</v>
      </c>
      <c r="F839" s="10" t="s">
        <v>25</v>
      </c>
      <c r="G839" s="3" t="s">
        <v>12</v>
      </c>
      <c r="H839" s="3" t="s">
        <v>10</v>
      </c>
      <c r="I839" s="3" t="s">
        <v>15</v>
      </c>
      <c r="J839" s="1">
        <v>0</v>
      </c>
      <c r="K839" s="12">
        <v>0</v>
      </c>
      <c r="L839" s="1">
        <v>210870.8</v>
      </c>
      <c r="M839" s="12">
        <v>10543.54</v>
      </c>
      <c r="N839" t="s">
        <v>318</v>
      </c>
      <c r="O839" t="s">
        <v>155</v>
      </c>
      <c r="P839" s="2">
        <f>IF(BD_Receitas[[#This Row],[TIPO DE COBRANÇA]]="Operação Normal",
_xlfn.XLOOKUP(BD_Receitas[[#This Row],[ID]],TabCondicoesComerciais[ID],TabCondicoesComerciais[Volume mínimo 
(m3)],0),"")</f>
        <v>8000</v>
      </c>
      <c r="Q839" s="2">
        <f>_xlfn.XLOOKUP(BD_Receitas[[#This Row],[ID]],TabCondicoesComerciais[ID],TabCondicoesComerciais[Vol. 1ºGiro],0)</f>
        <v>2000</v>
      </c>
      <c r="R8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839" s="1">
        <f xml:space="preserve"> IF(BD_Receitas[[#This Row],[TIPO DE COBRANÇA]]="Operação Normal",
_xlfn.XLOOKUP(BD_Receitas[[#This Row],[ID]],TabCondicoesComerciais[ID],TabCondicoesComerciais[Tarifa 2º Giro],0),0)</f>
        <v>20</v>
      </c>
      <c r="T839" s="5">
        <f>IFERROR(IF(BD_Receitas[[#This Row],[TIPO DE COBRANÇA]]&lt;&gt;"Operação Normal","",BD_Receitas[[#This Row],[Valor Total R$]]/ MAX(BD_Receitas[[#This Row],[Vol. Movimentado M³]],
BD_Receitas[[#This Row],[Volume Mínimo ]])
),0)</f>
        <v>19.999999999999996</v>
      </c>
      <c r="U8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20.01264850325412</v>
      </c>
      <c r="V8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8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210870.80000000002</v>
      </c>
      <c r="X8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840" spans="1:24" hidden="1" x14ac:dyDescent="0.35">
      <c r="A840" s="3" t="s">
        <v>200</v>
      </c>
      <c r="B840" s="11">
        <v>46054</v>
      </c>
      <c r="C840" t="s">
        <v>31</v>
      </c>
      <c r="D840" t="s">
        <v>203</v>
      </c>
      <c r="E840" t="s">
        <v>32</v>
      </c>
      <c r="F840" s="10" t="s">
        <v>25</v>
      </c>
      <c r="G840" s="3" t="s">
        <v>12</v>
      </c>
      <c r="H840" s="3" t="s">
        <v>10</v>
      </c>
      <c r="I840" s="3" t="s">
        <v>65</v>
      </c>
      <c r="J840" s="1">
        <v>0</v>
      </c>
      <c r="K840" s="12">
        <v>0</v>
      </c>
      <c r="L840" s="1"/>
      <c r="M840" s="12"/>
      <c r="N840"/>
      <c r="O840"/>
      <c r="P840" s="2" t="str">
        <f>IF(BD_Receitas[[#This Row],[TIPO DE COBRANÇA]]="Operação Normal",
_xlfn.XLOOKUP(BD_Receitas[[#This Row],[ID]],TabCondicoesComerciais[ID],TabCondicoesComerciais[Volume mínimo 
(m3)],0),"")</f>
        <v/>
      </c>
      <c r="Q840" s="2">
        <f>_xlfn.XLOOKUP(BD_Receitas[[#This Row],[ID]],TabCondicoesComerciais[ID],TabCondicoesComerciais[Vol. 1ºGiro],0)</f>
        <v>2000</v>
      </c>
      <c r="R8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40" s="1">
        <f xml:space="preserve"> IF(BD_Receitas[[#This Row],[TIPO DE COBRANÇA]]="Operação Normal",
_xlfn.XLOOKUP(BD_Receitas[[#This Row],[ID]],TabCondicoesComerciais[ID],TabCondicoesComerciais[Tarifa 2º Giro],0),0)</f>
        <v>0</v>
      </c>
      <c r="T8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1" spans="1:24" hidden="1" x14ac:dyDescent="0.35">
      <c r="A841" s="3" t="s">
        <v>264</v>
      </c>
      <c r="B841" s="11">
        <v>46054</v>
      </c>
      <c r="C841" t="s">
        <v>31</v>
      </c>
      <c r="D841" t="s">
        <v>203</v>
      </c>
      <c r="E841" t="s">
        <v>32</v>
      </c>
      <c r="F841" s="10" t="s">
        <v>25</v>
      </c>
      <c r="G841" s="3" t="s">
        <v>12</v>
      </c>
      <c r="H841" s="3" t="s">
        <v>9</v>
      </c>
      <c r="I841" s="3" t="s">
        <v>7</v>
      </c>
      <c r="J841" s="1">
        <v>0</v>
      </c>
      <c r="K841" s="12">
        <v>0</v>
      </c>
      <c r="L841" s="1">
        <v>18944</v>
      </c>
      <c r="M841" s="12">
        <v>1742.7</v>
      </c>
      <c r="N841" t="s">
        <v>319</v>
      </c>
      <c r="O841" t="s">
        <v>129</v>
      </c>
      <c r="P841" s="2" t="str">
        <f>IF(BD_Receitas[[#This Row],[TIPO DE COBRANÇA]]="Operação Normal",
_xlfn.XLOOKUP(BD_Receitas[[#This Row],[ID]],TabCondicoesComerciais[ID],TabCondicoesComerciais[Volume mínimo 
(m3)],0),"")</f>
        <v/>
      </c>
      <c r="Q841" s="2">
        <f>_xlfn.XLOOKUP(BD_Receitas[[#This Row],[ID]],TabCondicoesComerciais[ID],TabCondicoesComerciais[Vol. 1ºGiro],0)</f>
        <v>1125</v>
      </c>
      <c r="R8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841" s="1">
        <f xml:space="preserve"> IF(BD_Receitas[[#This Row],[TIPO DE COBRANÇA]]="Operação Normal",
_xlfn.XLOOKUP(BD_Receitas[[#This Row],[ID]],TabCondicoesComerciais[ID],TabCondicoesComerciais[Tarifa 2º Giro],0),0)</f>
        <v>0</v>
      </c>
      <c r="T8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2" spans="1:24" hidden="1" x14ac:dyDescent="0.35">
      <c r="A842" s="3" t="s">
        <v>264</v>
      </c>
      <c r="B842" s="11">
        <v>46054</v>
      </c>
      <c r="C842" t="s">
        <v>31</v>
      </c>
      <c r="D842" t="s">
        <v>203</v>
      </c>
      <c r="E842" t="s">
        <v>32</v>
      </c>
      <c r="F842" s="10" t="s">
        <v>25</v>
      </c>
      <c r="G842" s="3" t="s">
        <v>12</v>
      </c>
      <c r="H842" s="3" t="s">
        <v>9</v>
      </c>
      <c r="I842" s="3" t="s">
        <v>8</v>
      </c>
      <c r="J842" s="1">
        <v>0</v>
      </c>
      <c r="K842" s="12">
        <v>0</v>
      </c>
      <c r="L842" s="1"/>
      <c r="M842" s="12"/>
      <c r="N842"/>
      <c r="O842"/>
      <c r="P842" s="2" t="str">
        <f>IF(BD_Receitas[[#This Row],[TIPO DE COBRANÇA]]="Operação Normal",
_xlfn.XLOOKUP(BD_Receitas[[#This Row],[ID]],TabCondicoesComerciais[ID],TabCondicoesComerciais[Volume mínimo 
(m3)],0),"")</f>
        <v/>
      </c>
      <c r="Q842" s="2">
        <f>_xlfn.XLOOKUP(BD_Receitas[[#This Row],[ID]],TabCondicoesComerciais[ID],TabCondicoesComerciais[Vol. 1ºGiro],0)</f>
        <v>1125</v>
      </c>
      <c r="R8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842" s="1">
        <f xml:space="preserve"> IF(BD_Receitas[[#This Row],[TIPO DE COBRANÇA]]="Operação Normal",
_xlfn.XLOOKUP(BD_Receitas[[#This Row],[ID]],TabCondicoesComerciais[ID],TabCondicoesComerciais[Tarifa 2º Giro],0),0)</f>
        <v>0</v>
      </c>
      <c r="T8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3" spans="1:24" hidden="1" x14ac:dyDescent="0.35">
      <c r="A843" s="3" t="s">
        <v>264</v>
      </c>
      <c r="B843" s="11">
        <v>46054</v>
      </c>
      <c r="C843" t="s">
        <v>31</v>
      </c>
      <c r="D843" t="s">
        <v>203</v>
      </c>
      <c r="E843" t="s">
        <v>32</v>
      </c>
      <c r="F843" s="10" t="s">
        <v>25</v>
      </c>
      <c r="G843" s="3" t="s">
        <v>12</v>
      </c>
      <c r="H843" s="3" t="s">
        <v>9</v>
      </c>
      <c r="I843" s="3" t="s">
        <v>15</v>
      </c>
      <c r="J843" s="1">
        <v>164947.60920000001</v>
      </c>
      <c r="K843" s="12">
        <v>6100</v>
      </c>
      <c r="L843" s="1">
        <v>152943.75</v>
      </c>
      <c r="M843" s="12">
        <v>4479.7910000000002</v>
      </c>
      <c r="N843" t="s">
        <v>319</v>
      </c>
      <c r="O843" t="s">
        <v>155</v>
      </c>
      <c r="P843" s="2">
        <f>IF(BD_Receitas[[#This Row],[TIPO DE COBRANÇA]]="Operação Normal",
_xlfn.XLOOKUP(BD_Receitas[[#This Row],[ID]],TabCondicoesComerciais[ID],TabCondicoesComerciais[Volume mínimo 
(m3)],0),"")</f>
        <v>5625</v>
      </c>
      <c r="Q843" s="2">
        <f>_xlfn.XLOOKUP(BD_Receitas[[#This Row],[ID]],TabCondicoesComerciais[ID],TabCondicoesComerciais[Vol. 1ºGiro],0)</f>
        <v>1125</v>
      </c>
      <c r="R8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843" s="1">
        <f xml:space="preserve"> IF(BD_Receitas[[#This Row],[TIPO DE COBRANÇA]]="Operação Normal",
_xlfn.XLOOKUP(BD_Receitas[[#This Row],[ID]],TabCondicoesComerciais[ID],TabCondicoesComerciais[Tarifa 2º Giro],0),0)</f>
        <v>27.19</v>
      </c>
      <c r="T843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8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38.369591349239279</v>
      </c>
      <c r="V8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8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121805.51729</v>
      </c>
      <c r="X8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44" spans="1:24" hidden="1" x14ac:dyDescent="0.35">
      <c r="A844" s="3" t="s">
        <v>264</v>
      </c>
      <c r="B844" s="11">
        <v>46054</v>
      </c>
      <c r="C844" t="s">
        <v>31</v>
      </c>
      <c r="D844" t="s">
        <v>203</v>
      </c>
      <c r="E844" t="s">
        <v>32</v>
      </c>
      <c r="F844" s="10" t="s">
        <v>25</v>
      </c>
      <c r="G844" s="3" t="s">
        <v>12</v>
      </c>
      <c r="H844" s="3" t="s">
        <v>9</v>
      </c>
      <c r="I844" s="3" t="s">
        <v>65</v>
      </c>
      <c r="J844" s="1">
        <v>0</v>
      </c>
      <c r="K844" s="12">
        <v>0</v>
      </c>
      <c r="L844" s="1"/>
      <c r="M844" s="12"/>
      <c r="N844"/>
      <c r="O844"/>
      <c r="P844" s="2" t="str">
        <f>IF(BD_Receitas[[#This Row],[TIPO DE COBRANÇA]]="Operação Normal",
_xlfn.XLOOKUP(BD_Receitas[[#This Row],[ID]],TabCondicoesComerciais[ID],TabCondicoesComerciais[Volume mínimo 
(m3)],0),"")</f>
        <v/>
      </c>
      <c r="Q844" s="2">
        <f>_xlfn.XLOOKUP(BD_Receitas[[#This Row],[ID]],TabCondicoesComerciais[ID],TabCondicoesComerciais[Vol. 1ºGiro],0)</f>
        <v>1125</v>
      </c>
      <c r="R8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44" s="1">
        <f xml:space="preserve"> IF(BD_Receitas[[#This Row],[TIPO DE COBRANÇA]]="Operação Normal",
_xlfn.XLOOKUP(BD_Receitas[[#This Row],[ID]],TabCondicoesComerciais[ID],TabCondicoesComerciais[Tarifa 2º Giro],0),0)</f>
        <v>0</v>
      </c>
      <c r="T8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5" spans="1:24" hidden="1" x14ac:dyDescent="0.35">
      <c r="A845" s="3" t="s">
        <v>134</v>
      </c>
      <c r="B845" s="11">
        <v>46054</v>
      </c>
      <c r="C845" t="s">
        <v>31</v>
      </c>
      <c r="D845" t="s">
        <v>62</v>
      </c>
      <c r="E845" t="s">
        <v>37</v>
      </c>
      <c r="F845" s="10" t="s">
        <v>57</v>
      </c>
      <c r="G845" s="3" t="s">
        <v>58</v>
      </c>
      <c r="H845" s="3" t="s">
        <v>10</v>
      </c>
      <c r="I845" s="3" t="s">
        <v>7</v>
      </c>
      <c r="J845" s="1">
        <v>0</v>
      </c>
      <c r="K845" s="12">
        <v>0</v>
      </c>
      <c r="L845" s="1"/>
      <c r="M845" s="12"/>
      <c r="N845"/>
      <c r="O845"/>
      <c r="P845" s="2" t="str">
        <f>IF(BD_Receitas[[#This Row],[TIPO DE COBRANÇA]]="Operação Normal",
_xlfn.XLOOKUP(BD_Receitas[[#This Row],[ID]],TabCondicoesComerciais[ID],TabCondicoesComerciais[Volume mínimo 
(m3)],0),"")</f>
        <v/>
      </c>
      <c r="Q845" s="2">
        <f>_xlfn.XLOOKUP(BD_Receitas[[#This Row],[ID]],TabCondicoesComerciais[ID],TabCondicoesComerciais[Vol. 1ºGiro],0)</f>
        <v>310</v>
      </c>
      <c r="R8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45" s="1">
        <f xml:space="preserve"> IF(BD_Receitas[[#This Row],[TIPO DE COBRANÇA]]="Operação Normal",
_xlfn.XLOOKUP(BD_Receitas[[#This Row],[ID]],TabCondicoesComerciais[ID],TabCondicoesComerciais[Tarifa 2º Giro],0),0)</f>
        <v>0</v>
      </c>
      <c r="T8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6" spans="1:24" hidden="1" x14ac:dyDescent="0.35">
      <c r="A846" s="3" t="s">
        <v>134</v>
      </c>
      <c r="B846" s="11">
        <v>46054</v>
      </c>
      <c r="C846" t="s">
        <v>31</v>
      </c>
      <c r="D846" t="s">
        <v>62</v>
      </c>
      <c r="E846" t="s">
        <v>37</v>
      </c>
      <c r="F846" s="10" t="s">
        <v>57</v>
      </c>
      <c r="G846" s="3" t="s">
        <v>58</v>
      </c>
      <c r="H846" s="3" t="s">
        <v>10</v>
      </c>
      <c r="I846" s="3" t="s">
        <v>8</v>
      </c>
      <c r="J846" s="1">
        <v>0</v>
      </c>
      <c r="K846" s="12">
        <v>0</v>
      </c>
      <c r="L846" s="1"/>
      <c r="M846" s="12"/>
      <c r="N846"/>
      <c r="O846"/>
      <c r="P846" s="2" t="str">
        <f>IF(BD_Receitas[[#This Row],[TIPO DE COBRANÇA]]="Operação Normal",
_xlfn.XLOOKUP(BD_Receitas[[#This Row],[ID]],TabCondicoesComerciais[ID],TabCondicoesComerciais[Volume mínimo 
(m3)],0),"")</f>
        <v/>
      </c>
      <c r="Q846" s="2">
        <f>_xlfn.XLOOKUP(BD_Receitas[[#This Row],[ID]],TabCondicoesComerciais[ID],TabCondicoesComerciais[Vol. 1ºGiro],0)</f>
        <v>310</v>
      </c>
      <c r="R8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846" s="1">
        <f xml:space="preserve"> IF(BD_Receitas[[#This Row],[TIPO DE COBRANÇA]]="Operação Normal",
_xlfn.XLOOKUP(BD_Receitas[[#This Row],[ID]],TabCondicoesComerciais[ID],TabCondicoesComerciais[Tarifa 2º Giro],0),0)</f>
        <v>0</v>
      </c>
      <c r="T8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7" spans="1:24" hidden="1" x14ac:dyDescent="0.35">
      <c r="A847" s="3" t="s">
        <v>134</v>
      </c>
      <c r="B847" s="11">
        <v>46054</v>
      </c>
      <c r="C847" t="s">
        <v>31</v>
      </c>
      <c r="D847" t="s">
        <v>62</v>
      </c>
      <c r="E847" t="s">
        <v>37</v>
      </c>
      <c r="F847" s="10" t="s">
        <v>57</v>
      </c>
      <c r="G847" s="3" t="s">
        <v>58</v>
      </c>
      <c r="H847" s="3" t="s">
        <v>10</v>
      </c>
      <c r="I847" s="3" t="s">
        <v>15</v>
      </c>
      <c r="J847" s="1">
        <v>17311.068899999998</v>
      </c>
      <c r="K847" s="12">
        <v>550</v>
      </c>
      <c r="L847" s="1"/>
      <c r="M847" s="12"/>
      <c r="N847"/>
      <c r="O847"/>
      <c r="P847" s="2">
        <f>IF(BD_Receitas[[#This Row],[TIPO DE COBRANÇA]]="Operação Normal",
_xlfn.XLOOKUP(BD_Receitas[[#This Row],[ID]],TabCondicoesComerciais[ID],TabCondicoesComerciais[Volume mínimo 
(m3)],0),"")</f>
        <v>1100</v>
      </c>
      <c r="Q847" s="2">
        <f>_xlfn.XLOOKUP(BD_Receitas[[#This Row],[ID]],TabCondicoesComerciais[ID],TabCondicoesComerciais[Vol. 1ºGiro],0)</f>
        <v>310</v>
      </c>
      <c r="R8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847" s="1">
        <f xml:space="preserve"> IF(BD_Receitas[[#This Row],[TIPO DE COBRANÇA]]="Operação Normal",
_xlfn.XLOOKUP(BD_Receitas[[#This Row],[ID]],TabCondicoesComerciais[ID],TabCondicoesComerciais[Tarifa 2º Giro],0),0)</f>
        <v>31.04</v>
      </c>
      <c r="T84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8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48" spans="1:24" hidden="1" x14ac:dyDescent="0.35">
      <c r="A848" s="3" t="s">
        <v>134</v>
      </c>
      <c r="B848" s="11">
        <v>46054</v>
      </c>
      <c r="C848" t="s">
        <v>31</v>
      </c>
      <c r="D848" t="s">
        <v>62</v>
      </c>
      <c r="E848" t="s">
        <v>37</v>
      </c>
      <c r="F848" s="10" t="s">
        <v>57</v>
      </c>
      <c r="G848" s="3" t="s">
        <v>58</v>
      </c>
      <c r="H848" s="3" t="s">
        <v>10</v>
      </c>
      <c r="I848" s="3" t="s">
        <v>65</v>
      </c>
      <c r="J848" s="1">
        <v>0</v>
      </c>
      <c r="K848" s="12">
        <v>0</v>
      </c>
      <c r="L848" s="1"/>
      <c r="M848" s="12"/>
      <c r="N848"/>
      <c r="O848"/>
      <c r="P848" s="2" t="str">
        <f>IF(BD_Receitas[[#This Row],[TIPO DE COBRANÇA]]="Operação Normal",
_xlfn.XLOOKUP(BD_Receitas[[#This Row],[ID]],TabCondicoesComerciais[ID],TabCondicoesComerciais[Volume mínimo 
(m3)],0),"")</f>
        <v/>
      </c>
      <c r="Q848" s="2">
        <f>_xlfn.XLOOKUP(BD_Receitas[[#This Row],[ID]],TabCondicoesComerciais[ID],TabCondicoesComerciais[Vol. 1ºGiro],0)</f>
        <v>310</v>
      </c>
      <c r="R8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48" s="1">
        <f xml:space="preserve"> IF(BD_Receitas[[#This Row],[TIPO DE COBRANÇA]]="Operação Normal",
_xlfn.XLOOKUP(BD_Receitas[[#This Row],[ID]],TabCondicoesComerciais[ID],TabCondicoesComerciais[Tarifa 2º Giro],0),0)</f>
        <v>0</v>
      </c>
      <c r="T8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49" spans="1:24" hidden="1" x14ac:dyDescent="0.35">
      <c r="A849" s="3" t="s">
        <v>173</v>
      </c>
      <c r="B849" s="11">
        <v>46054</v>
      </c>
      <c r="C849" t="s">
        <v>31</v>
      </c>
      <c r="D849" t="s">
        <v>62</v>
      </c>
      <c r="E849" t="s">
        <v>37</v>
      </c>
      <c r="F849" s="10" t="s">
        <v>57</v>
      </c>
      <c r="G849" s="3" t="s">
        <v>58</v>
      </c>
      <c r="H849" s="3" t="s">
        <v>6</v>
      </c>
      <c r="I849" s="3" t="s">
        <v>7</v>
      </c>
      <c r="J849" s="1">
        <v>0</v>
      </c>
      <c r="K849" s="12">
        <v>0</v>
      </c>
      <c r="L849" s="1"/>
      <c r="M849" s="12"/>
      <c r="N849"/>
      <c r="O849"/>
      <c r="P849" s="2" t="str">
        <f>IF(BD_Receitas[[#This Row],[TIPO DE COBRANÇA]]="Operação Normal",
_xlfn.XLOOKUP(BD_Receitas[[#This Row],[ID]],TabCondicoesComerciais[ID],TabCondicoesComerciais[Volume mínimo 
(m3)],0),"")</f>
        <v/>
      </c>
      <c r="Q849" s="2">
        <f>_xlfn.XLOOKUP(BD_Receitas[[#This Row],[ID]],TabCondicoesComerciais[ID],TabCondicoesComerciais[Vol. 1ºGiro],0)</f>
        <v>1070</v>
      </c>
      <c r="R8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49" s="1">
        <f xml:space="preserve"> IF(BD_Receitas[[#This Row],[TIPO DE COBRANÇA]]="Operação Normal",
_xlfn.XLOOKUP(BD_Receitas[[#This Row],[ID]],TabCondicoesComerciais[ID],TabCondicoesComerciais[Tarifa 2º Giro],0),0)</f>
        <v>0</v>
      </c>
      <c r="T8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0" spans="1:24" hidden="1" x14ac:dyDescent="0.35">
      <c r="A850" s="3" t="s">
        <v>173</v>
      </c>
      <c r="B850" s="11">
        <v>46054</v>
      </c>
      <c r="C850" t="s">
        <v>31</v>
      </c>
      <c r="D850" t="s">
        <v>62</v>
      </c>
      <c r="E850" t="s">
        <v>37</v>
      </c>
      <c r="F850" s="10" t="s">
        <v>57</v>
      </c>
      <c r="G850" s="3" t="s">
        <v>58</v>
      </c>
      <c r="H850" s="3" t="s">
        <v>6</v>
      </c>
      <c r="I850" s="3" t="s">
        <v>8</v>
      </c>
      <c r="J850" s="1">
        <v>0</v>
      </c>
      <c r="K850" s="12">
        <v>0</v>
      </c>
      <c r="L850" s="1"/>
      <c r="M850" s="12"/>
      <c r="N850"/>
      <c r="O850"/>
      <c r="P850" s="2" t="str">
        <f>IF(BD_Receitas[[#This Row],[TIPO DE COBRANÇA]]="Operação Normal",
_xlfn.XLOOKUP(BD_Receitas[[#This Row],[ID]],TabCondicoesComerciais[ID],TabCondicoesComerciais[Volume mínimo 
(m3)],0),"")</f>
        <v/>
      </c>
      <c r="Q850" s="2">
        <f>_xlfn.XLOOKUP(BD_Receitas[[#This Row],[ID]],TabCondicoesComerciais[ID],TabCondicoesComerciais[Vol. 1ºGiro],0)</f>
        <v>1070</v>
      </c>
      <c r="R8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50" s="1">
        <f xml:space="preserve"> IF(BD_Receitas[[#This Row],[TIPO DE COBRANÇA]]="Operação Normal",
_xlfn.XLOOKUP(BD_Receitas[[#This Row],[ID]],TabCondicoesComerciais[ID],TabCondicoesComerciais[Tarifa 2º Giro],0),0)</f>
        <v>0</v>
      </c>
      <c r="T8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1" spans="1:24" hidden="1" x14ac:dyDescent="0.35">
      <c r="A851" s="3" t="s">
        <v>173</v>
      </c>
      <c r="B851" s="11">
        <v>46054</v>
      </c>
      <c r="C851" t="s">
        <v>31</v>
      </c>
      <c r="D851" t="s">
        <v>62</v>
      </c>
      <c r="E851" t="s">
        <v>37</v>
      </c>
      <c r="F851" s="10" t="s">
        <v>57</v>
      </c>
      <c r="G851" s="3" t="s">
        <v>58</v>
      </c>
      <c r="H851" s="3" t="s">
        <v>6</v>
      </c>
      <c r="I851" s="3" t="s">
        <v>15</v>
      </c>
      <c r="J851" s="1">
        <v>0</v>
      </c>
      <c r="K851" s="12">
        <v>0</v>
      </c>
      <c r="L851" s="1">
        <v>79267.69</v>
      </c>
      <c r="M851" s="12">
        <v>3061.0650000000001</v>
      </c>
      <c r="N851" t="s">
        <v>320</v>
      </c>
      <c r="O851"/>
      <c r="P851" s="2">
        <f>IF(BD_Receitas[[#This Row],[TIPO DE COBRANÇA]]="Operação Normal",
_xlfn.XLOOKUP(BD_Receitas[[#This Row],[ID]],TabCondicoesComerciais[ID],TabCondicoesComerciais[Volume mínimo 
(m3)],0),"")</f>
        <v>3300</v>
      </c>
      <c r="Q851" s="2">
        <f>_xlfn.XLOOKUP(BD_Receitas[[#This Row],[ID]],TabCondicoesComerciais[ID],TabCondicoesComerciais[Vol. 1ºGiro],0)</f>
        <v>1070</v>
      </c>
      <c r="R8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851" s="1">
        <f xml:space="preserve"> IF(BD_Receitas[[#This Row],[TIPO DE COBRANÇA]]="Operação Normal",
_xlfn.XLOOKUP(BD_Receitas[[#This Row],[ID]],TabCondicoesComerciais[ID],TabCondicoesComerciais[Tarifa 2º Giro],0),0)</f>
        <v>23.42</v>
      </c>
      <c r="T851" s="5">
        <f>IFERROR(IF(BD_Receitas[[#This Row],[TIPO DE COBRANÇA]]&lt;&gt;"Operação Normal","",BD_Receitas[[#This Row],[Valor Total R$]]/ MAX(BD_Receitas[[#This Row],[Vol. Movimentado M³]],
BD_Receitas[[#This Row],[Volume Mínimo ]])
),0)</f>
        <v>24.020512121212121</v>
      </c>
      <c r="U8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25.895461220196239</v>
      </c>
      <c r="V8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8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71690.142300000007</v>
      </c>
      <c r="X8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52" spans="1:24" hidden="1" x14ac:dyDescent="0.35">
      <c r="A852" s="3" t="s">
        <v>173</v>
      </c>
      <c r="B852" s="11">
        <v>46054</v>
      </c>
      <c r="C852" t="s">
        <v>31</v>
      </c>
      <c r="D852" t="s">
        <v>62</v>
      </c>
      <c r="E852" t="s">
        <v>37</v>
      </c>
      <c r="F852" s="10" t="s">
        <v>57</v>
      </c>
      <c r="G852" s="3" t="s">
        <v>58</v>
      </c>
      <c r="H852" s="3" t="s">
        <v>6</v>
      </c>
      <c r="I852" s="3" t="s">
        <v>65</v>
      </c>
      <c r="J852" s="1">
        <v>0</v>
      </c>
      <c r="K852" s="12">
        <v>0</v>
      </c>
      <c r="L852" s="1"/>
      <c r="M852" s="12"/>
      <c r="N852"/>
      <c r="O852"/>
      <c r="P852" s="2" t="str">
        <f>IF(BD_Receitas[[#This Row],[TIPO DE COBRANÇA]]="Operação Normal",
_xlfn.XLOOKUP(BD_Receitas[[#This Row],[ID]],TabCondicoesComerciais[ID],TabCondicoesComerciais[Volume mínimo 
(m3)],0),"")</f>
        <v/>
      </c>
      <c r="Q852" s="2">
        <f>_xlfn.XLOOKUP(BD_Receitas[[#This Row],[ID]],TabCondicoesComerciais[ID],TabCondicoesComerciais[Vol. 1ºGiro],0)</f>
        <v>1070</v>
      </c>
      <c r="R8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52" s="1">
        <f xml:space="preserve"> IF(BD_Receitas[[#This Row],[TIPO DE COBRANÇA]]="Operação Normal",
_xlfn.XLOOKUP(BD_Receitas[[#This Row],[ID]],TabCondicoesComerciais[ID],TabCondicoesComerciais[Tarifa 2º Giro],0),0)</f>
        <v>0</v>
      </c>
      <c r="T8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3" spans="1:24" x14ac:dyDescent="0.35">
      <c r="A853" s="3" t="s">
        <v>184</v>
      </c>
      <c r="B853" s="11">
        <v>46054</v>
      </c>
      <c r="C853" t="s">
        <v>31</v>
      </c>
      <c r="D853" t="s">
        <v>203</v>
      </c>
      <c r="E853" t="s">
        <v>34</v>
      </c>
      <c r="F853" s="10" t="s">
        <v>26</v>
      </c>
      <c r="G853" s="3" t="s">
        <v>19</v>
      </c>
      <c r="H853" s="3" t="s">
        <v>13</v>
      </c>
      <c r="I853" s="3" t="s">
        <v>7</v>
      </c>
      <c r="J853" s="1">
        <v>0</v>
      </c>
      <c r="K853" s="12">
        <v>0</v>
      </c>
      <c r="L853" s="1"/>
      <c r="M853" s="12"/>
      <c r="N853"/>
      <c r="O853"/>
      <c r="P853" s="2" t="str">
        <f>IF(BD_Receitas[[#This Row],[TIPO DE COBRANÇA]]="Operação Normal",
_xlfn.XLOOKUP(BD_Receitas[[#This Row],[ID]],TabCondicoesComerciais[ID],TabCondicoesComerciais[Volume mínimo 
(m3)],0),"")</f>
        <v/>
      </c>
      <c r="Q853" s="2">
        <f>_xlfn.XLOOKUP(BD_Receitas[[#This Row],[ID]],TabCondicoesComerciais[ID],TabCondicoesComerciais[Vol. 1ºGiro],0)</f>
        <v>340</v>
      </c>
      <c r="R8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53" s="1">
        <f xml:space="preserve"> IF(BD_Receitas[[#This Row],[TIPO DE COBRANÇA]]="Operação Normal",
_xlfn.XLOOKUP(BD_Receitas[[#This Row],[ID]],TabCondicoesComerciais[ID],TabCondicoesComerciais[Tarifa 2º Giro],0),0)</f>
        <v>0</v>
      </c>
      <c r="T8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4" spans="1:24" x14ac:dyDescent="0.35">
      <c r="A854" s="3" t="s">
        <v>184</v>
      </c>
      <c r="B854" s="11">
        <v>46054</v>
      </c>
      <c r="C854" t="s">
        <v>31</v>
      </c>
      <c r="D854" t="s">
        <v>203</v>
      </c>
      <c r="E854" t="s">
        <v>34</v>
      </c>
      <c r="F854" s="10" t="s">
        <v>26</v>
      </c>
      <c r="G854" s="3" t="s">
        <v>19</v>
      </c>
      <c r="H854" s="3" t="s">
        <v>13</v>
      </c>
      <c r="I854" s="3" t="s">
        <v>8</v>
      </c>
      <c r="J854" s="1">
        <v>0</v>
      </c>
      <c r="K854" s="12">
        <v>0</v>
      </c>
      <c r="L854" s="1"/>
      <c r="M854" s="12"/>
      <c r="N854"/>
      <c r="O854"/>
      <c r="P854" s="2" t="str">
        <f>IF(BD_Receitas[[#This Row],[TIPO DE COBRANÇA]]="Operação Normal",
_xlfn.XLOOKUP(BD_Receitas[[#This Row],[ID]],TabCondicoesComerciais[ID],TabCondicoesComerciais[Volume mínimo 
(m3)],0),"")</f>
        <v/>
      </c>
      <c r="Q854" s="2">
        <f>_xlfn.XLOOKUP(BD_Receitas[[#This Row],[ID]],TabCondicoesComerciais[ID],TabCondicoesComerciais[Vol. 1ºGiro],0)</f>
        <v>340</v>
      </c>
      <c r="R8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54" s="1">
        <f xml:space="preserve"> IF(BD_Receitas[[#This Row],[TIPO DE COBRANÇA]]="Operação Normal",
_xlfn.XLOOKUP(BD_Receitas[[#This Row],[ID]],TabCondicoesComerciais[ID],TabCondicoesComerciais[Tarifa 2º Giro],0),0)</f>
        <v>0</v>
      </c>
      <c r="T8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5" spans="1:24" x14ac:dyDescent="0.35">
      <c r="A855" s="3" t="s">
        <v>184</v>
      </c>
      <c r="B855" s="11">
        <v>46054</v>
      </c>
      <c r="C855" t="s">
        <v>31</v>
      </c>
      <c r="D855" t="s">
        <v>203</v>
      </c>
      <c r="E855" t="s">
        <v>34</v>
      </c>
      <c r="F855" s="10" t="s">
        <v>26</v>
      </c>
      <c r="G855" s="3" t="s">
        <v>19</v>
      </c>
      <c r="H855" s="3" t="s">
        <v>13</v>
      </c>
      <c r="I855" s="3" t="s">
        <v>15</v>
      </c>
      <c r="J855" s="1">
        <v>16933.880399999998</v>
      </c>
      <c r="K855" s="12">
        <v>545</v>
      </c>
      <c r="L855" s="1">
        <v>16072.87</v>
      </c>
      <c r="M855" s="12">
        <v>1148.0619999999999</v>
      </c>
      <c r="N855" t="s">
        <v>303</v>
      </c>
      <c r="O855" t="s">
        <v>321</v>
      </c>
      <c r="P855" s="2">
        <f>IF(BD_Receitas[[#This Row],[TIPO DE COBRANÇA]]="Operação Normal",
_xlfn.XLOOKUP(BD_Receitas[[#This Row],[ID]],TabCondicoesComerciais[ID],TabCondicoesComerciais[Volume mínimo 
(m3)],0),"")</f>
        <v>1020</v>
      </c>
      <c r="Q855" s="2">
        <f>_xlfn.XLOOKUP(BD_Receitas[[#This Row],[ID]],TabCondicoesComerciais[ID],TabCondicoesComerciais[Vol. 1ºGiro],0)</f>
        <v>340</v>
      </c>
      <c r="R8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55" s="1">
        <f xml:space="preserve"> IF(BD_Receitas[[#This Row],[TIPO DE COBRANÇA]]="Operação Normal",
_xlfn.XLOOKUP(BD_Receitas[[#This Row],[ID]],TabCondicoesComerciais[ID],TabCondicoesComerciais[Tarifa 2º Giro],0),0)</f>
        <v>28</v>
      </c>
      <c r="T855" s="5">
        <f>IFERROR(IF(BD_Receitas[[#This Row],[TIPO DE COBRANÇA]]&lt;&gt;"Operação Normal","",BD_Receitas[[#This Row],[Valor Total R$]]/ MAX(BD_Receitas[[#This Row],[Vol. Movimentado M³]],
BD_Receitas[[#This Row],[Volume Mínimo ]])
),0)</f>
        <v>14.000001742066196</v>
      </c>
      <c r="U8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14.000001742066196</v>
      </c>
      <c r="V8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8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32145.735999999997</v>
      </c>
      <c r="X8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56" spans="1:24" hidden="1" x14ac:dyDescent="0.35">
      <c r="A856" s="3" t="s">
        <v>184</v>
      </c>
      <c r="B856" s="11">
        <v>46054</v>
      </c>
      <c r="C856" t="s">
        <v>31</v>
      </c>
      <c r="D856" t="s">
        <v>203</v>
      </c>
      <c r="E856" t="s">
        <v>34</v>
      </c>
      <c r="F856" s="10" t="s">
        <v>26</v>
      </c>
      <c r="G856" s="3" t="s">
        <v>19</v>
      </c>
      <c r="H856" s="3" t="s">
        <v>13</v>
      </c>
      <c r="I856" s="3" t="s">
        <v>65</v>
      </c>
      <c r="J856" s="1">
        <v>0</v>
      </c>
      <c r="K856" s="12">
        <v>0</v>
      </c>
      <c r="L856" s="1"/>
      <c r="M856" s="12"/>
      <c r="N856"/>
      <c r="O856"/>
      <c r="P856" s="2" t="str">
        <f>IF(BD_Receitas[[#This Row],[TIPO DE COBRANÇA]]="Operação Normal",
_xlfn.XLOOKUP(BD_Receitas[[#This Row],[ID]],TabCondicoesComerciais[ID],TabCondicoesComerciais[Volume mínimo 
(m3)],0),"")</f>
        <v/>
      </c>
      <c r="Q856" s="2">
        <f>_xlfn.XLOOKUP(BD_Receitas[[#This Row],[ID]],TabCondicoesComerciais[ID],TabCondicoesComerciais[Vol. 1ºGiro],0)</f>
        <v>340</v>
      </c>
      <c r="R8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56" s="1">
        <f xml:space="preserve"> IF(BD_Receitas[[#This Row],[TIPO DE COBRANÇA]]="Operação Normal",
_xlfn.XLOOKUP(BD_Receitas[[#This Row],[ID]],TabCondicoesComerciais[ID],TabCondicoesComerciais[Tarifa 2º Giro],0),0)</f>
        <v>0</v>
      </c>
      <c r="T8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7" spans="1:24" hidden="1" x14ac:dyDescent="0.35">
      <c r="A857" s="3" t="s">
        <v>274</v>
      </c>
      <c r="B857" s="11">
        <v>46082</v>
      </c>
      <c r="C857" t="s">
        <v>31</v>
      </c>
      <c r="D857" t="s">
        <v>202</v>
      </c>
      <c r="E857" t="s">
        <v>36</v>
      </c>
      <c r="F857" s="10" t="s">
        <v>48</v>
      </c>
      <c r="G857" s="3" t="s">
        <v>49</v>
      </c>
      <c r="H857" s="3" t="s">
        <v>52</v>
      </c>
      <c r="I857" s="3" t="s">
        <v>7</v>
      </c>
      <c r="J857" s="1">
        <v>0</v>
      </c>
      <c r="K857" s="12">
        <v>0</v>
      </c>
      <c r="L857" s="1"/>
      <c r="M857" s="12"/>
      <c r="N857"/>
      <c r="O857"/>
      <c r="P857" s="2" t="str">
        <f>IF(BD_Receitas[[#This Row],[TIPO DE COBRANÇA]]="Operação Normal",
_xlfn.XLOOKUP(BD_Receitas[[#This Row],[ID]],TabCondicoesComerciais[ID],TabCondicoesComerciais[Volume mínimo 
(m3)],0),"")</f>
        <v/>
      </c>
      <c r="Q857" s="2">
        <f>_xlfn.XLOOKUP(BD_Receitas[[#This Row],[ID]],TabCondicoesComerciais[ID],TabCondicoesComerciais[Vol. 1ºGiro],0)</f>
        <v>360</v>
      </c>
      <c r="R8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857" s="1">
        <f xml:space="preserve"> IF(BD_Receitas[[#This Row],[TIPO DE COBRANÇA]]="Operação Normal",
_xlfn.XLOOKUP(BD_Receitas[[#This Row],[ID]],TabCondicoesComerciais[ID],TabCondicoesComerciais[Tarifa 2º Giro],0),0)</f>
        <v>0</v>
      </c>
      <c r="T8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8" spans="1:24" hidden="1" x14ac:dyDescent="0.35">
      <c r="A858" s="3" t="s">
        <v>274</v>
      </c>
      <c r="B858" s="11">
        <v>46082</v>
      </c>
      <c r="C858" t="s">
        <v>31</v>
      </c>
      <c r="D858" t="s">
        <v>202</v>
      </c>
      <c r="E858" t="s">
        <v>36</v>
      </c>
      <c r="F858" s="10" t="s">
        <v>48</v>
      </c>
      <c r="G858" s="3" t="s">
        <v>49</v>
      </c>
      <c r="H858" s="3" t="s">
        <v>52</v>
      </c>
      <c r="I858" s="3" t="s">
        <v>8</v>
      </c>
      <c r="J858" s="1">
        <v>0</v>
      </c>
      <c r="K858" s="12">
        <v>0</v>
      </c>
      <c r="L858" s="1"/>
      <c r="M858" s="12"/>
      <c r="N858"/>
      <c r="O858"/>
      <c r="P858" s="2" t="str">
        <f>IF(BD_Receitas[[#This Row],[TIPO DE COBRANÇA]]="Operação Normal",
_xlfn.XLOOKUP(BD_Receitas[[#This Row],[ID]],TabCondicoesComerciais[ID],TabCondicoesComerciais[Volume mínimo 
(m3)],0),"")</f>
        <v/>
      </c>
      <c r="Q858" s="2">
        <f>_xlfn.XLOOKUP(BD_Receitas[[#This Row],[ID]],TabCondicoesComerciais[ID],TabCondicoesComerciais[Vol. 1ºGiro],0)</f>
        <v>360</v>
      </c>
      <c r="R8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858" s="1">
        <f xml:space="preserve"> IF(BD_Receitas[[#This Row],[TIPO DE COBRANÇA]]="Operação Normal",
_xlfn.XLOOKUP(BD_Receitas[[#This Row],[ID]],TabCondicoesComerciais[ID],TabCondicoesComerciais[Tarifa 2º Giro],0),0)</f>
        <v>0</v>
      </c>
      <c r="T8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59" spans="1:24" hidden="1" x14ac:dyDescent="0.35">
      <c r="A859" s="3" t="s">
        <v>274</v>
      </c>
      <c r="B859" s="11">
        <v>46082</v>
      </c>
      <c r="C859" t="s">
        <v>31</v>
      </c>
      <c r="D859" t="s">
        <v>202</v>
      </c>
      <c r="E859" t="s">
        <v>36</v>
      </c>
      <c r="F859" s="10" t="s">
        <v>48</v>
      </c>
      <c r="G859" s="3" t="s">
        <v>49</v>
      </c>
      <c r="H859" s="3" t="s">
        <v>52</v>
      </c>
      <c r="I859" s="3" t="s">
        <v>15</v>
      </c>
      <c r="J859" s="1">
        <v>89789.3701</v>
      </c>
      <c r="K859" s="12">
        <v>2040</v>
      </c>
      <c r="L859" s="1">
        <v>89596.800000000003</v>
      </c>
      <c r="M859" s="12">
        <v>242.33099999999999</v>
      </c>
      <c r="N859" t="s">
        <v>335</v>
      </c>
      <c r="O859" t="s">
        <v>312</v>
      </c>
      <c r="P859" s="2">
        <f>IF(BD_Receitas[[#This Row],[TIPO DE COBRANÇA]]="Operação Normal",
_xlfn.XLOOKUP(BD_Receitas[[#This Row],[ID]],TabCondicoesComerciais[ID],TabCondicoesComerciais[Volume mínimo 
(m3)],0),"")</f>
        <v>2040</v>
      </c>
      <c r="Q859" s="2">
        <f>_xlfn.XLOOKUP(BD_Receitas[[#This Row],[ID]],TabCondicoesComerciais[ID],TabCondicoesComerciais[Vol. 1ºGiro],0)</f>
        <v>360</v>
      </c>
      <c r="R8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859" s="1">
        <f xml:space="preserve"> IF(BD_Receitas[[#This Row],[TIPO DE COBRANÇA]]="Operação Normal",
_xlfn.XLOOKUP(BD_Receitas[[#This Row],[ID]],TabCondicoesComerciais[ID],TabCondicoesComerciais[Tarifa 2º Giro],0),0)</f>
        <v>43.92</v>
      </c>
      <c r="T859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8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369.72900701932485</v>
      </c>
      <c r="V8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8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10643.177519999999</v>
      </c>
      <c r="X8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60" spans="1:24" hidden="1" x14ac:dyDescent="0.35">
      <c r="A860" s="3" t="s">
        <v>274</v>
      </c>
      <c r="B860" s="11">
        <v>46082</v>
      </c>
      <c r="C860" t="s">
        <v>31</v>
      </c>
      <c r="D860" t="s">
        <v>202</v>
      </c>
      <c r="E860" t="s">
        <v>36</v>
      </c>
      <c r="F860" s="10" t="s">
        <v>48</v>
      </c>
      <c r="G860" s="3" t="s">
        <v>49</v>
      </c>
      <c r="H860" s="3" t="s">
        <v>52</v>
      </c>
      <c r="I860" s="3" t="s">
        <v>65</v>
      </c>
      <c r="J860" s="1">
        <v>0</v>
      </c>
      <c r="K860" s="12">
        <v>0</v>
      </c>
      <c r="L860" s="1"/>
      <c r="M860" s="12"/>
      <c r="N860"/>
      <c r="O860"/>
      <c r="P860" s="2" t="str">
        <f>IF(BD_Receitas[[#This Row],[TIPO DE COBRANÇA]]="Operação Normal",
_xlfn.XLOOKUP(BD_Receitas[[#This Row],[ID]],TabCondicoesComerciais[ID],TabCondicoesComerciais[Volume mínimo 
(m3)],0),"")</f>
        <v/>
      </c>
      <c r="Q860" s="2">
        <f>_xlfn.XLOOKUP(BD_Receitas[[#This Row],[ID]],TabCondicoesComerciais[ID],TabCondicoesComerciais[Vol. 1ºGiro],0)</f>
        <v>360</v>
      </c>
      <c r="R8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0" s="1">
        <f xml:space="preserve"> IF(BD_Receitas[[#This Row],[TIPO DE COBRANÇA]]="Operação Normal",
_xlfn.XLOOKUP(BD_Receitas[[#This Row],[ID]],TabCondicoesComerciais[ID],TabCondicoesComerciais[Tarifa 2º Giro],0),0)</f>
        <v>0</v>
      </c>
      <c r="T8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1" spans="1:24" hidden="1" x14ac:dyDescent="0.35">
      <c r="A861" s="3" t="s">
        <v>275</v>
      </c>
      <c r="B861" s="11">
        <v>46082</v>
      </c>
      <c r="C861" t="s">
        <v>31</v>
      </c>
      <c r="D861" t="s">
        <v>202</v>
      </c>
      <c r="E861" t="s">
        <v>36</v>
      </c>
      <c r="F861" s="10" t="s">
        <v>48</v>
      </c>
      <c r="G861" s="3" t="s">
        <v>49</v>
      </c>
      <c r="H861" s="3" t="s">
        <v>14</v>
      </c>
      <c r="I861" s="3" t="s">
        <v>7</v>
      </c>
      <c r="J861" s="1">
        <v>0</v>
      </c>
      <c r="K861" s="12">
        <v>0</v>
      </c>
      <c r="L861" s="1"/>
      <c r="M861" s="12"/>
      <c r="N861"/>
      <c r="O861"/>
      <c r="P861" s="2" t="str">
        <f>IF(BD_Receitas[[#This Row],[TIPO DE COBRANÇA]]="Operação Normal",
_xlfn.XLOOKUP(BD_Receitas[[#This Row],[ID]],TabCondicoesComerciais[ID],TabCondicoesComerciais[Volume mínimo 
(m3)],0),"")</f>
        <v/>
      </c>
      <c r="Q861" s="2">
        <f>_xlfn.XLOOKUP(BD_Receitas[[#This Row],[ID]],TabCondicoesComerciais[ID],TabCondicoesComerciais[Vol. 1ºGiro],0)</f>
        <v>365</v>
      </c>
      <c r="R8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1" s="1">
        <f xml:space="preserve"> IF(BD_Receitas[[#This Row],[TIPO DE COBRANÇA]]="Operação Normal",
_xlfn.XLOOKUP(BD_Receitas[[#This Row],[ID]],TabCondicoesComerciais[ID],TabCondicoesComerciais[Tarifa 2º Giro],0),0)</f>
        <v>0</v>
      </c>
      <c r="T8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2" spans="1:24" hidden="1" x14ac:dyDescent="0.35">
      <c r="A862" s="3" t="s">
        <v>275</v>
      </c>
      <c r="B862" s="11">
        <v>46082</v>
      </c>
      <c r="C862" t="s">
        <v>31</v>
      </c>
      <c r="D862" t="s">
        <v>202</v>
      </c>
      <c r="E862" t="s">
        <v>36</v>
      </c>
      <c r="F862" s="10" t="s">
        <v>48</v>
      </c>
      <c r="G862" s="3" t="s">
        <v>49</v>
      </c>
      <c r="H862" s="3" t="s">
        <v>14</v>
      </c>
      <c r="I862" s="3" t="s">
        <v>8</v>
      </c>
      <c r="J862" s="1">
        <v>0</v>
      </c>
      <c r="K862" s="12">
        <v>0</v>
      </c>
      <c r="L862" s="1"/>
      <c r="M862" s="12"/>
      <c r="N862"/>
      <c r="O862"/>
      <c r="P862" s="2" t="str">
        <f>IF(BD_Receitas[[#This Row],[TIPO DE COBRANÇA]]="Operação Normal",
_xlfn.XLOOKUP(BD_Receitas[[#This Row],[ID]],TabCondicoesComerciais[ID],TabCondicoesComerciais[Volume mínimo 
(m3)],0),"")</f>
        <v/>
      </c>
      <c r="Q862" s="2">
        <f>_xlfn.XLOOKUP(BD_Receitas[[#This Row],[ID]],TabCondicoesComerciais[ID],TabCondicoesComerciais[Vol. 1ºGiro],0)</f>
        <v>365</v>
      </c>
      <c r="R8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2" s="1">
        <f xml:space="preserve"> IF(BD_Receitas[[#This Row],[TIPO DE COBRANÇA]]="Operação Normal",
_xlfn.XLOOKUP(BD_Receitas[[#This Row],[ID]],TabCondicoesComerciais[ID],TabCondicoesComerciais[Tarifa 2º Giro],0),0)</f>
        <v>0</v>
      </c>
      <c r="T8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3" spans="1:24" hidden="1" x14ac:dyDescent="0.35">
      <c r="A863" s="3" t="s">
        <v>275</v>
      </c>
      <c r="B863" s="11">
        <v>46082</v>
      </c>
      <c r="C863" t="s">
        <v>31</v>
      </c>
      <c r="D863" t="s">
        <v>202</v>
      </c>
      <c r="E863" t="s">
        <v>36</v>
      </c>
      <c r="F863" s="10" t="s">
        <v>48</v>
      </c>
      <c r="G863" s="3" t="s">
        <v>49</v>
      </c>
      <c r="H863" s="3" t="s">
        <v>14</v>
      </c>
      <c r="I863" s="3" t="s">
        <v>15</v>
      </c>
      <c r="J863" s="1">
        <v>28839.059300000001</v>
      </c>
      <c r="K863" s="12">
        <v>1500</v>
      </c>
      <c r="L863" s="1">
        <v>17718.48</v>
      </c>
      <c r="M863" s="12">
        <v>639.64</v>
      </c>
      <c r="N863" t="s">
        <v>271</v>
      </c>
      <c r="O863" t="s">
        <v>312</v>
      </c>
      <c r="P863" s="2">
        <f>IF(BD_Receitas[[#This Row],[TIPO DE COBRANÇA]]="Operação Normal",
_xlfn.XLOOKUP(BD_Receitas[[#This Row],[ID]],TabCondicoesComerciais[ID],TabCondicoesComerciais[Volume mínimo 
(m3)],0),"")</f>
        <v>936</v>
      </c>
      <c r="Q863" s="2">
        <f>_xlfn.XLOOKUP(BD_Receitas[[#This Row],[ID]],TabCondicoesComerciais[ID],TabCondicoesComerciais[Vol. 1ºGiro],0)</f>
        <v>365</v>
      </c>
      <c r="R8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863" s="1">
        <f xml:space="preserve"> IF(BD_Receitas[[#This Row],[TIPO DE COBRANÇA]]="Operação Normal",
_xlfn.XLOOKUP(BD_Receitas[[#This Row],[ID]],TabCondicoesComerciais[ID],TabCondicoesComerciais[Tarifa 2º Giro],0),0)</f>
        <v>18.93</v>
      </c>
      <c r="T863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8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27.700706647489213</v>
      </c>
      <c r="V8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8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12108.385200000001</v>
      </c>
      <c r="X8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64" spans="1:24" hidden="1" x14ac:dyDescent="0.35">
      <c r="A864" s="3" t="s">
        <v>275</v>
      </c>
      <c r="B864" s="11">
        <v>46082</v>
      </c>
      <c r="C864" t="s">
        <v>31</v>
      </c>
      <c r="D864" t="s">
        <v>202</v>
      </c>
      <c r="E864" t="s">
        <v>36</v>
      </c>
      <c r="F864" s="10" t="s">
        <v>48</v>
      </c>
      <c r="G864" s="3" t="s">
        <v>49</v>
      </c>
      <c r="H864" s="3" t="s">
        <v>14</v>
      </c>
      <c r="I864" s="3" t="s">
        <v>65</v>
      </c>
      <c r="J864" s="1">
        <v>0</v>
      </c>
      <c r="K864" s="12">
        <v>0</v>
      </c>
      <c r="L864" s="1"/>
      <c r="M864" s="12"/>
      <c r="N864"/>
      <c r="O864"/>
      <c r="P864" s="2" t="str">
        <f>IF(BD_Receitas[[#This Row],[TIPO DE COBRANÇA]]="Operação Normal",
_xlfn.XLOOKUP(BD_Receitas[[#This Row],[ID]],TabCondicoesComerciais[ID],TabCondicoesComerciais[Volume mínimo 
(m3)],0),"")</f>
        <v/>
      </c>
      <c r="Q864" s="2">
        <f>_xlfn.XLOOKUP(BD_Receitas[[#This Row],[ID]],TabCondicoesComerciais[ID],TabCondicoesComerciais[Vol. 1ºGiro],0)</f>
        <v>365</v>
      </c>
      <c r="R8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4" s="1">
        <f xml:space="preserve"> IF(BD_Receitas[[#This Row],[TIPO DE COBRANÇA]]="Operação Normal",
_xlfn.XLOOKUP(BD_Receitas[[#This Row],[ID]],TabCondicoesComerciais[ID],TabCondicoesComerciais[Tarifa 2º Giro],0),0)</f>
        <v>0</v>
      </c>
      <c r="T8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5" spans="1:24" hidden="1" x14ac:dyDescent="0.35">
      <c r="A865" s="3" t="s">
        <v>208</v>
      </c>
      <c r="B865" s="11">
        <v>46082</v>
      </c>
      <c r="C865" t="s">
        <v>31</v>
      </c>
      <c r="D865" t="s">
        <v>202</v>
      </c>
      <c r="E865" t="s">
        <v>35</v>
      </c>
      <c r="F865" s="10" t="s">
        <v>22</v>
      </c>
      <c r="G865" s="3" t="s">
        <v>11</v>
      </c>
      <c r="H865" s="3" t="s">
        <v>207</v>
      </c>
      <c r="I865" s="3" t="s">
        <v>7</v>
      </c>
      <c r="J865" s="1">
        <v>0</v>
      </c>
      <c r="K865" s="12">
        <v>0</v>
      </c>
      <c r="L865" s="1">
        <v>29308.09</v>
      </c>
      <c r="M865" s="12">
        <v>3165.799</v>
      </c>
      <c r="N865" t="s">
        <v>324</v>
      </c>
      <c r="O865"/>
      <c r="P865" s="2" t="str">
        <f>IF(BD_Receitas[[#This Row],[TIPO DE COBRANÇA]]="Operação Normal",
_xlfn.XLOOKUP(BD_Receitas[[#This Row],[ID]],TabCondicoesComerciais[ID],TabCondicoesComerciais[Volume mínimo 
(m3)],0),"")</f>
        <v/>
      </c>
      <c r="Q865" s="2">
        <f>_xlfn.XLOOKUP(BD_Receitas[[#This Row],[ID]],TabCondicoesComerciais[ID],TabCondicoesComerciais[Vol. 1ºGiro],0)</f>
        <v>625</v>
      </c>
      <c r="R8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865" s="1">
        <f xml:space="preserve"> IF(BD_Receitas[[#This Row],[TIPO DE COBRANÇA]]="Operação Normal",
_xlfn.XLOOKUP(BD_Receitas[[#This Row],[ID]],TabCondicoesComerciais[ID],TabCondicoesComerciais[Tarifa 2º Giro],0),0)</f>
        <v>0</v>
      </c>
      <c r="T8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6" spans="1:24" hidden="1" x14ac:dyDescent="0.35">
      <c r="A866" s="3" t="s">
        <v>208</v>
      </c>
      <c r="B866" s="11">
        <v>46082</v>
      </c>
      <c r="C866" t="s">
        <v>31</v>
      </c>
      <c r="D866" t="s">
        <v>202</v>
      </c>
      <c r="E866" t="s">
        <v>35</v>
      </c>
      <c r="F866" s="10" t="s">
        <v>22</v>
      </c>
      <c r="G866" s="3" t="s">
        <v>11</v>
      </c>
      <c r="H866" s="3" t="s">
        <v>207</v>
      </c>
      <c r="I866" s="3" t="s">
        <v>8</v>
      </c>
      <c r="J866" s="1">
        <v>0</v>
      </c>
      <c r="K866" s="12">
        <v>0</v>
      </c>
      <c r="L866" s="1">
        <v>3273.21</v>
      </c>
      <c r="M866" s="12">
        <v>318.30900000000003</v>
      </c>
      <c r="N866" t="s">
        <v>324</v>
      </c>
      <c r="O866"/>
      <c r="P866" s="2" t="str">
        <f>IF(BD_Receitas[[#This Row],[TIPO DE COBRANÇA]]="Operação Normal",
_xlfn.XLOOKUP(BD_Receitas[[#This Row],[ID]],TabCondicoesComerciais[ID],TabCondicoesComerciais[Volume mínimo 
(m3)],0),"")</f>
        <v/>
      </c>
      <c r="Q866" s="2">
        <f>_xlfn.XLOOKUP(BD_Receitas[[#This Row],[ID]],TabCondicoesComerciais[ID],TabCondicoesComerciais[Vol. 1ºGiro],0)</f>
        <v>625</v>
      </c>
      <c r="R8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866" s="1">
        <f xml:space="preserve"> IF(BD_Receitas[[#This Row],[TIPO DE COBRANÇA]]="Operação Normal",
_xlfn.XLOOKUP(BD_Receitas[[#This Row],[ID]],TabCondicoesComerciais[ID],TabCondicoesComerciais[Tarifa 2º Giro],0),0)</f>
        <v>0</v>
      </c>
      <c r="T8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7" spans="1:24" hidden="1" x14ac:dyDescent="0.35">
      <c r="A867" s="3" t="s">
        <v>208</v>
      </c>
      <c r="B867" s="11">
        <v>46082</v>
      </c>
      <c r="C867" t="s">
        <v>31</v>
      </c>
      <c r="D867" t="s">
        <v>202</v>
      </c>
      <c r="E867" t="s">
        <v>35</v>
      </c>
      <c r="F867" s="10" t="s">
        <v>22</v>
      </c>
      <c r="G867" s="3" t="s">
        <v>11</v>
      </c>
      <c r="H867" s="3" t="s">
        <v>207</v>
      </c>
      <c r="I867" s="3" t="s">
        <v>15</v>
      </c>
      <c r="J867" s="1">
        <v>45394.74</v>
      </c>
      <c r="K867" s="12">
        <v>1875</v>
      </c>
      <c r="L867" s="1">
        <v>76230.850000000006</v>
      </c>
      <c r="M867" s="12">
        <v>2978.8470000000002</v>
      </c>
      <c r="N867" t="s">
        <v>324</v>
      </c>
      <c r="O867"/>
      <c r="P867" s="2">
        <f>IF(BD_Receitas[[#This Row],[TIPO DE COBRANÇA]]="Operação Normal",
_xlfn.XLOOKUP(BD_Receitas[[#This Row],[ID]],TabCondicoesComerciais[ID],TabCondicoesComerciais[Volume mínimo 
(m3)],0),"")</f>
        <v>1875</v>
      </c>
      <c r="Q867" s="2">
        <f>_xlfn.XLOOKUP(BD_Receitas[[#This Row],[ID]],TabCondicoesComerciais[ID],TabCondicoesComerciais[Vol. 1ºGiro],0)</f>
        <v>625</v>
      </c>
      <c r="R8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867" s="1">
        <f xml:space="preserve"> IF(BD_Receitas[[#This Row],[TIPO DE COBRANÇA]]="Operação Normal",
_xlfn.XLOOKUP(BD_Receitas[[#This Row],[ID]],TabCondicoesComerciais[ID],TabCondicoesComerciais[Tarifa 2º Giro],0),0)</f>
        <v>33</v>
      </c>
      <c r="T867" s="5">
        <f>IFERROR(IF(BD_Receitas[[#This Row],[TIPO DE COBRANÇA]]&lt;&gt;"Operação Normal","",BD_Receitas[[#This Row],[Valor Total R$]]/ MAX(BD_Receitas[[#This Row],[Vol. Movimentado M³]],
BD_Receitas[[#This Row],[Volume Mínimo ]])
),0)</f>
        <v>25.590723524907457</v>
      </c>
      <c r="U8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36.528277551683587</v>
      </c>
      <c r="V8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8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98301.951000000001</v>
      </c>
      <c r="X8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68" spans="1:24" hidden="1" x14ac:dyDescent="0.35">
      <c r="A868" s="3" t="s">
        <v>208</v>
      </c>
      <c r="B868" s="11">
        <v>46082</v>
      </c>
      <c r="C868" t="s">
        <v>31</v>
      </c>
      <c r="D868" t="s">
        <v>202</v>
      </c>
      <c r="E868" t="s">
        <v>35</v>
      </c>
      <c r="F868" s="10" t="s">
        <v>22</v>
      </c>
      <c r="G868" s="3" t="s">
        <v>11</v>
      </c>
      <c r="H868" s="3" t="s">
        <v>207</v>
      </c>
      <c r="I868" s="3" t="s">
        <v>65</v>
      </c>
      <c r="J868" s="1">
        <v>0</v>
      </c>
      <c r="K868" s="12">
        <v>0</v>
      </c>
      <c r="L868" s="1"/>
      <c r="M868" s="12"/>
      <c r="N868"/>
      <c r="O868"/>
      <c r="P868" s="2" t="str">
        <f>IF(BD_Receitas[[#This Row],[TIPO DE COBRANÇA]]="Operação Normal",
_xlfn.XLOOKUP(BD_Receitas[[#This Row],[ID]],TabCondicoesComerciais[ID],TabCondicoesComerciais[Volume mínimo 
(m3)],0),"")</f>
        <v/>
      </c>
      <c r="Q868" s="2">
        <f>_xlfn.XLOOKUP(BD_Receitas[[#This Row],[ID]],TabCondicoesComerciais[ID],TabCondicoesComerciais[Vol. 1ºGiro],0)</f>
        <v>625</v>
      </c>
      <c r="R8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8" s="1">
        <f xml:space="preserve"> IF(BD_Receitas[[#This Row],[TIPO DE COBRANÇA]]="Operação Normal",
_xlfn.XLOOKUP(BD_Receitas[[#This Row],[ID]],TabCondicoesComerciais[ID],TabCondicoesComerciais[Tarifa 2º Giro],0),0)</f>
        <v>0</v>
      </c>
      <c r="T8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69" spans="1:24" hidden="1" x14ac:dyDescent="0.35">
      <c r="A869" s="3" t="s">
        <v>190</v>
      </c>
      <c r="B869" s="11">
        <v>46082</v>
      </c>
      <c r="C869" t="s">
        <v>31</v>
      </c>
      <c r="D869" t="s">
        <v>202</v>
      </c>
      <c r="E869" t="s">
        <v>35</v>
      </c>
      <c r="F869" s="10" t="s">
        <v>22</v>
      </c>
      <c r="G869" s="3" t="s">
        <v>11</v>
      </c>
      <c r="H869" s="3" t="s">
        <v>116</v>
      </c>
      <c r="I869" s="3" t="s">
        <v>7</v>
      </c>
      <c r="J869" s="1">
        <v>0</v>
      </c>
      <c r="K869" s="12">
        <v>0</v>
      </c>
      <c r="L869" s="1"/>
      <c r="M869" s="12"/>
      <c r="N869"/>
      <c r="O869"/>
      <c r="P869" s="2" t="str">
        <f>IF(BD_Receitas[[#This Row],[TIPO DE COBRANÇA]]="Operação Normal",
_xlfn.XLOOKUP(BD_Receitas[[#This Row],[ID]],TabCondicoesComerciais[ID],TabCondicoesComerciais[Volume mínimo 
(m3)],0),"")</f>
        <v/>
      </c>
      <c r="Q869" s="2">
        <f>_xlfn.XLOOKUP(BD_Receitas[[#This Row],[ID]],TabCondicoesComerciais[ID],TabCondicoesComerciais[Vol. 1ºGiro],0)</f>
        <v>580</v>
      </c>
      <c r="R8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69" s="1">
        <f xml:space="preserve"> IF(BD_Receitas[[#This Row],[TIPO DE COBRANÇA]]="Operação Normal",
_xlfn.XLOOKUP(BD_Receitas[[#This Row],[ID]],TabCondicoesComerciais[ID],TabCondicoesComerciais[Tarifa 2º Giro],0),0)</f>
        <v>0</v>
      </c>
      <c r="T8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0" spans="1:24" hidden="1" x14ac:dyDescent="0.35">
      <c r="A870" s="3" t="s">
        <v>190</v>
      </c>
      <c r="B870" s="11">
        <v>46082</v>
      </c>
      <c r="C870" t="s">
        <v>31</v>
      </c>
      <c r="D870" t="s">
        <v>202</v>
      </c>
      <c r="E870" t="s">
        <v>35</v>
      </c>
      <c r="F870" s="10" t="s">
        <v>22</v>
      </c>
      <c r="G870" s="3" t="s">
        <v>11</v>
      </c>
      <c r="H870" s="3" t="s">
        <v>116</v>
      </c>
      <c r="I870" s="3" t="s">
        <v>8</v>
      </c>
      <c r="J870" s="1">
        <v>0</v>
      </c>
      <c r="K870" s="12">
        <v>0</v>
      </c>
      <c r="L870" s="1"/>
      <c r="M870" s="12"/>
      <c r="N870"/>
      <c r="O870"/>
      <c r="P870" s="2" t="str">
        <f>IF(BD_Receitas[[#This Row],[TIPO DE COBRANÇA]]="Operação Normal",
_xlfn.XLOOKUP(BD_Receitas[[#This Row],[ID]],TabCondicoesComerciais[ID],TabCondicoesComerciais[Volume mínimo 
(m3)],0),"")</f>
        <v/>
      </c>
      <c r="Q870" s="2">
        <f>_xlfn.XLOOKUP(BD_Receitas[[#This Row],[ID]],TabCondicoesComerciais[ID],TabCondicoesComerciais[Vol. 1ºGiro],0)</f>
        <v>580</v>
      </c>
      <c r="R8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70" s="1">
        <f xml:space="preserve"> IF(BD_Receitas[[#This Row],[TIPO DE COBRANÇA]]="Operação Normal",
_xlfn.XLOOKUP(BD_Receitas[[#This Row],[ID]],TabCondicoesComerciais[ID],TabCondicoesComerciais[Tarifa 2º Giro],0),0)</f>
        <v>0</v>
      </c>
      <c r="T8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1" spans="1:24" hidden="1" x14ac:dyDescent="0.35">
      <c r="A871" s="3" t="s">
        <v>190</v>
      </c>
      <c r="B871" s="11">
        <v>46082</v>
      </c>
      <c r="C871" t="s">
        <v>31</v>
      </c>
      <c r="D871" t="s">
        <v>202</v>
      </c>
      <c r="E871" t="s">
        <v>35</v>
      </c>
      <c r="F871" s="10" t="s">
        <v>22</v>
      </c>
      <c r="G871" s="3" t="s">
        <v>11</v>
      </c>
      <c r="H871" s="3" t="s">
        <v>116</v>
      </c>
      <c r="I871" s="3" t="s">
        <v>15</v>
      </c>
      <c r="J871" s="1">
        <v>59115.789499999999</v>
      </c>
      <c r="K871" s="12">
        <v>2000</v>
      </c>
      <c r="L871" s="1"/>
      <c r="M871" s="12"/>
      <c r="N871"/>
      <c r="O871"/>
      <c r="P871" s="2">
        <f>IF(BD_Receitas[[#This Row],[TIPO DE COBRANÇA]]="Operação Normal",
_xlfn.XLOOKUP(BD_Receitas[[#This Row],[ID]],TabCondicoesComerciais[ID],TabCondicoesComerciais[Volume mínimo 
(m3)],0),"")</f>
        <v>2000</v>
      </c>
      <c r="Q871" s="2">
        <f>_xlfn.XLOOKUP(BD_Receitas[[#This Row],[ID]],TabCondicoesComerciais[ID],TabCondicoesComerciais[Vol. 1ºGiro],0)</f>
        <v>580</v>
      </c>
      <c r="R8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871" s="1">
        <f xml:space="preserve"> IF(BD_Receitas[[#This Row],[TIPO DE COBRANÇA]]="Operação Normal",
_xlfn.XLOOKUP(BD_Receitas[[#This Row],[ID]],TabCondicoesComerciais[ID],TabCondicoesComerciais[Tarifa 2º Giro],0),0)</f>
        <v>27</v>
      </c>
      <c r="T87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8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72" spans="1:24" hidden="1" x14ac:dyDescent="0.35">
      <c r="A872" s="3" t="s">
        <v>190</v>
      </c>
      <c r="B872" s="11">
        <v>46082</v>
      </c>
      <c r="C872" t="s">
        <v>31</v>
      </c>
      <c r="D872" t="s">
        <v>202</v>
      </c>
      <c r="E872" t="s">
        <v>35</v>
      </c>
      <c r="F872" s="10" t="s">
        <v>22</v>
      </c>
      <c r="G872" s="3" t="s">
        <v>11</v>
      </c>
      <c r="H872" s="3" t="s">
        <v>116</v>
      </c>
      <c r="I872" s="3" t="s">
        <v>65</v>
      </c>
      <c r="J872" s="1">
        <v>0</v>
      </c>
      <c r="K872" s="12">
        <v>0</v>
      </c>
      <c r="L872" s="1"/>
      <c r="M872" s="12"/>
      <c r="N872"/>
      <c r="O872"/>
      <c r="P872" s="2" t="str">
        <f>IF(BD_Receitas[[#This Row],[TIPO DE COBRANÇA]]="Operação Normal",
_xlfn.XLOOKUP(BD_Receitas[[#This Row],[ID]],TabCondicoesComerciais[ID],TabCondicoesComerciais[Volume mínimo 
(m3)],0),"")</f>
        <v/>
      </c>
      <c r="Q872" s="2">
        <f>_xlfn.XLOOKUP(BD_Receitas[[#This Row],[ID]],TabCondicoesComerciais[ID],TabCondicoesComerciais[Vol. 1ºGiro],0)</f>
        <v>580</v>
      </c>
      <c r="R8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72" s="1">
        <f xml:space="preserve"> IF(BD_Receitas[[#This Row],[TIPO DE COBRANÇA]]="Operação Normal",
_xlfn.XLOOKUP(BD_Receitas[[#This Row],[ID]],TabCondicoesComerciais[ID],TabCondicoesComerciais[Tarifa 2º Giro],0),0)</f>
        <v>0</v>
      </c>
      <c r="T8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3" spans="1:24" hidden="1" x14ac:dyDescent="0.35">
      <c r="A873" s="3" t="s">
        <v>172</v>
      </c>
      <c r="B873" s="11">
        <v>46082</v>
      </c>
      <c r="C873" t="s">
        <v>31</v>
      </c>
      <c r="D873" t="s">
        <v>202</v>
      </c>
      <c r="E873" t="s">
        <v>35</v>
      </c>
      <c r="F873" s="10" t="s">
        <v>22</v>
      </c>
      <c r="G873" s="3" t="s">
        <v>11</v>
      </c>
      <c r="H873" s="3" t="s">
        <v>13</v>
      </c>
      <c r="I873" s="3" t="s">
        <v>7</v>
      </c>
      <c r="J873" s="1">
        <v>0</v>
      </c>
      <c r="K873" s="12">
        <v>0</v>
      </c>
      <c r="L873" s="1">
        <v>7592.13</v>
      </c>
      <c r="M873" s="12">
        <v>813</v>
      </c>
      <c r="N873" t="s">
        <v>325</v>
      </c>
      <c r="O873"/>
      <c r="P873" s="2" t="str">
        <f>IF(BD_Receitas[[#This Row],[TIPO DE COBRANÇA]]="Operação Normal",
_xlfn.XLOOKUP(BD_Receitas[[#This Row],[ID]],TabCondicoesComerciais[ID],TabCondicoesComerciais[Volume mínimo 
(m3)],0),"")</f>
        <v/>
      </c>
      <c r="Q873" s="2">
        <f>_xlfn.XLOOKUP(BD_Receitas[[#This Row],[ID]],TabCondicoesComerciais[ID],TabCondicoesComerciais[Vol. 1ºGiro],0)</f>
        <v>750</v>
      </c>
      <c r="R8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873" s="1">
        <f xml:space="preserve"> IF(BD_Receitas[[#This Row],[TIPO DE COBRANÇA]]="Operação Normal",
_xlfn.XLOOKUP(BD_Receitas[[#This Row],[ID]],TabCondicoesComerciais[ID],TabCondicoesComerciais[Tarifa 2º Giro],0),0)</f>
        <v>0</v>
      </c>
      <c r="T8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4" spans="1:24" hidden="1" x14ac:dyDescent="0.35">
      <c r="A874" s="3" t="s">
        <v>172</v>
      </c>
      <c r="B874" s="11">
        <v>46082</v>
      </c>
      <c r="C874" t="s">
        <v>31</v>
      </c>
      <c r="D874" t="s">
        <v>202</v>
      </c>
      <c r="E874" t="s">
        <v>35</v>
      </c>
      <c r="F874" s="10" t="s">
        <v>22</v>
      </c>
      <c r="G874" s="3" t="s">
        <v>11</v>
      </c>
      <c r="H874" s="3" t="s">
        <v>13</v>
      </c>
      <c r="I874" s="3" t="s">
        <v>8</v>
      </c>
      <c r="J874" s="1">
        <v>0</v>
      </c>
      <c r="K874" s="12">
        <v>0</v>
      </c>
      <c r="L874" s="1">
        <v>527.21</v>
      </c>
      <c r="M874" s="12">
        <v>59</v>
      </c>
      <c r="N874" t="s">
        <v>325</v>
      </c>
      <c r="O874"/>
      <c r="P874" s="2" t="str">
        <f>IF(BD_Receitas[[#This Row],[TIPO DE COBRANÇA]]="Operação Normal",
_xlfn.XLOOKUP(BD_Receitas[[#This Row],[ID]],TabCondicoesComerciais[ID],TabCondicoesComerciais[Volume mínimo 
(m3)],0),"")</f>
        <v/>
      </c>
      <c r="Q874" s="2">
        <f>_xlfn.XLOOKUP(BD_Receitas[[#This Row],[ID]],TabCondicoesComerciais[ID],TabCondicoesComerciais[Vol. 1ºGiro],0)</f>
        <v>750</v>
      </c>
      <c r="R8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874" s="1">
        <f xml:space="preserve"> IF(BD_Receitas[[#This Row],[TIPO DE COBRANÇA]]="Operação Normal",
_xlfn.XLOOKUP(BD_Receitas[[#This Row],[ID]],TabCondicoesComerciais[ID],TabCondicoesComerciais[Tarifa 2º Giro],0),0)</f>
        <v>0</v>
      </c>
      <c r="T8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5" spans="1:24" hidden="1" x14ac:dyDescent="0.35">
      <c r="A875" s="3" t="s">
        <v>172</v>
      </c>
      <c r="B875" s="11">
        <v>46082</v>
      </c>
      <c r="C875" t="s">
        <v>31</v>
      </c>
      <c r="D875" t="s">
        <v>202</v>
      </c>
      <c r="E875" t="s">
        <v>35</v>
      </c>
      <c r="F875" s="10" t="s">
        <v>22</v>
      </c>
      <c r="G875" s="3" t="s">
        <v>11</v>
      </c>
      <c r="H875" s="3" t="s">
        <v>13</v>
      </c>
      <c r="I875" s="3" t="s">
        <v>15</v>
      </c>
      <c r="J875" s="1">
        <v>0</v>
      </c>
      <c r="K875" s="12">
        <v>0</v>
      </c>
      <c r="L875" s="1">
        <v>35902.019999999997</v>
      </c>
      <c r="M875" s="12">
        <v>1535</v>
      </c>
      <c r="N875" t="s">
        <v>325</v>
      </c>
      <c r="O875"/>
      <c r="P875" s="2">
        <f>IF(BD_Receitas[[#This Row],[TIPO DE COBRANÇA]]="Operação Normal",
_xlfn.XLOOKUP(BD_Receitas[[#This Row],[ID]],TabCondicoesComerciais[ID],TabCondicoesComerciais[Volume mínimo 
(m3)],0),"")</f>
        <v>0</v>
      </c>
      <c r="Q875" s="2">
        <f>_xlfn.XLOOKUP(BD_Receitas[[#This Row],[ID]],TabCondicoesComerciais[ID],TabCondicoesComerciais[Vol. 1ºGiro],0)</f>
        <v>750</v>
      </c>
      <c r="R8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875" s="1">
        <f xml:space="preserve"> IF(BD_Receitas[[#This Row],[TIPO DE COBRANÇA]]="Operação Normal",
_xlfn.XLOOKUP(BD_Receitas[[#This Row],[ID]],TabCondicoesComerciais[ID],TabCondicoesComerciais[Tarifa 2º Giro],0),0)</f>
        <v>22.2</v>
      </c>
      <c r="T875" s="5">
        <f>IFERROR(IF(BD_Receitas[[#This Row],[TIPO DE COBRANÇA]]&lt;&gt;"Operação Normal","",BD_Receitas[[#This Row],[Valor Total R$]]/ MAX(BD_Receitas[[#This Row],[Vol. Movimentado M³]],
BD_Receitas[[#This Row],[Volume Mínimo ]])
),0)</f>
        <v>23.388938110749184</v>
      </c>
      <c r="U8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28.678410423452767</v>
      </c>
      <c r="V8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8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34077</v>
      </c>
      <c r="X8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76" spans="1:24" hidden="1" x14ac:dyDescent="0.35">
      <c r="A876" s="3" t="s">
        <v>172</v>
      </c>
      <c r="B876" s="11">
        <v>46082</v>
      </c>
      <c r="C876" t="s">
        <v>31</v>
      </c>
      <c r="D876" t="s">
        <v>202</v>
      </c>
      <c r="E876" t="s">
        <v>35</v>
      </c>
      <c r="F876" s="10" t="s">
        <v>22</v>
      </c>
      <c r="G876" s="3" t="s">
        <v>11</v>
      </c>
      <c r="H876" s="3" t="s">
        <v>13</v>
      </c>
      <c r="I876" s="3" t="s">
        <v>65</v>
      </c>
      <c r="J876" s="1">
        <v>0</v>
      </c>
      <c r="K876" s="12">
        <v>0</v>
      </c>
      <c r="L876" s="1"/>
      <c r="M876" s="12"/>
      <c r="N876"/>
      <c r="O876"/>
      <c r="P876" s="2" t="str">
        <f>IF(BD_Receitas[[#This Row],[TIPO DE COBRANÇA]]="Operação Normal",
_xlfn.XLOOKUP(BD_Receitas[[#This Row],[ID]],TabCondicoesComerciais[ID],TabCondicoesComerciais[Volume mínimo 
(m3)],0),"")</f>
        <v/>
      </c>
      <c r="Q876" s="2">
        <f>_xlfn.XLOOKUP(BD_Receitas[[#This Row],[ID]],TabCondicoesComerciais[ID],TabCondicoesComerciais[Vol. 1ºGiro],0)</f>
        <v>750</v>
      </c>
      <c r="R8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76" s="1">
        <f xml:space="preserve"> IF(BD_Receitas[[#This Row],[TIPO DE COBRANÇA]]="Operação Normal",
_xlfn.XLOOKUP(BD_Receitas[[#This Row],[ID]],TabCondicoesComerciais[ID],TabCondicoesComerciais[Tarifa 2º Giro],0),0)</f>
        <v>0</v>
      </c>
      <c r="T8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7" spans="1:24" hidden="1" x14ac:dyDescent="0.35">
      <c r="A877" s="3" t="s">
        <v>177</v>
      </c>
      <c r="B877" s="11">
        <v>46082</v>
      </c>
      <c r="C877" t="s">
        <v>31</v>
      </c>
      <c r="D877" t="s">
        <v>62</v>
      </c>
      <c r="E877" t="s">
        <v>33</v>
      </c>
      <c r="F877" s="10" t="s">
        <v>46</v>
      </c>
      <c r="G877" s="3" t="s">
        <v>87</v>
      </c>
      <c r="H877" s="3" t="s">
        <v>9</v>
      </c>
      <c r="I877" s="3" t="s">
        <v>7</v>
      </c>
      <c r="J877" s="1">
        <v>0</v>
      </c>
      <c r="K877" s="12">
        <v>0</v>
      </c>
      <c r="L877" s="1">
        <v>53.417999999999999</v>
      </c>
      <c r="M877" s="12">
        <v>7.1779999999999999</v>
      </c>
      <c r="N877" t="s">
        <v>26</v>
      </c>
      <c r="O877"/>
      <c r="P877" s="2" t="str">
        <f>IF(BD_Receitas[[#This Row],[TIPO DE COBRANÇA]]="Operação Normal",
_xlfn.XLOOKUP(BD_Receitas[[#This Row],[ID]],TabCondicoesComerciais[ID],TabCondicoesComerciais[Volume mínimo 
(m3)],0),"")</f>
        <v/>
      </c>
      <c r="Q877" s="2">
        <f>_xlfn.XLOOKUP(BD_Receitas[[#This Row],[ID]],TabCondicoesComerciais[ID],TabCondicoesComerciais[Vol. 1ºGiro],0)</f>
        <v>1070</v>
      </c>
      <c r="R8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877" s="1">
        <f xml:space="preserve"> IF(BD_Receitas[[#This Row],[TIPO DE COBRANÇA]]="Operação Normal",
_xlfn.XLOOKUP(BD_Receitas[[#This Row],[ID]],TabCondicoesComerciais[ID],TabCondicoesComerciais[Tarifa 2º Giro],0),0)</f>
        <v>0</v>
      </c>
      <c r="T8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8" spans="1:24" hidden="1" x14ac:dyDescent="0.35">
      <c r="A878" s="3" t="s">
        <v>177</v>
      </c>
      <c r="B878" s="11">
        <v>46082</v>
      </c>
      <c r="C878" t="s">
        <v>31</v>
      </c>
      <c r="D878" t="s">
        <v>62</v>
      </c>
      <c r="E878" t="s">
        <v>33</v>
      </c>
      <c r="F878" s="10" t="s">
        <v>46</v>
      </c>
      <c r="G878" s="3" t="s">
        <v>87</v>
      </c>
      <c r="H878" s="3" t="s">
        <v>9</v>
      </c>
      <c r="I878" s="3" t="s">
        <v>8</v>
      </c>
      <c r="J878" s="1">
        <v>0</v>
      </c>
      <c r="K878" s="12">
        <v>0</v>
      </c>
      <c r="L878" s="1">
        <v>202.392</v>
      </c>
      <c r="M878" s="12">
        <v>27.196999999999999</v>
      </c>
      <c r="N878" t="s">
        <v>26</v>
      </c>
      <c r="O878"/>
      <c r="P878" s="2" t="str">
        <f>IF(BD_Receitas[[#This Row],[TIPO DE COBRANÇA]]="Operação Normal",
_xlfn.XLOOKUP(BD_Receitas[[#This Row],[ID]],TabCondicoesComerciais[ID],TabCondicoesComerciais[Volume mínimo 
(m3)],0),"")</f>
        <v/>
      </c>
      <c r="Q878" s="2">
        <f>_xlfn.XLOOKUP(BD_Receitas[[#This Row],[ID]],TabCondicoesComerciais[ID],TabCondicoesComerciais[Vol. 1ºGiro],0)</f>
        <v>1070</v>
      </c>
      <c r="R8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878" s="1">
        <f xml:space="preserve"> IF(BD_Receitas[[#This Row],[TIPO DE COBRANÇA]]="Operação Normal",
_xlfn.XLOOKUP(BD_Receitas[[#This Row],[ID]],TabCondicoesComerciais[ID],TabCondicoesComerciais[Tarifa 2º Giro],0),0)</f>
        <v>0</v>
      </c>
      <c r="T8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79" spans="1:24" hidden="1" x14ac:dyDescent="0.35">
      <c r="A879" s="3" t="s">
        <v>177</v>
      </c>
      <c r="B879" s="11">
        <v>46082</v>
      </c>
      <c r="C879" t="s">
        <v>31</v>
      </c>
      <c r="D879" t="s">
        <v>62</v>
      </c>
      <c r="E879" t="s">
        <v>33</v>
      </c>
      <c r="F879" s="10" t="s">
        <v>46</v>
      </c>
      <c r="G879" s="3" t="s">
        <v>87</v>
      </c>
      <c r="H879" s="3" t="s">
        <v>9</v>
      </c>
      <c r="I879" s="3" t="s">
        <v>15</v>
      </c>
      <c r="J879" s="1">
        <v>137499.15789999999</v>
      </c>
      <c r="K879" s="12">
        <v>4200</v>
      </c>
      <c r="L879" s="1">
        <v>59721.408000000003</v>
      </c>
      <c r="M879" s="12">
        <v>909.62</v>
      </c>
      <c r="N879" t="s">
        <v>26</v>
      </c>
      <c r="O879"/>
      <c r="P879" s="2">
        <f>IF(BD_Receitas[[#This Row],[TIPO DE COBRANÇA]]="Operação Normal",
_xlfn.XLOOKUP(BD_Receitas[[#This Row],[ID]],TabCondicoesComerciais[ID],TabCondicoesComerciais[Volume mínimo 
(m3)],0),"")</f>
        <v>3210</v>
      </c>
      <c r="Q879" s="2">
        <f>_xlfn.XLOOKUP(BD_Receitas[[#This Row],[ID]],TabCondicoesComerciais[ID],TabCondicoesComerciais[Vol. 1ºGiro],0)</f>
        <v>1070</v>
      </c>
      <c r="R8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879" s="1">
        <f xml:space="preserve"> IF(BD_Receitas[[#This Row],[TIPO DE COBRANÇA]]="Operação Normal",
_xlfn.XLOOKUP(BD_Receitas[[#This Row],[ID]],TabCondicoesComerciais[ID],TabCondicoesComerciais[Tarifa 2º Giro],0),0)</f>
        <v>32.64</v>
      </c>
      <c r="T879" s="5">
        <f>IFERROR(IF(BD_Receitas[[#This Row],[TIPO DE COBRANÇA]]&lt;&gt;"Operação Normal","",BD_Receitas[[#This Row],[Valor Total R$]]/ MAX(BD_Receitas[[#This Row],[Vol. Movimentado M³]],
BD_Receitas[[#This Row],[Volume Mínimo ]])
),0)</f>
        <v>18.604800000000001</v>
      </c>
      <c r="U8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65.936564719333347</v>
      </c>
      <c r="V8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8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29689.996800000001</v>
      </c>
      <c r="X8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80" spans="1:24" hidden="1" x14ac:dyDescent="0.35">
      <c r="A880" s="3" t="s">
        <v>177</v>
      </c>
      <c r="B880" s="11">
        <v>46082</v>
      </c>
      <c r="C880" t="s">
        <v>31</v>
      </c>
      <c r="D880" t="s">
        <v>62</v>
      </c>
      <c r="E880" t="s">
        <v>33</v>
      </c>
      <c r="F880" s="10" t="s">
        <v>46</v>
      </c>
      <c r="G880" s="3" t="s">
        <v>87</v>
      </c>
      <c r="H880" s="3" t="s">
        <v>9</v>
      </c>
      <c r="I880" s="3" t="s">
        <v>65</v>
      </c>
      <c r="J880" s="1">
        <v>0</v>
      </c>
      <c r="K880" s="12">
        <v>0</v>
      </c>
      <c r="L880" s="1"/>
      <c r="M880" s="12"/>
      <c r="N880"/>
      <c r="O880"/>
      <c r="P880" s="2" t="str">
        <f>IF(BD_Receitas[[#This Row],[TIPO DE COBRANÇA]]="Operação Normal",
_xlfn.XLOOKUP(BD_Receitas[[#This Row],[ID]],TabCondicoesComerciais[ID],TabCondicoesComerciais[Volume mínimo 
(m3)],0),"")</f>
        <v/>
      </c>
      <c r="Q880" s="2">
        <f>_xlfn.XLOOKUP(BD_Receitas[[#This Row],[ID]],TabCondicoesComerciais[ID],TabCondicoesComerciais[Vol. 1ºGiro],0)</f>
        <v>1070</v>
      </c>
      <c r="R8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80" s="1">
        <f xml:space="preserve"> IF(BD_Receitas[[#This Row],[TIPO DE COBRANÇA]]="Operação Normal",
_xlfn.XLOOKUP(BD_Receitas[[#This Row],[ID]],TabCondicoesComerciais[ID],TabCondicoesComerciais[Tarifa 2º Giro],0),0)</f>
        <v>0</v>
      </c>
      <c r="T8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1" spans="1:24" hidden="1" x14ac:dyDescent="0.35">
      <c r="A881" s="3" t="s">
        <v>200</v>
      </c>
      <c r="B881" s="11">
        <v>46082</v>
      </c>
      <c r="C881" t="s">
        <v>31</v>
      </c>
      <c r="D881" t="s">
        <v>203</v>
      </c>
      <c r="E881" t="s">
        <v>32</v>
      </c>
      <c r="F881" s="10" t="s">
        <v>25</v>
      </c>
      <c r="G881" s="3" t="s">
        <v>12</v>
      </c>
      <c r="H881" s="3" t="s">
        <v>10</v>
      </c>
      <c r="I881" s="3" t="s">
        <v>7</v>
      </c>
      <c r="J881" s="1">
        <v>0</v>
      </c>
      <c r="K881" s="12">
        <v>0</v>
      </c>
      <c r="L881" s="1">
        <v>226.6</v>
      </c>
      <c r="M881" s="12">
        <v>8.093</v>
      </c>
      <c r="N881"/>
      <c r="O881" t="s">
        <v>129</v>
      </c>
      <c r="P881" s="2" t="str">
        <f>IF(BD_Receitas[[#This Row],[TIPO DE COBRANÇA]]="Operação Normal",
_xlfn.XLOOKUP(BD_Receitas[[#This Row],[ID]],TabCondicoesComerciais[ID],TabCondicoesComerciais[Volume mínimo 
(m3)],0),"")</f>
        <v/>
      </c>
      <c r="Q881" s="2">
        <f>_xlfn.XLOOKUP(BD_Receitas[[#This Row],[ID]],TabCondicoesComerciais[ID],TabCondicoesComerciais[Vol. 1ºGiro],0)</f>
        <v>2000</v>
      </c>
      <c r="R8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81" s="1">
        <f xml:space="preserve"> IF(BD_Receitas[[#This Row],[TIPO DE COBRANÇA]]="Operação Normal",
_xlfn.XLOOKUP(BD_Receitas[[#This Row],[ID]],TabCondicoesComerciais[ID],TabCondicoesComerciais[Tarifa 2º Giro],0),0)</f>
        <v>0</v>
      </c>
      <c r="T8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2" spans="1:24" hidden="1" x14ac:dyDescent="0.35">
      <c r="A882" s="3" t="s">
        <v>200</v>
      </c>
      <c r="B882" s="11">
        <v>46082</v>
      </c>
      <c r="C882" t="s">
        <v>31</v>
      </c>
      <c r="D882" t="s">
        <v>203</v>
      </c>
      <c r="E882" t="s">
        <v>32</v>
      </c>
      <c r="F882" s="10" t="s">
        <v>25</v>
      </c>
      <c r="G882" s="3" t="s">
        <v>12</v>
      </c>
      <c r="H882" s="3" t="s">
        <v>10</v>
      </c>
      <c r="I882" s="3" t="s">
        <v>8</v>
      </c>
      <c r="J882" s="1">
        <v>0</v>
      </c>
      <c r="K882" s="12">
        <v>0</v>
      </c>
      <c r="L882" s="1"/>
      <c r="M882" s="12"/>
      <c r="N882"/>
      <c r="O882"/>
      <c r="P882" s="2" t="str">
        <f>IF(BD_Receitas[[#This Row],[TIPO DE COBRANÇA]]="Operação Normal",
_xlfn.XLOOKUP(BD_Receitas[[#This Row],[ID]],TabCondicoesComerciais[ID],TabCondicoesComerciais[Volume mínimo 
(m3)],0),"")</f>
        <v/>
      </c>
      <c r="Q882" s="2">
        <f>_xlfn.XLOOKUP(BD_Receitas[[#This Row],[ID]],TabCondicoesComerciais[ID],TabCondicoesComerciais[Vol. 1ºGiro],0)</f>
        <v>2000</v>
      </c>
      <c r="R8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82" s="1">
        <f xml:space="preserve"> IF(BD_Receitas[[#This Row],[TIPO DE COBRANÇA]]="Operação Normal",
_xlfn.XLOOKUP(BD_Receitas[[#This Row],[ID]],TabCondicoesComerciais[ID],TabCondicoesComerciais[Tarifa 2º Giro],0),0)</f>
        <v>0</v>
      </c>
      <c r="T8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3" spans="1:24" hidden="1" x14ac:dyDescent="0.35">
      <c r="A883" s="3" t="s">
        <v>200</v>
      </c>
      <c r="B883" s="11">
        <v>46082</v>
      </c>
      <c r="C883" t="s">
        <v>31</v>
      </c>
      <c r="D883" t="s">
        <v>203</v>
      </c>
      <c r="E883" t="s">
        <v>32</v>
      </c>
      <c r="F883" s="10" t="s">
        <v>25</v>
      </c>
      <c r="G883" s="3" t="s">
        <v>12</v>
      </c>
      <c r="H883" s="3" t="s">
        <v>10</v>
      </c>
      <c r="I883" s="3" t="s">
        <v>15</v>
      </c>
      <c r="J883" s="1">
        <v>0</v>
      </c>
      <c r="K883" s="12">
        <v>0</v>
      </c>
      <c r="L883" s="1">
        <v>191621.56</v>
      </c>
      <c r="M883" s="12">
        <v>9581.0779999999995</v>
      </c>
      <c r="N883"/>
      <c r="O883" t="s">
        <v>155</v>
      </c>
      <c r="P883" s="2">
        <f>IF(BD_Receitas[[#This Row],[TIPO DE COBRANÇA]]="Operação Normal",
_xlfn.XLOOKUP(BD_Receitas[[#This Row],[ID]],TabCondicoesComerciais[ID],TabCondicoesComerciais[Volume mínimo 
(m3)],0),"")</f>
        <v>8000</v>
      </c>
      <c r="Q883" s="2">
        <f>_xlfn.XLOOKUP(BD_Receitas[[#This Row],[ID]],TabCondicoesComerciais[ID],TabCondicoesComerciais[Vol. 1ºGiro],0)</f>
        <v>2000</v>
      </c>
      <c r="R8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883" s="1">
        <f xml:space="preserve"> IF(BD_Receitas[[#This Row],[TIPO DE COBRANÇA]]="Operação Normal",
_xlfn.XLOOKUP(BD_Receitas[[#This Row],[ID]],TabCondicoesComerciais[ID],TabCondicoesComerciais[Tarifa 2º Giro],0),0)</f>
        <v>20</v>
      </c>
      <c r="T883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8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20.023650783346092</v>
      </c>
      <c r="V8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8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191621.56</v>
      </c>
      <c r="X8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884" spans="1:24" hidden="1" x14ac:dyDescent="0.35">
      <c r="A884" s="3" t="s">
        <v>200</v>
      </c>
      <c r="B884" s="11">
        <v>46082</v>
      </c>
      <c r="C884" t="s">
        <v>31</v>
      </c>
      <c r="D884" t="s">
        <v>203</v>
      </c>
      <c r="E884" t="s">
        <v>32</v>
      </c>
      <c r="F884" s="10" t="s">
        <v>25</v>
      </c>
      <c r="G884" s="3" t="s">
        <v>12</v>
      </c>
      <c r="H884" s="3" t="s">
        <v>10</v>
      </c>
      <c r="I884" s="3" t="s">
        <v>65</v>
      </c>
      <c r="J884" s="1">
        <v>0</v>
      </c>
      <c r="K884" s="12">
        <v>0</v>
      </c>
      <c r="L884" s="1"/>
      <c r="M884" s="12"/>
      <c r="N884"/>
      <c r="O884"/>
      <c r="P884" s="2" t="str">
        <f>IF(BD_Receitas[[#This Row],[TIPO DE COBRANÇA]]="Operação Normal",
_xlfn.XLOOKUP(BD_Receitas[[#This Row],[ID]],TabCondicoesComerciais[ID],TabCondicoesComerciais[Volume mínimo 
(m3)],0),"")</f>
        <v/>
      </c>
      <c r="Q884" s="2">
        <f>_xlfn.XLOOKUP(BD_Receitas[[#This Row],[ID]],TabCondicoesComerciais[ID],TabCondicoesComerciais[Vol. 1ºGiro],0)</f>
        <v>2000</v>
      </c>
      <c r="R8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84" s="1">
        <f xml:space="preserve"> IF(BD_Receitas[[#This Row],[TIPO DE COBRANÇA]]="Operação Normal",
_xlfn.XLOOKUP(BD_Receitas[[#This Row],[ID]],TabCondicoesComerciais[ID],TabCondicoesComerciais[Tarifa 2º Giro],0),0)</f>
        <v>0</v>
      </c>
      <c r="T8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5" spans="1:24" hidden="1" x14ac:dyDescent="0.35">
      <c r="A885" s="3" t="s">
        <v>264</v>
      </c>
      <c r="B885" s="11">
        <v>46082</v>
      </c>
      <c r="C885" t="s">
        <v>31</v>
      </c>
      <c r="D885" t="s">
        <v>203</v>
      </c>
      <c r="E885" t="s">
        <v>32</v>
      </c>
      <c r="F885" s="10" t="s">
        <v>25</v>
      </c>
      <c r="G885" s="3" t="s">
        <v>12</v>
      </c>
      <c r="H885" s="3" t="s">
        <v>9</v>
      </c>
      <c r="I885" s="3" t="s">
        <v>7</v>
      </c>
      <c r="J885" s="1">
        <v>0</v>
      </c>
      <c r="K885" s="12">
        <v>0</v>
      </c>
      <c r="L885" s="1">
        <v>2098.33</v>
      </c>
      <c r="M885" s="12">
        <v>193.03800000000001</v>
      </c>
      <c r="N885"/>
      <c r="O885" t="s">
        <v>129</v>
      </c>
      <c r="P885" s="2" t="str">
        <f>IF(BD_Receitas[[#This Row],[TIPO DE COBRANÇA]]="Operação Normal",
_xlfn.XLOOKUP(BD_Receitas[[#This Row],[ID]],TabCondicoesComerciais[ID],TabCondicoesComerciais[Volume mínimo 
(m3)],0),"")</f>
        <v/>
      </c>
      <c r="Q885" s="2">
        <f>_xlfn.XLOOKUP(BD_Receitas[[#This Row],[ID]],TabCondicoesComerciais[ID],TabCondicoesComerciais[Vol. 1ºGiro],0)</f>
        <v>1125</v>
      </c>
      <c r="R8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885" s="1">
        <f xml:space="preserve"> IF(BD_Receitas[[#This Row],[TIPO DE COBRANÇA]]="Operação Normal",
_xlfn.XLOOKUP(BD_Receitas[[#This Row],[ID]],TabCondicoesComerciais[ID],TabCondicoesComerciais[Tarifa 2º Giro],0),0)</f>
        <v>0</v>
      </c>
      <c r="T8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6" spans="1:24" hidden="1" x14ac:dyDescent="0.35">
      <c r="A886" s="3" t="s">
        <v>264</v>
      </c>
      <c r="B886" s="11">
        <v>46082</v>
      </c>
      <c r="C886" t="s">
        <v>31</v>
      </c>
      <c r="D886" t="s">
        <v>203</v>
      </c>
      <c r="E886" t="s">
        <v>32</v>
      </c>
      <c r="F886" s="10" t="s">
        <v>25</v>
      </c>
      <c r="G886" s="3" t="s">
        <v>12</v>
      </c>
      <c r="H886" s="3" t="s">
        <v>9</v>
      </c>
      <c r="I886" s="3" t="s">
        <v>8</v>
      </c>
      <c r="J886" s="1">
        <v>0</v>
      </c>
      <c r="K886" s="12">
        <v>0</v>
      </c>
      <c r="L886" s="1"/>
      <c r="M886" s="12"/>
      <c r="N886"/>
      <c r="O886"/>
      <c r="P886" s="2" t="str">
        <f>IF(BD_Receitas[[#This Row],[TIPO DE COBRANÇA]]="Operação Normal",
_xlfn.XLOOKUP(BD_Receitas[[#This Row],[ID]],TabCondicoesComerciais[ID],TabCondicoesComerciais[Volume mínimo 
(m3)],0),"")</f>
        <v/>
      </c>
      <c r="Q886" s="2">
        <f>_xlfn.XLOOKUP(BD_Receitas[[#This Row],[ID]],TabCondicoesComerciais[ID],TabCondicoesComerciais[Vol. 1ºGiro],0)</f>
        <v>1125</v>
      </c>
      <c r="R8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886" s="1">
        <f xml:space="preserve"> IF(BD_Receitas[[#This Row],[TIPO DE COBRANÇA]]="Operação Normal",
_xlfn.XLOOKUP(BD_Receitas[[#This Row],[ID]],TabCondicoesComerciais[ID],TabCondicoesComerciais[Tarifa 2º Giro],0),0)</f>
        <v>0</v>
      </c>
      <c r="T8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7" spans="1:24" hidden="1" x14ac:dyDescent="0.35">
      <c r="A887" s="3" t="s">
        <v>264</v>
      </c>
      <c r="B887" s="11">
        <v>46082</v>
      </c>
      <c r="C887" t="s">
        <v>31</v>
      </c>
      <c r="D887" t="s">
        <v>203</v>
      </c>
      <c r="E887" t="s">
        <v>32</v>
      </c>
      <c r="F887" s="10" t="s">
        <v>25</v>
      </c>
      <c r="G887" s="3" t="s">
        <v>12</v>
      </c>
      <c r="H887" s="3" t="s">
        <v>9</v>
      </c>
      <c r="I887" s="3" t="s">
        <v>15</v>
      </c>
      <c r="J887" s="1">
        <v>164947.60920000001</v>
      </c>
      <c r="K887" s="12">
        <v>6100</v>
      </c>
      <c r="L887" s="1">
        <v>152943.75</v>
      </c>
      <c r="M887" s="12">
        <v>4953.4409999999998</v>
      </c>
      <c r="N887"/>
      <c r="O887" t="s">
        <v>155</v>
      </c>
      <c r="P887" s="2">
        <f>IF(BD_Receitas[[#This Row],[TIPO DE COBRANÇA]]="Operação Normal",
_xlfn.XLOOKUP(BD_Receitas[[#This Row],[ID]],TabCondicoesComerciais[ID],TabCondicoesComerciais[Volume mínimo 
(m3)],0),"")</f>
        <v>5625</v>
      </c>
      <c r="Q887" s="2">
        <f>_xlfn.XLOOKUP(BD_Receitas[[#This Row],[ID]],TabCondicoesComerciais[ID],TabCondicoesComerciais[Vol. 1ºGiro],0)</f>
        <v>1125</v>
      </c>
      <c r="R8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887" s="1">
        <f xml:space="preserve"> IF(BD_Receitas[[#This Row],[TIPO DE COBRANÇA]]="Operação Normal",
_xlfn.XLOOKUP(BD_Receitas[[#This Row],[ID]],TabCondicoesComerciais[ID],TabCondicoesComerciais[Tarifa 2º Giro],0),0)</f>
        <v>27.19</v>
      </c>
      <c r="T887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8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31.299874168280191</v>
      </c>
      <c r="V8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8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134684.06079000002</v>
      </c>
      <c r="X8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88" spans="1:24" hidden="1" x14ac:dyDescent="0.35">
      <c r="A888" s="3" t="s">
        <v>264</v>
      </c>
      <c r="B888" s="11">
        <v>46082</v>
      </c>
      <c r="C888" t="s">
        <v>31</v>
      </c>
      <c r="D888" t="s">
        <v>203</v>
      </c>
      <c r="E888" t="s">
        <v>32</v>
      </c>
      <c r="F888" s="10" t="s">
        <v>25</v>
      </c>
      <c r="G888" s="3" t="s">
        <v>12</v>
      </c>
      <c r="H888" s="3" t="s">
        <v>9</v>
      </c>
      <c r="I888" s="3" t="s">
        <v>65</v>
      </c>
      <c r="J888" s="1">
        <v>0</v>
      </c>
      <c r="K888" s="12">
        <v>0</v>
      </c>
      <c r="L888" s="1"/>
      <c r="M888" s="12"/>
      <c r="N888"/>
      <c r="O888"/>
      <c r="P888" s="2" t="str">
        <f>IF(BD_Receitas[[#This Row],[TIPO DE COBRANÇA]]="Operação Normal",
_xlfn.XLOOKUP(BD_Receitas[[#This Row],[ID]],TabCondicoesComerciais[ID],TabCondicoesComerciais[Volume mínimo 
(m3)],0),"")</f>
        <v/>
      </c>
      <c r="Q888" s="2">
        <f>_xlfn.XLOOKUP(BD_Receitas[[#This Row],[ID]],TabCondicoesComerciais[ID],TabCondicoesComerciais[Vol. 1ºGiro],0)</f>
        <v>1125</v>
      </c>
      <c r="R8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88" s="1">
        <f xml:space="preserve"> IF(BD_Receitas[[#This Row],[TIPO DE COBRANÇA]]="Operação Normal",
_xlfn.XLOOKUP(BD_Receitas[[#This Row],[ID]],TabCondicoesComerciais[ID],TabCondicoesComerciais[Tarifa 2º Giro],0),0)</f>
        <v>0</v>
      </c>
      <c r="T8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89" spans="1:24" hidden="1" x14ac:dyDescent="0.35">
      <c r="A889" s="3" t="s">
        <v>134</v>
      </c>
      <c r="B889" s="11">
        <v>46082</v>
      </c>
      <c r="C889" t="s">
        <v>31</v>
      </c>
      <c r="D889" t="s">
        <v>62</v>
      </c>
      <c r="E889" t="s">
        <v>37</v>
      </c>
      <c r="F889" s="10" t="s">
        <v>57</v>
      </c>
      <c r="G889" s="3" t="s">
        <v>58</v>
      </c>
      <c r="H889" s="3" t="s">
        <v>10</v>
      </c>
      <c r="I889" s="3" t="s">
        <v>7</v>
      </c>
      <c r="J889" s="1">
        <v>0</v>
      </c>
      <c r="K889" s="12">
        <v>0</v>
      </c>
      <c r="L889" s="1"/>
      <c r="M889" s="12"/>
      <c r="N889"/>
      <c r="O889"/>
      <c r="P889" s="2" t="str">
        <f>IF(BD_Receitas[[#This Row],[TIPO DE COBRANÇA]]="Operação Normal",
_xlfn.XLOOKUP(BD_Receitas[[#This Row],[ID]],TabCondicoesComerciais[ID],TabCondicoesComerciais[Volume mínimo 
(m3)],0),"")</f>
        <v/>
      </c>
      <c r="Q889" s="2">
        <f>_xlfn.XLOOKUP(BD_Receitas[[#This Row],[ID]],TabCondicoesComerciais[ID],TabCondicoesComerciais[Vol. 1ºGiro],0)</f>
        <v>310</v>
      </c>
      <c r="R8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89" s="1">
        <f xml:space="preserve"> IF(BD_Receitas[[#This Row],[TIPO DE COBRANÇA]]="Operação Normal",
_xlfn.XLOOKUP(BD_Receitas[[#This Row],[ID]],TabCondicoesComerciais[ID],TabCondicoesComerciais[Tarifa 2º Giro],0),0)</f>
        <v>0</v>
      </c>
      <c r="T8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0" spans="1:24" hidden="1" x14ac:dyDescent="0.35">
      <c r="A890" s="3" t="s">
        <v>134</v>
      </c>
      <c r="B890" s="11">
        <v>46082</v>
      </c>
      <c r="C890" t="s">
        <v>31</v>
      </c>
      <c r="D890" t="s">
        <v>62</v>
      </c>
      <c r="E890" t="s">
        <v>37</v>
      </c>
      <c r="F890" s="10" t="s">
        <v>57</v>
      </c>
      <c r="G890" s="3" t="s">
        <v>58</v>
      </c>
      <c r="H890" s="3" t="s">
        <v>10</v>
      </c>
      <c r="I890" s="3" t="s">
        <v>8</v>
      </c>
      <c r="J890" s="1">
        <v>0</v>
      </c>
      <c r="K890" s="12">
        <v>0</v>
      </c>
      <c r="L890" s="1"/>
      <c r="M890" s="12"/>
      <c r="N890"/>
      <c r="O890"/>
      <c r="P890" s="2" t="str">
        <f>IF(BD_Receitas[[#This Row],[TIPO DE COBRANÇA]]="Operação Normal",
_xlfn.XLOOKUP(BD_Receitas[[#This Row],[ID]],TabCondicoesComerciais[ID],TabCondicoesComerciais[Volume mínimo 
(m3)],0),"")</f>
        <v/>
      </c>
      <c r="Q890" s="2">
        <f>_xlfn.XLOOKUP(BD_Receitas[[#This Row],[ID]],TabCondicoesComerciais[ID],TabCondicoesComerciais[Vol. 1ºGiro],0)</f>
        <v>310</v>
      </c>
      <c r="R8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890" s="1">
        <f xml:space="preserve"> IF(BD_Receitas[[#This Row],[TIPO DE COBRANÇA]]="Operação Normal",
_xlfn.XLOOKUP(BD_Receitas[[#This Row],[ID]],TabCondicoesComerciais[ID],TabCondicoesComerciais[Tarifa 2º Giro],0),0)</f>
        <v>0</v>
      </c>
      <c r="T8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1" spans="1:24" hidden="1" x14ac:dyDescent="0.35">
      <c r="A891" s="3" t="s">
        <v>134</v>
      </c>
      <c r="B891" s="11">
        <v>46082</v>
      </c>
      <c r="C891" t="s">
        <v>31</v>
      </c>
      <c r="D891" t="s">
        <v>62</v>
      </c>
      <c r="E891" t="s">
        <v>37</v>
      </c>
      <c r="F891" s="10" t="s">
        <v>57</v>
      </c>
      <c r="G891" s="3" t="s">
        <v>58</v>
      </c>
      <c r="H891" s="3" t="s">
        <v>10</v>
      </c>
      <c r="I891" s="3" t="s">
        <v>15</v>
      </c>
      <c r="J891" s="1">
        <v>17311.068899999998</v>
      </c>
      <c r="K891" s="12">
        <v>550</v>
      </c>
      <c r="L891" s="1"/>
      <c r="M891" s="12"/>
      <c r="N891"/>
      <c r="O891"/>
      <c r="P891" s="2">
        <f>IF(BD_Receitas[[#This Row],[TIPO DE COBRANÇA]]="Operação Normal",
_xlfn.XLOOKUP(BD_Receitas[[#This Row],[ID]],TabCondicoesComerciais[ID],TabCondicoesComerciais[Volume mínimo 
(m3)],0),"")</f>
        <v>1100</v>
      </c>
      <c r="Q891" s="2">
        <f>_xlfn.XLOOKUP(BD_Receitas[[#This Row],[ID]],TabCondicoesComerciais[ID],TabCondicoesComerciais[Vol. 1ºGiro],0)</f>
        <v>310</v>
      </c>
      <c r="R8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891" s="1">
        <f xml:space="preserve"> IF(BD_Receitas[[#This Row],[TIPO DE COBRANÇA]]="Operação Normal",
_xlfn.XLOOKUP(BD_Receitas[[#This Row],[ID]],TabCondicoesComerciais[ID],TabCondicoesComerciais[Tarifa 2º Giro],0),0)</f>
        <v>31.04</v>
      </c>
      <c r="T89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8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8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8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8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892" spans="1:24" hidden="1" x14ac:dyDescent="0.35">
      <c r="A892" s="3" t="s">
        <v>134</v>
      </c>
      <c r="B892" s="11">
        <v>46082</v>
      </c>
      <c r="C892" t="s">
        <v>31</v>
      </c>
      <c r="D892" t="s">
        <v>62</v>
      </c>
      <c r="E892" t="s">
        <v>37</v>
      </c>
      <c r="F892" s="10" t="s">
        <v>57</v>
      </c>
      <c r="G892" s="3" t="s">
        <v>58</v>
      </c>
      <c r="H892" s="3" t="s">
        <v>10</v>
      </c>
      <c r="I892" s="3" t="s">
        <v>65</v>
      </c>
      <c r="J892" s="1">
        <v>0</v>
      </c>
      <c r="K892" s="12">
        <v>0</v>
      </c>
      <c r="L892" s="1"/>
      <c r="M892" s="12"/>
      <c r="N892"/>
      <c r="O892"/>
      <c r="P892" s="2" t="str">
        <f>IF(BD_Receitas[[#This Row],[TIPO DE COBRANÇA]]="Operação Normal",
_xlfn.XLOOKUP(BD_Receitas[[#This Row],[ID]],TabCondicoesComerciais[ID],TabCondicoesComerciais[Volume mínimo 
(m3)],0),"")</f>
        <v/>
      </c>
      <c r="Q892" s="2">
        <f>_xlfn.XLOOKUP(BD_Receitas[[#This Row],[ID]],TabCondicoesComerciais[ID],TabCondicoesComerciais[Vol. 1ºGiro],0)</f>
        <v>310</v>
      </c>
      <c r="R8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2" s="1">
        <f xml:space="preserve"> IF(BD_Receitas[[#This Row],[TIPO DE COBRANÇA]]="Operação Normal",
_xlfn.XLOOKUP(BD_Receitas[[#This Row],[ID]],TabCondicoesComerciais[ID],TabCondicoesComerciais[Tarifa 2º Giro],0),0)</f>
        <v>0</v>
      </c>
      <c r="T8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3" spans="1:24" hidden="1" x14ac:dyDescent="0.35">
      <c r="A893" s="3" t="s">
        <v>173</v>
      </c>
      <c r="B893" s="11">
        <v>46082</v>
      </c>
      <c r="C893" t="s">
        <v>31</v>
      </c>
      <c r="D893" t="s">
        <v>62</v>
      </c>
      <c r="E893" t="s">
        <v>37</v>
      </c>
      <c r="F893" s="10" t="s">
        <v>57</v>
      </c>
      <c r="G893" s="3" t="s">
        <v>58</v>
      </c>
      <c r="H893" s="3" t="s">
        <v>6</v>
      </c>
      <c r="I893" s="3" t="s">
        <v>7</v>
      </c>
      <c r="J893" s="1">
        <v>0</v>
      </c>
      <c r="K893" s="12">
        <v>0</v>
      </c>
      <c r="L893" s="1"/>
      <c r="M893" s="12"/>
      <c r="N893"/>
      <c r="O893"/>
      <c r="P893" s="2" t="str">
        <f>IF(BD_Receitas[[#This Row],[TIPO DE COBRANÇA]]="Operação Normal",
_xlfn.XLOOKUP(BD_Receitas[[#This Row],[ID]],TabCondicoesComerciais[ID],TabCondicoesComerciais[Volume mínimo 
(m3)],0),"")</f>
        <v/>
      </c>
      <c r="Q893" s="2">
        <f>_xlfn.XLOOKUP(BD_Receitas[[#This Row],[ID]],TabCondicoesComerciais[ID],TabCondicoesComerciais[Vol. 1ºGiro],0)</f>
        <v>1070</v>
      </c>
      <c r="R8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3" s="1">
        <f xml:space="preserve"> IF(BD_Receitas[[#This Row],[TIPO DE COBRANÇA]]="Operação Normal",
_xlfn.XLOOKUP(BD_Receitas[[#This Row],[ID]],TabCondicoesComerciais[ID],TabCondicoesComerciais[Tarifa 2º Giro],0),0)</f>
        <v>0</v>
      </c>
      <c r="T8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4" spans="1:24" hidden="1" x14ac:dyDescent="0.35">
      <c r="A894" s="3" t="s">
        <v>173</v>
      </c>
      <c r="B894" s="11">
        <v>46082</v>
      </c>
      <c r="C894" t="s">
        <v>31</v>
      </c>
      <c r="D894" t="s">
        <v>62</v>
      </c>
      <c r="E894" t="s">
        <v>37</v>
      </c>
      <c r="F894" s="10" t="s">
        <v>57</v>
      </c>
      <c r="G894" s="3" t="s">
        <v>58</v>
      </c>
      <c r="H894" s="3" t="s">
        <v>6</v>
      </c>
      <c r="I894" s="3" t="s">
        <v>8</v>
      </c>
      <c r="J894" s="1">
        <v>0</v>
      </c>
      <c r="K894" s="12">
        <v>0</v>
      </c>
      <c r="L894" s="1"/>
      <c r="M894" s="12"/>
      <c r="N894"/>
      <c r="O894"/>
      <c r="P894" s="2" t="str">
        <f>IF(BD_Receitas[[#This Row],[TIPO DE COBRANÇA]]="Operação Normal",
_xlfn.XLOOKUP(BD_Receitas[[#This Row],[ID]],TabCondicoesComerciais[ID],TabCondicoesComerciais[Volume mínimo 
(m3)],0),"")</f>
        <v/>
      </c>
      <c r="Q894" s="2">
        <f>_xlfn.XLOOKUP(BD_Receitas[[#This Row],[ID]],TabCondicoesComerciais[ID],TabCondicoesComerciais[Vol. 1ºGiro],0)</f>
        <v>1070</v>
      </c>
      <c r="R8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4" s="1">
        <f xml:space="preserve"> IF(BD_Receitas[[#This Row],[TIPO DE COBRANÇA]]="Operação Normal",
_xlfn.XLOOKUP(BD_Receitas[[#This Row],[ID]],TabCondicoesComerciais[ID],TabCondicoesComerciais[Tarifa 2º Giro],0),0)</f>
        <v>0</v>
      </c>
      <c r="T8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5" spans="1:24" hidden="1" x14ac:dyDescent="0.35">
      <c r="A895" s="3" t="s">
        <v>173</v>
      </c>
      <c r="B895" s="11">
        <v>46082</v>
      </c>
      <c r="C895" t="s">
        <v>31</v>
      </c>
      <c r="D895" t="s">
        <v>62</v>
      </c>
      <c r="E895" t="s">
        <v>37</v>
      </c>
      <c r="F895" s="10" t="s">
        <v>57</v>
      </c>
      <c r="G895" s="3" t="s">
        <v>58</v>
      </c>
      <c r="H895" s="3" t="s">
        <v>6</v>
      </c>
      <c r="I895" s="3" t="s">
        <v>15</v>
      </c>
      <c r="J895" s="1">
        <v>0</v>
      </c>
      <c r="K895" s="12">
        <v>0</v>
      </c>
      <c r="L895" s="1">
        <v>77286</v>
      </c>
      <c r="M895" s="12">
        <v>2251</v>
      </c>
      <c r="N895" t="s">
        <v>326</v>
      </c>
      <c r="O895" t="s">
        <v>327</v>
      </c>
      <c r="P895" s="2">
        <f>IF(BD_Receitas[[#This Row],[TIPO DE COBRANÇA]]="Operação Normal",
_xlfn.XLOOKUP(BD_Receitas[[#This Row],[ID]],TabCondicoesComerciais[ID],TabCondicoesComerciais[Volume mínimo 
(m3)],0),"")</f>
        <v>3300</v>
      </c>
      <c r="Q895" s="2">
        <f>_xlfn.XLOOKUP(BD_Receitas[[#This Row],[ID]],TabCondicoesComerciais[ID],TabCondicoesComerciais[Vol. 1ºGiro],0)</f>
        <v>1070</v>
      </c>
      <c r="R8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895" s="1">
        <f xml:space="preserve"> IF(BD_Receitas[[#This Row],[TIPO DE COBRANÇA]]="Operação Normal",
_xlfn.XLOOKUP(BD_Receitas[[#This Row],[ID]],TabCondicoesComerciais[ID],TabCondicoesComerciais[Tarifa 2º Giro],0),0)</f>
        <v>23.42</v>
      </c>
      <c r="T895" s="5">
        <f>IFERROR(IF(BD_Receitas[[#This Row],[TIPO DE COBRANÇA]]&lt;&gt;"Operação Normal","",BD_Receitas[[#This Row],[Valor Total R$]]/ MAX(BD_Receitas[[#This Row],[Vol. Movimentado M³]],
BD_Receitas[[#This Row],[Volume Mínimo ]])
),0)</f>
        <v>23.42</v>
      </c>
      <c r="U8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34.334073745002222</v>
      </c>
      <c r="V8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8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52718.42</v>
      </c>
      <c r="X8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896" spans="1:24" hidden="1" x14ac:dyDescent="0.35">
      <c r="A896" s="3" t="s">
        <v>173</v>
      </c>
      <c r="B896" s="11">
        <v>46082</v>
      </c>
      <c r="C896" t="s">
        <v>31</v>
      </c>
      <c r="D896" t="s">
        <v>62</v>
      </c>
      <c r="E896" t="s">
        <v>37</v>
      </c>
      <c r="F896" s="10" t="s">
        <v>57</v>
      </c>
      <c r="G896" s="3" t="s">
        <v>58</v>
      </c>
      <c r="H896" s="3" t="s">
        <v>6</v>
      </c>
      <c r="I896" s="3" t="s">
        <v>65</v>
      </c>
      <c r="J896" s="1">
        <v>0</v>
      </c>
      <c r="K896" s="12">
        <v>0</v>
      </c>
      <c r="L896" s="1"/>
      <c r="M896" s="12"/>
      <c r="N896"/>
      <c r="O896"/>
      <c r="P896" s="2" t="str">
        <f>IF(BD_Receitas[[#This Row],[TIPO DE COBRANÇA]]="Operação Normal",
_xlfn.XLOOKUP(BD_Receitas[[#This Row],[ID]],TabCondicoesComerciais[ID],TabCondicoesComerciais[Volume mínimo 
(m3)],0),"")</f>
        <v/>
      </c>
      <c r="Q896" s="2">
        <f>_xlfn.XLOOKUP(BD_Receitas[[#This Row],[ID]],TabCondicoesComerciais[ID],TabCondicoesComerciais[Vol. 1ºGiro],0)</f>
        <v>1070</v>
      </c>
      <c r="R8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6" s="1">
        <f xml:space="preserve"> IF(BD_Receitas[[#This Row],[TIPO DE COBRANÇA]]="Operação Normal",
_xlfn.XLOOKUP(BD_Receitas[[#This Row],[ID]],TabCondicoesComerciais[ID],TabCondicoesComerciais[Tarifa 2º Giro],0),0)</f>
        <v>0</v>
      </c>
      <c r="T8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7" spans="1:24" x14ac:dyDescent="0.35">
      <c r="A897" s="3" t="s">
        <v>184</v>
      </c>
      <c r="B897" s="11">
        <v>46082</v>
      </c>
      <c r="C897" t="s">
        <v>31</v>
      </c>
      <c r="D897" t="s">
        <v>203</v>
      </c>
      <c r="E897" t="s">
        <v>34</v>
      </c>
      <c r="F897" s="10" t="s">
        <v>26</v>
      </c>
      <c r="G897" s="3" t="s">
        <v>19</v>
      </c>
      <c r="H897" s="3" t="s">
        <v>13</v>
      </c>
      <c r="I897" s="3" t="s">
        <v>7</v>
      </c>
      <c r="J897" s="1">
        <v>0</v>
      </c>
      <c r="K897" s="12">
        <v>0</v>
      </c>
      <c r="L897" s="1"/>
      <c r="M897" s="12"/>
      <c r="N897"/>
      <c r="O897"/>
      <c r="P897" s="2" t="str">
        <f>IF(BD_Receitas[[#This Row],[TIPO DE COBRANÇA]]="Operação Normal",
_xlfn.XLOOKUP(BD_Receitas[[#This Row],[ID]],TabCondicoesComerciais[ID],TabCondicoesComerciais[Volume mínimo 
(m3)],0),"")</f>
        <v/>
      </c>
      <c r="Q897" s="2">
        <f>_xlfn.XLOOKUP(BD_Receitas[[#This Row],[ID]],TabCondicoesComerciais[ID],TabCondicoesComerciais[Vol. 1ºGiro],0)</f>
        <v>340</v>
      </c>
      <c r="R8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897" s="1">
        <f xml:space="preserve"> IF(BD_Receitas[[#This Row],[TIPO DE COBRANÇA]]="Operação Normal",
_xlfn.XLOOKUP(BD_Receitas[[#This Row],[ID]],TabCondicoesComerciais[ID],TabCondicoesComerciais[Tarifa 2º Giro],0),0)</f>
        <v>0</v>
      </c>
      <c r="T8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8" spans="1:24" x14ac:dyDescent="0.35">
      <c r="A898" s="3" t="s">
        <v>184</v>
      </c>
      <c r="B898" s="11">
        <v>46082</v>
      </c>
      <c r="C898" t="s">
        <v>31</v>
      </c>
      <c r="D898" t="s">
        <v>203</v>
      </c>
      <c r="E898" t="s">
        <v>34</v>
      </c>
      <c r="F898" s="10" t="s">
        <v>26</v>
      </c>
      <c r="G898" s="3" t="s">
        <v>19</v>
      </c>
      <c r="H898" s="3" t="s">
        <v>13</v>
      </c>
      <c r="I898" s="3" t="s">
        <v>8</v>
      </c>
      <c r="J898" s="1">
        <v>0</v>
      </c>
      <c r="K898" s="12">
        <v>0</v>
      </c>
      <c r="L898" s="1"/>
      <c r="M898" s="12"/>
      <c r="N898"/>
      <c r="O898"/>
      <c r="P898" s="2" t="str">
        <f>IF(BD_Receitas[[#This Row],[TIPO DE COBRANÇA]]="Operação Normal",
_xlfn.XLOOKUP(BD_Receitas[[#This Row],[ID]],TabCondicoesComerciais[ID],TabCondicoesComerciais[Volume mínimo 
(m3)],0),"")</f>
        <v/>
      </c>
      <c r="Q898" s="2">
        <f>_xlfn.XLOOKUP(BD_Receitas[[#This Row],[ID]],TabCondicoesComerciais[ID],TabCondicoesComerciais[Vol. 1ºGiro],0)</f>
        <v>340</v>
      </c>
      <c r="R8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898" s="1">
        <f xml:space="preserve"> IF(BD_Receitas[[#This Row],[TIPO DE COBRANÇA]]="Operação Normal",
_xlfn.XLOOKUP(BD_Receitas[[#This Row],[ID]],TabCondicoesComerciais[ID],TabCondicoesComerciais[Tarifa 2º Giro],0),0)</f>
        <v>0</v>
      </c>
      <c r="T8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8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8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8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8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899" spans="1:24" x14ac:dyDescent="0.35">
      <c r="A899" s="3" t="s">
        <v>184</v>
      </c>
      <c r="B899" s="11">
        <v>46082</v>
      </c>
      <c r="C899" t="s">
        <v>31</v>
      </c>
      <c r="D899" t="s">
        <v>203</v>
      </c>
      <c r="E899" t="s">
        <v>34</v>
      </c>
      <c r="F899" s="10" t="s">
        <v>26</v>
      </c>
      <c r="G899" s="3" t="s">
        <v>19</v>
      </c>
      <c r="H899" s="3" t="s">
        <v>13</v>
      </c>
      <c r="I899" s="3" t="s">
        <v>15</v>
      </c>
      <c r="J899" s="1">
        <v>16933.880399999998</v>
      </c>
      <c r="K899" s="12">
        <v>545</v>
      </c>
      <c r="L899" s="1">
        <v>14280</v>
      </c>
      <c r="M899" s="12">
        <v>968.149</v>
      </c>
      <c r="N899" t="s">
        <v>311</v>
      </c>
      <c r="O899" t="s">
        <v>266</v>
      </c>
      <c r="P899" s="2">
        <f>IF(BD_Receitas[[#This Row],[TIPO DE COBRANÇA]]="Operação Normal",
_xlfn.XLOOKUP(BD_Receitas[[#This Row],[ID]],TabCondicoesComerciais[ID],TabCondicoesComerciais[Volume mínimo 
(m3)],0),"")</f>
        <v>1020</v>
      </c>
      <c r="Q899" s="2">
        <f>_xlfn.XLOOKUP(BD_Receitas[[#This Row],[ID]],TabCondicoesComerciais[ID],TabCondicoesComerciais[Vol. 1ºGiro],0)</f>
        <v>340</v>
      </c>
      <c r="R8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899" s="1">
        <f xml:space="preserve"> IF(BD_Receitas[[#This Row],[TIPO DE COBRANÇA]]="Operação Normal",
_xlfn.XLOOKUP(BD_Receitas[[#This Row],[ID]],TabCondicoesComerciais[ID],TabCondicoesComerciais[Tarifa 2º Giro],0),0)</f>
        <v>28</v>
      </c>
      <c r="T899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8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14.749795744250111</v>
      </c>
      <c r="V8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8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27108.171999999999</v>
      </c>
      <c r="X8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00" spans="1:24" hidden="1" x14ac:dyDescent="0.35">
      <c r="A900" s="3" t="s">
        <v>184</v>
      </c>
      <c r="B900" s="11">
        <v>46082</v>
      </c>
      <c r="C900" t="s">
        <v>31</v>
      </c>
      <c r="D900" t="s">
        <v>203</v>
      </c>
      <c r="E900" t="s">
        <v>34</v>
      </c>
      <c r="F900" s="10" t="s">
        <v>26</v>
      </c>
      <c r="G900" s="3" t="s">
        <v>19</v>
      </c>
      <c r="H900" s="3" t="s">
        <v>13</v>
      </c>
      <c r="I900" s="3" t="s">
        <v>65</v>
      </c>
      <c r="J900" s="1">
        <v>0</v>
      </c>
      <c r="K900" s="12">
        <v>0</v>
      </c>
      <c r="L900" s="1"/>
      <c r="M900" s="12"/>
      <c r="N900"/>
      <c r="O900"/>
      <c r="P900" s="2" t="str">
        <f>IF(BD_Receitas[[#This Row],[TIPO DE COBRANÇA]]="Operação Normal",
_xlfn.XLOOKUP(BD_Receitas[[#This Row],[ID]],TabCondicoesComerciais[ID],TabCondicoesComerciais[Volume mínimo 
(m3)],0),"")</f>
        <v/>
      </c>
      <c r="Q900" s="2">
        <f>_xlfn.XLOOKUP(BD_Receitas[[#This Row],[ID]],TabCondicoesComerciais[ID],TabCondicoesComerciais[Vol. 1ºGiro],0)</f>
        <v>340</v>
      </c>
      <c r="R9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00" s="1">
        <f xml:space="preserve"> IF(BD_Receitas[[#This Row],[TIPO DE COBRANÇA]]="Operação Normal",
_xlfn.XLOOKUP(BD_Receitas[[#This Row],[ID]],TabCondicoesComerciais[ID],TabCondicoesComerciais[Tarifa 2º Giro],0),0)</f>
        <v>0</v>
      </c>
      <c r="T9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1" spans="1:24" hidden="1" x14ac:dyDescent="0.35">
      <c r="A901" s="3" t="s">
        <v>274</v>
      </c>
      <c r="B901" s="11">
        <v>46113</v>
      </c>
      <c r="C901" t="s">
        <v>31</v>
      </c>
      <c r="D901" t="s">
        <v>202</v>
      </c>
      <c r="E901" t="s">
        <v>36</v>
      </c>
      <c r="F901" s="10" t="s">
        <v>48</v>
      </c>
      <c r="G901" s="3" t="s">
        <v>49</v>
      </c>
      <c r="H901" s="3" t="s">
        <v>52</v>
      </c>
      <c r="I901" s="3" t="s">
        <v>7</v>
      </c>
      <c r="J901" s="1">
        <v>0</v>
      </c>
      <c r="K901" s="12">
        <v>0</v>
      </c>
      <c r="L901" s="1"/>
      <c r="M901" s="12"/>
      <c r="N901"/>
      <c r="O901"/>
      <c r="P901" s="2" t="str">
        <f>IF(BD_Receitas[[#This Row],[TIPO DE COBRANÇA]]="Operação Normal",
_xlfn.XLOOKUP(BD_Receitas[[#This Row],[ID]],TabCondicoesComerciais[ID],TabCondicoesComerciais[Volume mínimo 
(m3)],0),"")</f>
        <v/>
      </c>
      <c r="Q901" s="2">
        <f>_xlfn.XLOOKUP(BD_Receitas[[#This Row],[ID]],TabCondicoesComerciais[ID],TabCondicoesComerciais[Vol. 1ºGiro],0)</f>
        <v>360</v>
      </c>
      <c r="R9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01" s="1">
        <f xml:space="preserve"> IF(BD_Receitas[[#This Row],[TIPO DE COBRANÇA]]="Operação Normal",
_xlfn.XLOOKUP(BD_Receitas[[#This Row],[ID]],TabCondicoesComerciais[ID],TabCondicoesComerciais[Tarifa 2º Giro],0),0)</f>
        <v>0</v>
      </c>
      <c r="T9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2" spans="1:24" hidden="1" x14ac:dyDescent="0.35">
      <c r="A902" s="3" t="s">
        <v>274</v>
      </c>
      <c r="B902" s="11">
        <v>46113</v>
      </c>
      <c r="C902" t="s">
        <v>31</v>
      </c>
      <c r="D902" t="s">
        <v>202</v>
      </c>
      <c r="E902" t="s">
        <v>36</v>
      </c>
      <c r="F902" s="10" t="s">
        <v>48</v>
      </c>
      <c r="G902" s="3" t="s">
        <v>49</v>
      </c>
      <c r="H902" s="3" t="s">
        <v>52</v>
      </c>
      <c r="I902" s="3" t="s">
        <v>8</v>
      </c>
      <c r="J902" s="1">
        <v>0</v>
      </c>
      <c r="K902" s="12">
        <v>0</v>
      </c>
      <c r="L902" s="1"/>
      <c r="M902" s="12"/>
      <c r="N902"/>
      <c r="O902"/>
      <c r="P902" s="2" t="str">
        <f>IF(BD_Receitas[[#This Row],[TIPO DE COBRANÇA]]="Operação Normal",
_xlfn.XLOOKUP(BD_Receitas[[#This Row],[ID]],TabCondicoesComerciais[ID],TabCondicoesComerciais[Volume mínimo 
(m3)],0),"")</f>
        <v/>
      </c>
      <c r="Q902" s="2">
        <f>_xlfn.XLOOKUP(BD_Receitas[[#This Row],[ID]],TabCondicoesComerciais[ID],TabCondicoesComerciais[Vol. 1ºGiro],0)</f>
        <v>360</v>
      </c>
      <c r="R9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02" s="1">
        <f xml:space="preserve"> IF(BD_Receitas[[#This Row],[TIPO DE COBRANÇA]]="Operação Normal",
_xlfn.XLOOKUP(BD_Receitas[[#This Row],[ID]],TabCondicoesComerciais[ID],TabCondicoesComerciais[Tarifa 2º Giro],0),0)</f>
        <v>0</v>
      </c>
      <c r="T9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3" spans="1:24" hidden="1" x14ac:dyDescent="0.35">
      <c r="A903" s="3" t="s">
        <v>274</v>
      </c>
      <c r="B903" s="11">
        <v>46113</v>
      </c>
      <c r="C903" t="s">
        <v>31</v>
      </c>
      <c r="D903" t="s">
        <v>202</v>
      </c>
      <c r="E903" t="s">
        <v>36</v>
      </c>
      <c r="F903" s="10" t="s">
        <v>48</v>
      </c>
      <c r="G903" s="3" t="s">
        <v>49</v>
      </c>
      <c r="H903" s="3" t="s">
        <v>52</v>
      </c>
      <c r="I903" s="3" t="s">
        <v>15</v>
      </c>
      <c r="J903" s="1">
        <v>89789.3701</v>
      </c>
      <c r="K903" s="12">
        <v>2040</v>
      </c>
      <c r="L903" s="1">
        <v>89586.8</v>
      </c>
      <c r="M903" s="12">
        <v>479.51299999999998</v>
      </c>
      <c r="N903" t="s">
        <v>302</v>
      </c>
      <c r="O903" t="s">
        <v>312</v>
      </c>
      <c r="P903" s="2">
        <f>IF(BD_Receitas[[#This Row],[TIPO DE COBRANÇA]]="Operação Normal",
_xlfn.XLOOKUP(BD_Receitas[[#This Row],[ID]],TabCondicoesComerciais[ID],TabCondicoesComerciais[Volume mínimo 
(m3)],0),"")</f>
        <v>2040</v>
      </c>
      <c r="Q903" s="2">
        <f>_xlfn.XLOOKUP(BD_Receitas[[#This Row],[ID]],TabCondicoesComerciais[ID],TabCondicoesComerciais[Vol. 1ºGiro],0)</f>
        <v>360</v>
      </c>
      <c r="R9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903" s="1">
        <f xml:space="preserve"> IF(BD_Receitas[[#This Row],[TIPO DE COBRANÇA]]="Operação Normal",
_xlfn.XLOOKUP(BD_Receitas[[#This Row],[ID]],TabCondicoesComerciais[ID],TabCondicoesComerciais[Tarifa 2º Giro],0),0)</f>
        <v>43.92</v>
      </c>
      <c r="T903" s="5">
        <f>IFERROR(IF(BD_Receitas[[#This Row],[TIPO DE COBRANÇA]]&lt;&gt;"Operação Normal","",BD_Receitas[[#This Row],[Valor Total R$]]/ MAX(BD_Receitas[[#This Row],[Vol. Movimentado M³]],
BD_Receitas[[#This Row],[Volume Mínimo ]])
),0)</f>
        <v>43.915098039215685</v>
      </c>
      <c r="U9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186.8287199721384</v>
      </c>
      <c r="V9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9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21060.21096</v>
      </c>
      <c r="X9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04" spans="1:24" hidden="1" x14ac:dyDescent="0.35">
      <c r="A904" s="3" t="s">
        <v>274</v>
      </c>
      <c r="B904" s="11">
        <v>46113</v>
      </c>
      <c r="C904" t="s">
        <v>31</v>
      </c>
      <c r="D904" t="s">
        <v>202</v>
      </c>
      <c r="E904" t="s">
        <v>36</v>
      </c>
      <c r="F904" s="10" t="s">
        <v>48</v>
      </c>
      <c r="G904" s="3" t="s">
        <v>49</v>
      </c>
      <c r="H904" s="3" t="s">
        <v>52</v>
      </c>
      <c r="I904" s="3" t="s">
        <v>65</v>
      </c>
      <c r="J904" s="1">
        <v>0</v>
      </c>
      <c r="K904" s="12">
        <v>0</v>
      </c>
      <c r="L904" s="1"/>
      <c r="M904" s="12"/>
      <c r="N904"/>
      <c r="O904"/>
      <c r="P904" s="2" t="str">
        <f>IF(BD_Receitas[[#This Row],[TIPO DE COBRANÇA]]="Operação Normal",
_xlfn.XLOOKUP(BD_Receitas[[#This Row],[ID]],TabCondicoesComerciais[ID],TabCondicoesComerciais[Volume mínimo 
(m3)],0),"")</f>
        <v/>
      </c>
      <c r="Q904" s="2">
        <f>_xlfn.XLOOKUP(BD_Receitas[[#This Row],[ID]],TabCondicoesComerciais[ID],TabCondicoesComerciais[Vol. 1ºGiro],0)</f>
        <v>360</v>
      </c>
      <c r="R9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04" s="1">
        <f xml:space="preserve"> IF(BD_Receitas[[#This Row],[TIPO DE COBRANÇA]]="Operação Normal",
_xlfn.XLOOKUP(BD_Receitas[[#This Row],[ID]],TabCondicoesComerciais[ID],TabCondicoesComerciais[Tarifa 2º Giro],0),0)</f>
        <v>0</v>
      </c>
      <c r="T9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5" spans="1:24" hidden="1" x14ac:dyDescent="0.35">
      <c r="A905" s="3" t="s">
        <v>275</v>
      </c>
      <c r="B905" s="11">
        <v>46113</v>
      </c>
      <c r="C905" t="s">
        <v>31</v>
      </c>
      <c r="D905" t="s">
        <v>202</v>
      </c>
      <c r="E905" t="s">
        <v>36</v>
      </c>
      <c r="F905" s="10" t="s">
        <v>48</v>
      </c>
      <c r="G905" s="3" t="s">
        <v>49</v>
      </c>
      <c r="H905" s="3" t="s">
        <v>14</v>
      </c>
      <c r="I905" s="3" t="s">
        <v>7</v>
      </c>
      <c r="J905" s="1">
        <v>0</v>
      </c>
      <c r="K905" s="12">
        <v>0</v>
      </c>
      <c r="L905" s="1"/>
      <c r="M905" s="12"/>
      <c r="N905"/>
      <c r="O905"/>
      <c r="P905" s="2" t="str">
        <f>IF(BD_Receitas[[#This Row],[TIPO DE COBRANÇA]]="Operação Normal",
_xlfn.XLOOKUP(BD_Receitas[[#This Row],[ID]],TabCondicoesComerciais[ID],TabCondicoesComerciais[Volume mínimo 
(m3)],0),"")</f>
        <v/>
      </c>
      <c r="Q905" s="2">
        <f>_xlfn.XLOOKUP(BD_Receitas[[#This Row],[ID]],TabCondicoesComerciais[ID],TabCondicoesComerciais[Vol. 1ºGiro],0)</f>
        <v>365</v>
      </c>
      <c r="R9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05" s="1">
        <f xml:space="preserve"> IF(BD_Receitas[[#This Row],[TIPO DE COBRANÇA]]="Operação Normal",
_xlfn.XLOOKUP(BD_Receitas[[#This Row],[ID]],TabCondicoesComerciais[ID],TabCondicoesComerciais[Tarifa 2º Giro],0),0)</f>
        <v>0</v>
      </c>
      <c r="T9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6" spans="1:24" hidden="1" x14ac:dyDescent="0.35">
      <c r="A906" s="3" t="s">
        <v>275</v>
      </c>
      <c r="B906" s="11">
        <v>46113</v>
      </c>
      <c r="C906" t="s">
        <v>31</v>
      </c>
      <c r="D906" t="s">
        <v>202</v>
      </c>
      <c r="E906" t="s">
        <v>36</v>
      </c>
      <c r="F906" s="10" t="s">
        <v>48</v>
      </c>
      <c r="G906" s="3" t="s">
        <v>49</v>
      </c>
      <c r="H906" s="3" t="s">
        <v>14</v>
      </c>
      <c r="I906" s="3" t="s">
        <v>8</v>
      </c>
      <c r="J906" s="1">
        <v>0</v>
      </c>
      <c r="K906" s="12">
        <v>0</v>
      </c>
      <c r="L906" s="1"/>
      <c r="M906" s="12"/>
      <c r="N906"/>
      <c r="O906"/>
      <c r="P906" s="2" t="str">
        <f>IF(BD_Receitas[[#This Row],[TIPO DE COBRANÇA]]="Operação Normal",
_xlfn.XLOOKUP(BD_Receitas[[#This Row],[ID]],TabCondicoesComerciais[ID],TabCondicoesComerciais[Volume mínimo 
(m3)],0),"")</f>
        <v/>
      </c>
      <c r="Q906" s="2">
        <f>_xlfn.XLOOKUP(BD_Receitas[[#This Row],[ID]],TabCondicoesComerciais[ID],TabCondicoesComerciais[Vol. 1ºGiro],0)</f>
        <v>365</v>
      </c>
      <c r="R9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06" s="1">
        <f xml:space="preserve"> IF(BD_Receitas[[#This Row],[TIPO DE COBRANÇA]]="Operação Normal",
_xlfn.XLOOKUP(BD_Receitas[[#This Row],[ID]],TabCondicoesComerciais[ID],TabCondicoesComerciais[Tarifa 2º Giro],0),0)</f>
        <v>0</v>
      </c>
      <c r="T9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7" spans="1:24" hidden="1" x14ac:dyDescent="0.35">
      <c r="A907" s="3" t="s">
        <v>275</v>
      </c>
      <c r="B907" s="11">
        <v>46113</v>
      </c>
      <c r="C907" t="s">
        <v>31</v>
      </c>
      <c r="D907" t="s">
        <v>202</v>
      </c>
      <c r="E907" t="s">
        <v>36</v>
      </c>
      <c r="F907" s="10" t="s">
        <v>48</v>
      </c>
      <c r="G907" s="3" t="s">
        <v>49</v>
      </c>
      <c r="H907" s="3" t="s">
        <v>14</v>
      </c>
      <c r="I907" s="3" t="s">
        <v>15</v>
      </c>
      <c r="J907" s="1">
        <v>28839.059300000001</v>
      </c>
      <c r="K907" s="12">
        <v>1500</v>
      </c>
      <c r="L907" s="1">
        <v>17718.48</v>
      </c>
      <c r="M907" s="12">
        <v>736.673</v>
      </c>
      <c r="N907" t="s">
        <v>336</v>
      </c>
      <c r="O907" t="s">
        <v>312</v>
      </c>
      <c r="P907" s="2">
        <f>IF(BD_Receitas[[#This Row],[TIPO DE COBRANÇA]]="Operação Normal",
_xlfn.XLOOKUP(BD_Receitas[[#This Row],[ID]],TabCondicoesComerciais[ID],TabCondicoesComerciais[Volume mínimo 
(m3)],0),"")</f>
        <v>936</v>
      </c>
      <c r="Q907" s="2">
        <f>_xlfn.XLOOKUP(BD_Receitas[[#This Row],[ID]],TabCondicoesComerciais[ID],TabCondicoesComerciais[Vol. 1ºGiro],0)</f>
        <v>365</v>
      </c>
      <c r="R9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907" s="1">
        <f xml:space="preserve"> IF(BD_Receitas[[#This Row],[TIPO DE COBRANÇA]]="Operação Normal",
_xlfn.XLOOKUP(BD_Receitas[[#This Row],[ID]],TabCondicoesComerciais[ID],TabCondicoesComerciais[Tarifa 2º Giro],0),0)</f>
        <v>18.93</v>
      </c>
      <c r="T907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9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24.052028511972068</v>
      </c>
      <c r="V9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9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13945.21989</v>
      </c>
      <c r="X9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08" spans="1:24" hidden="1" x14ac:dyDescent="0.35">
      <c r="A908" s="3" t="s">
        <v>275</v>
      </c>
      <c r="B908" s="11">
        <v>46113</v>
      </c>
      <c r="C908" t="s">
        <v>31</v>
      </c>
      <c r="D908" t="s">
        <v>202</v>
      </c>
      <c r="E908" t="s">
        <v>36</v>
      </c>
      <c r="F908" s="10" t="s">
        <v>48</v>
      </c>
      <c r="G908" s="3" t="s">
        <v>49</v>
      </c>
      <c r="H908" s="3" t="s">
        <v>14</v>
      </c>
      <c r="I908" s="3" t="s">
        <v>65</v>
      </c>
      <c r="J908" s="1">
        <v>0</v>
      </c>
      <c r="K908" s="12">
        <v>0</v>
      </c>
      <c r="L908" s="1"/>
      <c r="M908" s="12"/>
      <c r="N908"/>
      <c r="O908"/>
      <c r="P908" s="2" t="str">
        <f>IF(BD_Receitas[[#This Row],[TIPO DE COBRANÇA]]="Operação Normal",
_xlfn.XLOOKUP(BD_Receitas[[#This Row],[ID]],TabCondicoesComerciais[ID],TabCondicoesComerciais[Volume mínimo 
(m3)],0),"")</f>
        <v/>
      </c>
      <c r="Q908" s="2">
        <f>_xlfn.XLOOKUP(BD_Receitas[[#This Row],[ID]],TabCondicoesComerciais[ID],TabCondicoesComerciais[Vol. 1ºGiro],0)</f>
        <v>365</v>
      </c>
      <c r="R9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08" s="1">
        <f xml:space="preserve"> IF(BD_Receitas[[#This Row],[TIPO DE COBRANÇA]]="Operação Normal",
_xlfn.XLOOKUP(BD_Receitas[[#This Row],[ID]],TabCondicoesComerciais[ID],TabCondicoesComerciais[Tarifa 2º Giro],0),0)</f>
        <v>0</v>
      </c>
      <c r="T9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09" spans="1:24" hidden="1" x14ac:dyDescent="0.35">
      <c r="A909" s="3" t="s">
        <v>208</v>
      </c>
      <c r="B909" s="11">
        <v>46113</v>
      </c>
      <c r="C909" t="s">
        <v>31</v>
      </c>
      <c r="D909" t="s">
        <v>202</v>
      </c>
      <c r="E909" t="s">
        <v>35</v>
      </c>
      <c r="F909" s="10" t="s">
        <v>22</v>
      </c>
      <c r="G909" s="3" t="s">
        <v>11</v>
      </c>
      <c r="H909" s="3" t="s">
        <v>207</v>
      </c>
      <c r="I909" s="3" t="s">
        <v>7</v>
      </c>
      <c r="J909" s="1">
        <v>0</v>
      </c>
      <c r="K909" s="12">
        <v>0</v>
      </c>
      <c r="L909" s="1">
        <v>10531.45</v>
      </c>
      <c r="M909" s="12">
        <v>1006</v>
      </c>
      <c r="N909" t="s">
        <v>330</v>
      </c>
      <c r="O909"/>
      <c r="P909" s="2" t="str">
        <f>IF(BD_Receitas[[#This Row],[TIPO DE COBRANÇA]]="Operação Normal",
_xlfn.XLOOKUP(BD_Receitas[[#This Row],[ID]],TabCondicoesComerciais[ID],TabCondicoesComerciais[Volume mínimo 
(m3)],0),"")</f>
        <v/>
      </c>
      <c r="Q909" s="2">
        <f>_xlfn.XLOOKUP(BD_Receitas[[#This Row],[ID]],TabCondicoesComerciais[ID],TabCondicoesComerciais[Vol. 1ºGiro],0)</f>
        <v>625</v>
      </c>
      <c r="R9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909" s="1">
        <f xml:space="preserve"> IF(BD_Receitas[[#This Row],[TIPO DE COBRANÇA]]="Operação Normal",
_xlfn.XLOOKUP(BD_Receitas[[#This Row],[ID]],TabCondicoesComerciais[ID],TabCondicoesComerciais[Tarifa 2º Giro],0),0)</f>
        <v>0</v>
      </c>
      <c r="T9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0" spans="1:24" hidden="1" x14ac:dyDescent="0.35">
      <c r="A910" s="3" t="s">
        <v>208</v>
      </c>
      <c r="B910" s="11">
        <v>46113</v>
      </c>
      <c r="C910" t="s">
        <v>31</v>
      </c>
      <c r="D910" t="s">
        <v>202</v>
      </c>
      <c r="E910" t="s">
        <v>35</v>
      </c>
      <c r="F910" s="10" t="s">
        <v>22</v>
      </c>
      <c r="G910" s="3" t="s">
        <v>11</v>
      </c>
      <c r="H910" s="3" t="s">
        <v>207</v>
      </c>
      <c r="I910" s="3" t="s">
        <v>8</v>
      </c>
      <c r="J910" s="1">
        <v>0</v>
      </c>
      <c r="K910" s="12">
        <v>0</v>
      </c>
      <c r="L910" s="1">
        <v>7385.22</v>
      </c>
      <c r="M910" s="12">
        <v>726</v>
      </c>
      <c r="N910" t="s">
        <v>330</v>
      </c>
      <c r="O910"/>
      <c r="P910" s="2" t="str">
        <f>IF(BD_Receitas[[#This Row],[TIPO DE COBRANÇA]]="Operação Normal",
_xlfn.XLOOKUP(BD_Receitas[[#This Row],[ID]],TabCondicoesComerciais[ID],TabCondicoesComerciais[Volume mínimo 
(m3)],0),"")</f>
        <v/>
      </c>
      <c r="Q910" s="2">
        <f>_xlfn.XLOOKUP(BD_Receitas[[#This Row],[ID]],TabCondicoesComerciais[ID],TabCondicoesComerciais[Vol. 1ºGiro],0)</f>
        <v>625</v>
      </c>
      <c r="R9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910" s="1">
        <f xml:space="preserve"> IF(BD_Receitas[[#This Row],[TIPO DE COBRANÇA]]="Operação Normal",
_xlfn.XLOOKUP(BD_Receitas[[#This Row],[ID]],TabCondicoesComerciais[ID],TabCondicoesComerciais[Tarifa 2º Giro],0),0)</f>
        <v>0</v>
      </c>
      <c r="T9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1" spans="1:24" hidden="1" x14ac:dyDescent="0.35">
      <c r="A911" s="3" t="s">
        <v>208</v>
      </c>
      <c r="B911" s="11">
        <v>46113</v>
      </c>
      <c r="C911" t="s">
        <v>31</v>
      </c>
      <c r="D911" t="s">
        <v>202</v>
      </c>
      <c r="E911" t="s">
        <v>35</v>
      </c>
      <c r="F911" s="10" t="s">
        <v>22</v>
      </c>
      <c r="G911" s="3" t="s">
        <v>11</v>
      </c>
      <c r="H911" s="3" t="s">
        <v>207</v>
      </c>
      <c r="I911" s="3" t="s">
        <v>15</v>
      </c>
      <c r="J911" s="1">
        <v>45394.74</v>
      </c>
      <c r="K911" s="12">
        <v>1875</v>
      </c>
      <c r="L911" s="1">
        <v>65576.63</v>
      </c>
      <c r="M911" s="12">
        <v>2546</v>
      </c>
      <c r="N911" t="s">
        <v>330</v>
      </c>
      <c r="O911"/>
      <c r="P911" s="2">
        <f>IF(BD_Receitas[[#This Row],[TIPO DE COBRANÇA]]="Operação Normal",
_xlfn.XLOOKUP(BD_Receitas[[#This Row],[ID]],TabCondicoesComerciais[ID],TabCondicoesComerciais[Volume mínimo 
(m3)],0),"")</f>
        <v>1875</v>
      </c>
      <c r="Q911" s="2">
        <f>_xlfn.XLOOKUP(BD_Receitas[[#This Row],[ID]],TabCondicoesComerciais[ID],TabCondicoesComerciais[Vol. 1ºGiro],0)</f>
        <v>625</v>
      </c>
      <c r="R9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911" s="1">
        <f xml:space="preserve"> IF(BD_Receitas[[#This Row],[TIPO DE COBRANÇA]]="Operação Normal",
_xlfn.XLOOKUP(BD_Receitas[[#This Row],[ID]],TabCondicoesComerciais[ID],TabCondicoesComerciais[Tarifa 2º Giro],0),0)</f>
        <v>33</v>
      </c>
      <c r="T911" s="5">
        <f>IFERROR(IF(BD_Receitas[[#This Row],[TIPO DE COBRANÇA]]&lt;&gt;"Operação Normal","",BD_Receitas[[#This Row],[Valor Total R$]]/ MAX(BD_Receitas[[#This Row],[Vol. Movimentado M³]],
BD_Receitas[[#This Row],[Volume Mínimo ]])
),0)</f>
        <v>25.756728201099765</v>
      </c>
      <c r="U9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32.793912018853106</v>
      </c>
      <c r="V9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9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84018</v>
      </c>
      <c r="X9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12" spans="1:24" hidden="1" x14ac:dyDescent="0.35">
      <c r="A912" s="3" t="s">
        <v>208</v>
      </c>
      <c r="B912" s="11">
        <v>46113</v>
      </c>
      <c r="C912" t="s">
        <v>31</v>
      </c>
      <c r="D912" t="s">
        <v>202</v>
      </c>
      <c r="E912" t="s">
        <v>35</v>
      </c>
      <c r="F912" s="10" t="s">
        <v>22</v>
      </c>
      <c r="G912" s="3" t="s">
        <v>11</v>
      </c>
      <c r="H912" s="3" t="s">
        <v>207</v>
      </c>
      <c r="I912" s="3" t="s">
        <v>65</v>
      </c>
      <c r="J912" s="1">
        <v>0</v>
      </c>
      <c r="K912" s="12">
        <v>0</v>
      </c>
      <c r="L912" s="1"/>
      <c r="M912" s="12"/>
      <c r="N912"/>
      <c r="O912"/>
      <c r="P912" s="2" t="str">
        <f>IF(BD_Receitas[[#This Row],[TIPO DE COBRANÇA]]="Operação Normal",
_xlfn.XLOOKUP(BD_Receitas[[#This Row],[ID]],TabCondicoesComerciais[ID],TabCondicoesComerciais[Volume mínimo 
(m3)],0),"")</f>
        <v/>
      </c>
      <c r="Q912" s="2">
        <f>_xlfn.XLOOKUP(BD_Receitas[[#This Row],[ID]],TabCondicoesComerciais[ID],TabCondicoesComerciais[Vol. 1ºGiro],0)</f>
        <v>625</v>
      </c>
      <c r="R9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12" s="1">
        <f xml:space="preserve"> IF(BD_Receitas[[#This Row],[TIPO DE COBRANÇA]]="Operação Normal",
_xlfn.XLOOKUP(BD_Receitas[[#This Row],[ID]],TabCondicoesComerciais[ID],TabCondicoesComerciais[Tarifa 2º Giro],0),0)</f>
        <v>0</v>
      </c>
      <c r="T9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3" spans="1:24" hidden="1" x14ac:dyDescent="0.35">
      <c r="A913" s="3" t="s">
        <v>190</v>
      </c>
      <c r="B913" s="11">
        <v>46113</v>
      </c>
      <c r="C913" t="s">
        <v>31</v>
      </c>
      <c r="D913" t="s">
        <v>202</v>
      </c>
      <c r="E913" t="s">
        <v>35</v>
      </c>
      <c r="F913" s="10" t="s">
        <v>22</v>
      </c>
      <c r="G913" s="3" t="s">
        <v>11</v>
      </c>
      <c r="H913" s="3" t="s">
        <v>116</v>
      </c>
      <c r="I913" s="3" t="s">
        <v>7</v>
      </c>
      <c r="J913" s="1">
        <v>0</v>
      </c>
      <c r="K913" s="12">
        <v>0</v>
      </c>
      <c r="L913" s="1"/>
      <c r="M913" s="12"/>
      <c r="N913"/>
      <c r="O913"/>
      <c r="P913" s="2" t="str">
        <f>IF(BD_Receitas[[#This Row],[TIPO DE COBRANÇA]]="Operação Normal",
_xlfn.XLOOKUP(BD_Receitas[[#This Row],[ID]],TabCondicoesComerciais[ID],TabCondicoesComerciais[Volume mínimo 
(m3)],0),"")</f>
        <v/>
      </c>
      <c r="Q913" s="2">
        <f>_xlfn.XLOOKUP(BD_Receitas[[#This Row],[ID]],TabCondicoesComerciais[ID],TabCondicoesComerciais[Vol. 1ºGiro],0)</f>
        <v>580</v>
      </c>
      <c r="R9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13" s="1">
        <f xml:space="preserve"> IF(BD_Receitas[[#This Row],[TIPO DE COBRANÇA]]="Operação Normal",
_xlfn.XLOOKUP(BD_Receitas[[#This Row],[ID]],TabCondicoesComerciais[ID],TabCondicoesComerciais[Tarifa 2º Giro],0),0)</f>
        <v>0</v>
      </c>
      <c r="T9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4" spans="1:24" hidden="1" x14ac:dyDescent="0.35">
      <c r="A914" s="3" t="s">
        <v>190</v>
      </c>
      <c r="B914" s="11">
        <v>46113</v>
      </c>
      <c r="C914" t="s">
        <v>31</v>
      </c>
      <c r="D914" t="s">
        <v>202</v>
      </c>
      <c r="E914" t="s">
        <v>35</v>
      </c>
      <c r="F914" s="10" t="s">
        <v>22</v>
      </c>
      <c r="G914" s="3" t="s">
        <v>11</v>
      </c>
      <c r="H914" s="3" t="s">
        <v>116</v>
      </c>
      <c r="I914" s="3" t="s">
        <v>8</v>
      </c>
      <c r="J914" s="1">
        <v>0</v>
      </c>
      <c r="K914" s="12">
        <v>0</v>
      </c>
      <c r="L914" s="1"/>
      <c r="M914" s="12"/>
      <c r="N914"/>
      <c r="O914"/>
      <c r="P914" s="2" t="str">
        <f>IF(BD_Receitas[[#This Row],[TIPO DE COBRANÇA]]="Operação Normal",
_xlfn.XLOOKUP(BD_Receitas[[#This Row],[ID]],TabCondicoesComerciais[ID],TabCondicoesComerciais[Volume mínimo 
(m3)],0),"")</f>
        <v/>
      </c>
      <c r="Q914" s="2">
        <f>_xlfn.XLOOKUP(BD_Receitas[[#This Row],[ID]],TabCondicoesComerciais[ID],TabCondicoesComerciais[Vol. 1ºGiro],0)</f>
        <v>580</v>
      </c>
      <c r="R9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14" s="1">
        <f xml:space="preserve"> IF(BD_Receitas[[#This Row],[TIPO DE COBRANÇA]]="Operação Normal",
_xlfn.XLOOKUP(BD_Receitas[[#This Row],[ID]],TabCondicoesComerciais[ID],TabCondicoesComerciais[Tarifa 2º Giro],0),0)</f>
        <v>0</v>
      </c>
      <c r="T9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5" spans="1:24" hidden="1" x14ac:dyDescent="0.35">
      <c r="A915" s="3" t="s">
        <v>190</v>
      </c>
      <c r="B915" s="11">
        <v>46113</v>
      </c>
      <c r="C915" t="s">
        <v>31</v>
      </c>
      <c r="D915" t="s">
        <v>202</v>
      </c>
      <c r="E915" t="s">
        <v>35</v>
      </c>
      <c r="F915" s="10" t="s">
        <v>22</v>
      </c>
      <c r="G915" s="3" t="s">
        <v>11</v>
      </c>
      <c r="H915" s="3" t="s">
        <v>116</v>
      </c>
      <c r="I915" s="3" t="s">
        <v>15</v>
      </c>
      <c r="J915" s="1">
        <v>59115.789499999999</v>
      </c>
      <c r="K915" s="12">
        <v>2000</v>
      </c>
      <c r="L915" s="1"/>
      <c r="M915" s="12"/>
      <c r="N915"/>
      <c r="O915"/>
      <c r="P915" s="2">
        <f>IF(BD_Receitas[[#This Row],[TIPO DE COBRANÇA]]="Operação Normal",
_xlfn.XLOOKUP(BD_Receitas[[#This Row],[ID]],TabCondicoesComerciais[ID],TabCondicoesComerciais[Volume mínimo 
(m3)],0),"")</f>
        <v>2000</v>
      </c>
      <c r="Q915" s="2">
        <f>_xlfn.XLOOKUP(BD_Receitas[[#This Row],[ID]],TabCondicoesComerciais[ID],TabCondicoesComerciais[Vol. 1ºGiro],0)</f>
        <v>580</v>
      </c>
      <c r="R9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915" s="1">
        <f xml:space="preserve"> IF(BD_Receitas[[#This Row],[TIPO DE COBRANÇA]]="Operação Normal",
_xlfn.XLOOKUP(BD_Receitas[[#This Row],[ID]],TabCondicoesComerciais[ID],TabCondicoesComerciais[Tarifa 2º Giro],0),0)</f>
        <v>27</v>
      </c>
      <c r="T91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9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16" spans="1:24" hidden="1" x14ac:dyDescent="0.35">
      <c r="A916" s="3" t="s">
        <v>190</v>
      </c>
      <c r="B916" s="11">
        <v>46113</v>
      </c>
      <c r="C916" t="s">
        <v>31</v>
      </c>
      <c r="D916" t="s">
        <v>202</v>
      </c>
      <c r="E916" t="s">
        <v>35</v>
      </c>
      <c r="F916" s="10" t="s">
        <v>22</v>
      </c>
      <c r="G916" s="3" t="s">
        <v>11</v>
      </c>
      <c r="H916" s="3" t="s">
        <v>116</v>
      </c>
      <c r="I916" s="3" t="s">
        <v>65</v>
      </c>
      <c r="J916" s="1">
        <v>0</v>
      </c>
      <c r="K916" s="12">
        <v>0</v>
      </c>
      <c r="L916" s="1"/>
      <c r="M916" s="12"/>
      <c r="N916"/>
      <c r="O916"/>
      <c r="P916" s="2" t="str">
        <f>IF(BD_Receitas[[#This Row],[TIPO DE COBRANÇA]]="Operação Normal",
_xlfn.XLOOKUP(BD_Receitas[[#This Row],[ID]],TabCondicoesComerciais[ID],TabCondicoesComerciais[Volume mínimo 
(m3)],0),"")</f>
        <v/>
      </c>
      <c r="Q916" s="2">
        <f>_xlfn.XLOOKUP(BD_Receitas[[#This Row],[ID]],TabCondicoesComerciais[ID],TabCondicoesComerciais[Vol. 1ºGiro],0)</f>
        <v>580</v>
      </c>
      <c r="R9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16" s="1">
        <f xml:space="preserve"> IF(BD_Receitas[[#This Row],[TIPO DE COBRANÇA]]="Operação Normal",
_xlfn.XLOOKUP(BD_Receitas[[#This Row],[ID]],TabCondicoesComerciais[ID],TabCondicoesComerciais[Tarifa 2º Giro],0),0)</f>
        <v>0</v>
      </c>
      <c r="T9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7" spans="1:24" hidden="1" x14ac:dyDescent="0.35">
      <c r="A917" s="3" t="s">
        <v>172</v>
      </c>
      <c r="B917" s="11">
        <v>46113</v>
      </c>
      <c r="C917" t="s">
        <v>31</v>
      </c>
      <c r="D917" t="s">
        <v>202</v>
      </c>
      <c r="E917" t="s">
        <v>35</v>
      </c>
      <c r="F917" s="10" t="s">
        <v>22</v>
      </c>
      <c r="G917" s="3" t="s">
        <v>11</v>
      </c>
      <c r="H917" s="3" t="s">
        <v>13</v>
      </c>
      <c r="I917" s="3" t="s">
        <v>7</v>
      </c>
      <c r="J917" s="1">
        <v>0</v>
      </c>
      <c r="K917" s="12">
        <v>0</v>
      </c>
      <c r="L917" s="1">
        <v>424.42</v>
      </c>
      <c r="M917" s="12">
        <v>48</v>
      </c>
      <c r="N917" t="s">
        <v>331</v>
      </c>
      <c r="O917"/>
      <c r="P917" s="2" t="str">
        <f>IF(BD_Receitas[[#This Row],[TIPO DE COBRANÇA]]="Operação Normal",
_xlfn.XLOOKUP(BD_Receitas[[#This Row],[ID]],TabCondicoesComerciais[ID],TabCondicoesComerciais[Volume mínimo 
(m3)],0),"")</f>
        <v/>
      </c>
      <c r="Q917" s="2">
        <f>_xlfn.XLOOKUP(BD_Receitas[[#This Row],[ID]],TabCondicoesComerciais[ID],TabCondicoesComerciais[Vol. 1ºGiro],0)</f>
        <v>750</v>
      </c>
      <c r="R9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917" s="1">
        <f xml:space="preserve"> IF(BD_Receitas[[#This Row],[TIPO DE COBRANÇA]]="Operação Normal",
_xlfn.XLOOKUP(BD_Receitas[[#This Row],[ID]],TabCondicoesComerciais[ID],TabCondicoesComerciais[Tarifa 2º Giro],0),0)</f>
        <v>0</v>
      </c>
      <c r="T9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8" spans="1:24" hidden="1" x14ac:dyDescent="0.35">
      <c r="A918" s="3" t="s">
        <v>172</v>
      </c>
      <c r="B918" s="11">
        <v>46113</v>
      </c>
      <c r="C918" t="s">
        <v>31</v>
      </c>
      <c r="D918" t="s">
        <v>202</v>
      </c>
      <c r="E918" t="s">
        <v>35</v>
      </c>
      <c r="F918" s="10" t="s">
        <v>22</v>
      </c>
      <c r="G918" s="3" t="s">
        <v>11</v>
      </c>
      <c r="H918" s="3" t="s">
        <v>13</v>
      </c>
      <c r="I918" s="3" t="s">
        <v>8</v>
      </c>
      <c r="J918" s="1">
        <v>0</v>
      </c>
      <c r="K918" s="12">
        <v>0</v>
      </c>
      <c r="L918" s="1">
        <v>5611.48</v>
      </c>
      <c r="M918" s="12">
        <v>631</v>
      </c>
      <c r="N918" t="s">
        <v>331</v>
      </c>
      <c r="O918"/>
      <c r="P918" s="2" t="str">
        <f>IF(BD_Receitas[[#This Row],[TIPO DE COBRANÇA]]="Operação Normal",
_xlfn.XLOOKUP(BD_Receitas[[#This Row],[ID]],TabCondicoesComerciais[ID],TabCondicoesComerciais[Volume mínimo 
(m3)],0),"")</f>
        <v/>
      </c>
      <c r="Q918" s="2">
        <f>_xlfn.XLOOKUP(BD_Receitas[[#This Row],[ID]],TabCondicoesComerciais[ID],TabCondicoesComerciais[Vol. 1ºGiro],0)</f>
        <v>750</v>
      </c>
      <c r="R9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918" s="1">
        <f xml:space="preserve"> IF(BD_Receitas[[#This Row],[TIPO DE COBRANÇA]]="Operação Normal",
_xlfn.XLOOKUP(BD_Receitas[[#This Row],[ID]],TabCondicoesComerciais[ID],TabCondicoesComerciais[Tarifa 2º Giro],0),0)</f>
        <v>0</v>
      </c>
      <c r="T9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19" spans="1:24" hidden="1" x14ac:dyDescent="0.35">
      <c r="A919" s="3" t="s">
        <v>172</v>
      </c>
      <c r="B919" s="11">
        <v>46113</v>
      </c>
      <c r="C919" t="s">
        <v>31</v>
      </c>
      <c r="D919" t="s">
        <v>202</v>
      </c>
      <c r="E919" t="s">
        <v>35</v>
      </c>
      <c r="F919" s="10" t="s">
        <v>22</v>
      </c>
      <c r="G919" s="3" t="s">
        <v>11</v>
      </c>
      <c r="H919" s="3" t="s">
        <v>13</v>
      </c>
      <c r="I919" s="3" t="s">
        <v>15</v>
      </c>
      <c r="J919" s="1">
        <v>0</v>
      </c>
      <c r="K919" s="12">
        <v>0</v>
      </c>
      <c r="L919" s="1">
        <v>60922.85</v>
      </c>
      <c r="M919" s="12">
        <v>2594</v>
      </c>
      <c r="N919" t="s">
        <v>331</v>
      </c>
      <c r="O919"/>
      <c r="P919" s="2">
        <f>IF(BD_Receitas[[#This Row],[TIPO DE COBRANÇA]]="Operação Normal",
_xlfn.XLOOKUP(BD_Receitas[[#This Row],[ID]],TabCondicoesComerciais[ID],TabCondicoesComerciais[Volume mínimo 
(m3)],0),"")</f>
        <v>0</v>
      </c>
      <c r="Q919" s="2">
        <f>_xlfn.XLOOKUP(BD_Receitas[[#This Row],[ID]],TabCondicoesComerciais[ID],TabCondicoesComerciais[Vol. 1ºGiro],0)</f>
        <v>750</v>
      </c>
      <c r="R9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919" s="1">
        <f xml:space="preserve"> IF(BD_Receitas[[#This Row],[TIPO DE COBRANÇA]]="Operação Normal",
_xlfn.XLOOKUP(BD_Receitas[[#This Row],[ID]],TabCondicoesComerciais[ID],TabCondicoesComerciais[Tarifa 2º Giro],0),0)</f>
        <v>22.2</v>
      </c>
      <c r="T919" s="5">
        <f>IFERROR(IF(BD_Receitas[[#This Row],[TIPO DE COBRANÇA]]&lt;&gt;"Operação Normal","",BD_Receitas[[#This Row],[Valor Total R$]]/ MAX(BD_Receitas[[#This Row],[Vol. Movimentado M³]],
BD_Receitas[[#This Row],[Volume Mínimo ]])
),0)</f>
        <v>23.48606399383192</v>
      </c>
      <c r="U9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25.81293369313801</v>
      </c>
      <c r="V9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9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57586.799999999996</v>
      </c>
      <c r="X9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20" spans="1:24" hidden="1" x14ac:dyDescent="0.35">
      <c r="A920" s="3" t="s">
        <v>172</v>
      </c>
      <c r="B920" s="11">
        <v>46113</v>
      </c>
      <c r="C920" t="s">
        <v>31</v>
      </c>
      <c r="D920" t="s">
        <v>202</v>
      </c>
      <c r="E920" t="s">
        <v>35</v>
      </c>
      <c r="F920" s="10" t="s">
        <v>22</v>
      </c>
      <c r="G920" s="3" t="s">
        <v>11</v>
      </c>
      <c r="H920" s="3" t="s">
        <v>13</v>
      </c>
      <c r="I920" s="3" t="s">
        <v>65</v>
      </c>
      <c r="J920" s="1">
        <v>0</v>
      </c>
      <c r="K920" s="12">
        <v>0</v>
      </c>
      <c r="L920" s="1"/>
      <c r="M920" s="12"/>
      <c r="N920"/>
      <c r="O920"/>
      <c r="P920" s="2" t="str">
        <f>IF(BD_Receitas[[#This Row],[TIPO DE COBRANÇA]]="Operação Normal",
_xlfn.XLOOKUP(BD_Receitas[[#This Row],[ID]],TabCondicoesComerciais[ID],TabCondicoesComerciais[Volume mínimo 
(m3)],0),"")</f>
        <v/>
      </c>
      <c r="Q920" s="2">
        <f>_xlfn.XLOOKUP(BD_Receitas[[#This Row],[ID]],TabCondicoesComerciais[ID],TabCondicoesComerciais[Vol. 1ºGiro],0)</f>
        <v>750</v>
      </c>
      <c r="R9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20" s="1">
        <f xml:space="preserve"> IF(BD_Receitas[[#This Row],[TIPO DE COBRANÇA]]="Operação Normal",
_xlfn.XLOOKUP(BD_Receitas[[#This Row],[ID]],TabCondicoesComerciais[ID],TabCondicoesComerciais[Tarifa 2º Giro],0),0)</f>
        <v>0</v>
      </c>
      <c r="T9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1" spans="1:24" hidden="1" x14ac:dyDescent="0.35">
      <c r="A921" s="3" t="s">
        <v>177</v>
      </c>
      <c r="B921" s="11">
        <v>46113</v>
      </c>
      <c r="C921" t="s">
        <v>31</v>
      </c>
      <c r="D921" t="s">
        <v>62</v>
      </c>
      <c r="E921" t="s">
        <v>33</v>
      </c>
      <c r="F921" s="10" t="s">
        <v>46</v>
      </c>
      <c r="G921" s="3" t="s">
        <v>87</v>
      </c>
      <c r="H921" s="3" t="s">
        <v>9</v>
      </c>
      <c r="I921" s="3" t="s">
        <v>7</v>
      </c>
      <c r="J921" s="1">
        <v>0</v>
      </c>
      <c r="K921" s="12">
        <v>0</v>
      </c>
      <c r="L921" s="1"/>
      <c r="M921" s="12"/>
      <c r="N921"/>
      <c r="O921"/>
      <c r="P921" s="2" t="str">
        <f>IF(BD_Receitas[[#This Row],[TIPO DE COBRANÇA]]="Operação Normal",
_xlfn.XLOOKUP(BD_Receitas[[#This Row],[ID]],TabCondicoesComerciais[ID],TabCondicoesComerciais[Volume mínimo 
(m3)],0),"")</f>
        <v/>
      </c>
      <c r="Q921" s="2">
        <f>_xlfn.XLOOKUP(BD_Receitas[[#This Row],[ID]],TabCondicoesComerciais[ID],TabCondicoesComerciais[Vol. 1ºGiro],0)</f>
        <v>1070</v>
      </c>
      <c r="R9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921" s="1">
        <f xml:space="preserve"> IF(BD_Receitas[[#This Row],[TIPO DE COBRANÇA]]="Operação Normal",
_xlfn.XLOOKUP(BD_Receitas[[#This Row],[ID]],TabCondicoesComerciais[ID],TabCondicoesComerciais[Tarifa 2º Giro],0),0)</f>
        <v>0</v>
      </c>
      <c r="T9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2" spans="1:24" hidden="1" x14ac:dyDescent="0.35">
      <c r="A922" s="3" t="s">
        <v>177</v>
      </c>
      <c r="B922" s="11">
        <v>46113</v>
      </c>
      <c r="C922" t="s">
        <v>31</v>
      </c>
      <c r="D922" t="s">
        <v>62</v>
      </c>
      <c r="E922" t="s">
        <v>33</v>
      </c>
      <c r="F922" s="10" t="s">
        <v>46</v>
      </c>
      <c r="G922" s="3" t="s">
        <v>87</v>
      </c>
      <c r="H922" s="3" t="s">
        <v>9</v>
      </c>
      <c r="I922" s="3" t="s">
        <v>8</v>
      </c>
      <c r="J922" s="1">
        <v>0</v>
      </c>
      <c r="K922" s="12">
        <v>0</v>
      </c>
      <c r="L922" s="1"/>
      <c r="M922" s="12"/>
      <c r="N922"/>
      <c r="O922"/>
      <c r="P922" s="2" t="str">
        <f>IF(BD_Receitas[[#This Row],[TIPO DE COBRANÇA]]="Operação Normal",
_xlfn.XLOOKUP(BD_Receitas[[#This Row],[ID]],TabCondicoesComerciais[ID],TabCondicoesComerciais[Volume mínimo 
(m3)],0),"")</f>
        <v/>
      </c>
      <c r="Q922" s="2">
        <f>_xlfn.XLOOKUP(BD_Receitas[[#This Row],[ID]],TabCondicoesComerciais[ID],TabCondicoesComerciais[Vol. 1ºGiro],0)</f>
        <v>1070</v>
      </c>
      <c r="R9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922" s="1">
        <f xml:space="preserve"> IF(BD_Receitas[[#This Row],[TIPO DE COBRANÇA]]="Operação Normal",
_xlfn.XLOOKUP(BD_Receitas[[#This Row],[ID]],TabCondicoesComerciais[ID],TabCondicoesComerciais[Tarifa 2º Giro],0),0)</f>
        <v>0</v>
      </c>
      <c r="T9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3" spans="1:24" hidden="1" x14ac:dyDescent="0.35">
      <c r="A923" s="3" t="s">
        <v>177</v>
      </c>
      <c r="B923" s="11">
        <v>46113</v>
      </c>
      <c r="C923" t="s">
        <v>31</v>
      </c>
      <c r="D923" t="s">
        <v>62</v>
      </c>
      <c r="E923" t="s">
        <v>33</v>
      </c>
      <c r="F923" s="10" t="s">
        <v>46</v>
      </c>
      <c r="G923" s="3" t="s">
        <v>87</v>
      </c>
      <c r="H923" s="3" t="s">
        <v>9</v>
      </c>
      <c r="I923" s="3" t="s">
        <v>15</v>
      </c>
      <c r="J923" s="1">
        <v>137499.15789999999</v>
      </c>
      <c r="K923" s="12">
        <v>4200</v>
      </c>
      <c r="L923" s="1"/>
      <c r="M923" s="12"/>
      <c r="N923"/>
      <c r="O923"/>
      <c r="P923" s="2">
        <f>IF(BD_Receitas[[#This Row],[TIPO DE COBRANÇA]]="Operação Normal",
_xlfn.XLOOKUP(BD_Receitas[[#This Row],[ID]],TabCondicoesComerciais[ID],TabCondicoesComerciais[Volume mínimo 
(m3)],0),"")</f>
        <v>3210</v>
      </c>
      <c r="Q923" s="2">
        <f>_xlfn.XLOOKUP(BD_Receitas[[#This Row],[ID]],TabCondicoesComerciais[ID],TabCondicoesComerciais[Vol. 1ºGiro],0)</f>
        <v>1070</v>
      </c>
      <c r="R9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923" s="1">
        <f xml:space="preserve"> IF(BD_Receitas[[#This Row],[TIPO DE COBRANÇA]]="Operação Normal",
_xlfn.XLOOKUP(BD_Receitas[[#This Row],[ID]],TabCondicoesComerciais[ID],TabCondicoesComerciais[Tarifa 2º Giro],0),0)</f>
        <v>32.64</v>
      </c>
      <c r="T92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9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24" spans="1:24" hidden="1" x14ac:dyDescent="0.35">
      <c r="A924" s="3" t="s">
        <v>177</v>
      </c>
      <c r="B924" s="11">
        <v>46113</v>
      </c>
      <c r="C924" t="s">
        <v>31</v>
      </c>
      <c r="D924" t="s">
        <v>62</v>
      </c>
      <c r="E924" t="s">
        <v>33</v>
      </c>
      <c r="F924" s="10" t="s">
        <v>46</v>
      </c>
      <c r="G924" s="3" t="s">
        <v>87</v>
      </c>
      <c r="H924" s="3" t="s">
        <v>9</v>
      </c>
      <c r="I924" s="3" t="s">
        <v>65</v>
      </c>
      <c r="J924" s="1">
        <v>0</v>
      </c>
      <c r="K924" s="12">
        <v>0</v>
      </c>
      <c r="L924" s="1"/>
      <c r="M924" s="12"/>
      <c r="N924"/>
      <c r="O924"/>
      <c r="P924" s="2" t="str">
        <f>IF(BD_Receitas[[#This Row],[TIPO DE COBRANÇA]]="Operação Normal",
_xlfn.XLOOKUP(BD_Receitas[[#This Row],[ID]],TabCondicoesComerciais[ID],TabCondicoesComerciais[Volume mínimo 
(m3)],0),"")</f>
        <v/>
      </c>
      <c r="Q924" s="2">
        <f>_xlfn.XLOOKUP(BD_Receitas[[#This Row],[ID]],TabCondicoesComerciais[ID],TabCondicoesComerciais[Vol. 1ºGiro],0)</f>
        <v>1070</v>
      </c>
      <c r="R9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24" s="1">
        <f xml:space="preserve"> IF(BD_Receitas[[#This Row],[TIPO DE COBRANÇA]]="Operação Normal",
_xlfn.XLOOKUP(BD_Receitas[[#This Row],[ID]],TabCondicoesComerciais[ID],TabCondicoesComerciais[Tarifa 2º Giro],0),0)</f>
        <v>0</v>
      </c>
      <c r="T9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5" spans="1:24" hidden="1" x14ac:dyDescent="0.35">
      <c r="A925" s="3" t="s">
        <v>200</v>
      </c>
      <c r="B925" s="11">
        <v>46113</v>
      </c>
      <c r="C925" t="s">
        <v>31</v>
      </c>
      <c r="D925" t="s">
        <v>203</v>
      </c>
      <c r="E925" t="s">
        <v>32</v>
      </c>
      <c r="F925" s="10" t="s">
        <v>25</v>
      </c>
      <c r="G925" s="3" t="s">
        <v>12</v>
      </c>
      <c r="H925" s="3" t="s">
        <v>10</v>
      </c>
      <c r="I925" s="3" t="s">
        <v>7</v>
      </c>
      <c r="J925" s="1">
        <v>0</v>
      </c>
      <c r="K925" s="12">
        <v>0</v>
      </c>
      <c r="L925" s="1">
        <v>2102.0100000000002</v>
      </c>
      <c r="M925" s="12">
        <v>75.072000000000003</v>
      </c>
      <c r="N925"/>
      <c r="O925" t="s">
        <v>129</v>
      </c>
      <c r="P925" s="2" t="str">
        <f>IF(BD_Receitas[[#This Row],[TIPO DE COBRANÇA]]="Operação Normal",
_xlfn.XLOOKUP(BD_Receitas[[#This Row],[ID]],TabCondicoesComerciais[ID],TabCondicoesComerciais[Volume mínimo 
(m3)],0),"")</f>
        <v/>
      </c>
      <c r="Q925" s="2">
        <f>_xlfn.XLOOKUP(BD_Receitas[[#This Row],[ID]],TabCondicoesComerciais[ID],TabCondicoesComerciais[Vol. 1ºGiro],0)</f>
        <v>2000</v>
      </c>
      <c r="R9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25" s="1">
        <f xml:space="preserve"> IF(BD_Receitas[[#This Row],[TIPO DE COBRANÇA]]="Operação Normal",
_xlfn.XLOOKUP(BD_Receitas[[#This Row],[ID]],TabCondicoesComerciais[ID],TabCondicoesComerciais[Tarifa 2º Giro],0),0)</f>
        <v>0</v>
      </c>
      <c r="T9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6" spans="1:24" hidden="1" x14ac:dyDescent="0.35">
      <c r="A926" s="3" t="s">
        <v>200</v>
      </c>
      <c r="B926" s="11">
        <v>46113</v>
      </c>
      <c r="C926" t="s">
        <v>31</v>
      </c>
      <c r="D926" t="s">
        <v>203</v>
      </c>
      <c r="E926" t="s">
        <v>32</v>
      </c>
      <c r="F926" s="10" t="s">
        <v>25</v>
      </c>
      <c r="G926" s="3" t="s">
        <v>12</v>
      </c>
      <c r="H926" s="3" t="s">
        <v>10</v>
      </c>
      <c r="I926" s="3" t="s">
        <v>8</v>
      </c>
      <c r="J926" s="1">
        <v>0</v>
      </c>
      <c r="K926" s="12">
        <v>0</v>
      </c>
      <c r="L926" s="1"/>
      <c r="M926" s="12"/>
      <c r="N926"/>
      <c r="O926"/>
      <c r="P926" s="2" t="str">
        <f>IF(BD_Receitas[[#This Row],[TIPO DE COBRANÇA]]="Operação Normal",
_xlfn.XLOOKUP(BD_Receitas[[#This Row],[ID]],TabCondicoesComerciais[ID],TabCondicoesComerciais[Volume mínimo 
(m3)],0),"")</f>
        <v/>
      </c>
      <c r="Q926" s="2">
        <f>_xlfn.XLOOKUP(BD_Receitas[[#This Row],[ID]],TabCondicoesComerciais[ID],TabCondicoesComerciais[Vol. 1ºGiro],0)</f>
        <v>2000</v>
      </c>
      <c r="R9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26" s="1">
        <f xml:space="preserve"> IF(BD_Receitas[[#This Row],[TIPO DE COBRANÇA]]="Operação Normal",
_xlfn.XLOOKUP(BD_Receitas[[#This Row],[ID]],TabCondicoesComerciais[ID],TabCondicoesComerciais[Tarifa 2º Giro],0),0)</f>
        <v>0</v>
      </c>
      <c r="T9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7" spans="1:24" hidden="1" x14ac:dyDescent="0.35">
      <c r="A927" s="3" t="s">
        <v>200</v>
      </c>
      <c r="B927" s="11">
        <v>46113</v>
      </c>
      <c r="C927" t="s">
        <v>31</v>
      </c>
      <c r="D927" t="s">
        <v>203</v>
      </c>
      <c r="E927" t="s">
        <v>32</v>
      </c>
      <c r="F927" s="10" t="s">
        <v>25</v>
      </c>
      <c r="G927" s="3" t="s">
        <v>12</v>
      </c>
      <c r="H927" s="3" t="s">
        <v>10</v>
      </c>
      <c r="I927" s="3" t="s">
        <v>15</v>
      </c>
      <c r="J927" s="1">
        <v>0</v>
      </c>
      <c r="K927" s="12">
        <v>0</v>
      </c>
      <c r="L927" s="1">
        <v>225037.8</v>
      </c>
      <c r="M927" s="12">
        <v>11251.89</v>
      </c>
      <c r="N927"/>
      <c r="O927" t="s">
        <v>155</v>
      </c>
      <c r="P927" s="2">
        <f>IF(BD_Receitas[[#This Row],[TIPO DE COBRANÇA]]="Operação Normal",
_xlfn.XLOOKUP(BD_Receitas[[#This Row],[ID]],TabCondicoesComerciais[ID],TabCondicoesComerciais[Volume mínimo 
(m3)],0),"")</f>
        <v>8000</v>
      </c>
      <c r="Q927" s="2">
        <f>_xlfn.XLOOKUP(BD_Receitas[[#This Row],[ID]],TabCondicoesComerciais[ID],TabCondicoesComerciais[Vol. 1ºGiro],0)</f>
        <v>2000</v>
      </c>
      <c r="R9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927" s="1">
        <f xml:space="preserve"> IF(BD_Receitas[[#This Row],[TIPO DE COBRANÇA]]="Operação Normal",
_xlfn.XLOOKUP(BD_Receitas[[#This Row],[ID]],TabCondicoesComerciais[ID],TabCondicoesComerciais[Tarifa 2º Giro],0),0)</f>
        <v>20</v>
      </c>
      <c r="T927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9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20.186813948589972</v>
      </c>
      <c r="V9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9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225037.8</v>
      </c>
      <c r="X9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928" spans="1:24" hidden="1" x14ac:dyDescent="0.35">
      <c r="A928" s="3" t="s">
        <v>200</v>
      </c>
      <c r="B928" s="11">
        <v>46113</v>
      </c>
      <c r="C928" t="s">
        <v>31</v>
      </c>
      <c r="D928" t="s">
        <v>203</v>
      </c>
      <c r="E928" t="s">
        <v>32</v>
      </c>
      <c r="F928" s="10" t="s">
        <v>25</v>
      </c>
      <c r="G928" s="3" t="s">
        <v>12</v>
      </c>
      <c r="H928" s="3" t="s">
        <v>10</v>
      </c>
      <c r="I928" s="3" t="s">
        <v>65</v>
      </c>
      <c r="J928" s="1">
        <v>0</v>
      </c>
      <c r="K928" s="12">
        <v>0</v>
      </c>
      <c r="L928" s="1"/>
      <c r="M928" s="12"/>
      <c r="N928"/>
      <c r="O928"/>
      <c r="P928" s="2" t="str">
        <f>IF(BD_Receitas[[#This Row],[TIPO DE COBRANÇA]]="Operação Normal",
_xlfn.XLOOKUP(BD_Receitas[[#This Row],[ID]],TabCondicoesComerciais[ID],TabCondicoesComerciais[Volume mínimo 
(m3)],0),"")</f>
        <v/>
      </c>
      <c r="Q928" s="2">
        <f>_xlfn.XLOOKUP(BD_Receitas[[#This Row],[ID]],TabCondicoesComerciais[ID],TabCondicoesComerciais[Vol. 1ºGiro],0)</f>
        <v>2000</v>
      </c>
      <c r="R9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28" s="1">
        <f xml:space="preserve"> IF(BD_Receitas[[#This Row],[TIPO DE COBRANÇA]]="Operação Normal",
_xlfn.XLOOKUP(BD_Receitas[[#This Row],[ID]],TabCondicoesComerciais[ID],TabCondicoesComerciais[Tarifa 2º Giro],0),0)</f>
        <v>0</v>
      </c>
      <c r="T9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29" spans="1:24" hidden="1" x14ac:dyDescent="0.35">
      <c r="A929" s="3" t="s">
        <v>264</v>
      </c>
      <c r="B929" s="11">
        <v>46113</v>
      </c>
      <c r="C929" t="s">
        <v>31</v>
      </c>
      <c r="D929" t="s">
        <v>203</v>
      </c>
      <c r="E929" t="s">
        <v>32</v>
      </c>
      <c r="F929" s="10" t="s">
        <v>25</v>
      </c>
      <c r="G929" s="3" t="s">
        <v>12</v>
      </c>
      <c r="H929" s="3" t="s">
        <v>9</v>
      </c>
      <c r="I929" s="3" t="s">
        <v>7</v>
      </c>
      <c r="J929" s="1">
        <v>0</v>
      </c>
      <c r="K929" s="12">
        <v>0</v>
      </c>
      <c r="L929" s="1">
        <v>10577.67</v>
      </c>
      <c r="M929" s="12">
        <v>973.10699999999997</v>
      </c>
      <c r="N929"/>
      <c r="O929" t="s">
        <v>129</v>
      </c>
      <c r="P929" s="2" t="str">
        <f>IF(BD_Receitas[[#This Row],[TIPO DE COBRANÇA]]="Operação Normal",
_xlfn.XLOOKUP(BD_Receitas[[#This Row],[ID]],TabCondicoesComerciais[ID],TabCondicoesComerciais[Volume mínimo 
(m3)],0),"")</f>
        <v/>
      </c>
      <c r="Q929" s="2">
        <f>_xlfn.XLOOKUP(BD_Receitas[[#This Row],[ID]],TabCondicoesComerciais[ID],TabCondicoesComerciais[Vol. 1ºGiro],0)</f>
        <v>1125</v>
      </c>
      <c r="R9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929" s="1">
        <f xml:space="preserve"> IF(BD_Receitas[[#This Row],[TIPO DE COBRANÇA]]="Operação Normal",
_xlfn.XLOOKUP(BD_Receitas[[#This Row],[ID]],TabCondicoesComerciais[ID],TabCondicoesComerciais[Tarifa 2º Giro],0),0)</f>
        <v>0</v>
      </c>
      <c r="T9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0" spans="1:24" hidden="1" x14ac:dyDescent="0.35">
      <c r="A930" s="3" t="s">
        <v>264</v>
      </c>
      <c r="B930" s="11">
        <v>46113</v>
      </c>
      <c r="C930" t="s">
        <v>31</v>
      </c>
      <c r="D930" t="s">
        <v>203</v>
      </c>
      <c r="E930" t="s">
        <v>32</v>
      </c>
      <c r="F930" s="10" t="s">
        <v>25</v>
      </c>
      <c r="G930" s="3" t="s">
        <v>12</v>
      </c>
      <c r="H930" s="3" t="s">
        <v>9</v>
      </c>
      <c r="I930" s="3" t="s">
        <v>8</v>
      </c>
      <c r="J930" s="1">
        <v>0</v>
      </c>
      <c r="K930" s="12">
        <v>0</v>
      </c>
      <c r="L930" s="1"/>
      <c r="M930" s="12"/>
      <c r="N930"/>
      <c r="O930"/>
      <c r="P930" s="2" t="str">
        <f>IF(BD_Receitas[[#This Row],[TIPO DE COBRANÇA]]="Operação Normal",
_xlfn.XLOOKUP(BD_Receitas[[#This Row],[ID]],TabCondicoesComerciais[ID],TabCondicoesComerciais[Volume mínimo 
(m3)],0),"")</f>
        <v/>
      </c>
      <c r="Q930" s="2">
        <f>_xlfn.XLOOKUP(BD_Receitas[[#This Row],[ID]],TabCondicoesComerciais[ID],TabCondicoesComerciais[Vol. 1ºGiro],0)</f>
        <v>1125</v>
      </c>
      <c r="R9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930" s="1">
        <f xml:space="preserve"> IF(BD_Receitas[[#This Row],[TIPO DE COBRANÇA]]="Operação Normal",
_xlfn.XLOOKUP(BD_Receitas[[#This Row],[ID]],TabCondicoesComerciais[ID],TabCondicoesComerciais[Tarifa 2º Giro],0),0)</f>
        <v>0</v>
      </c>
      <c r="T9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1" spans="1:24" hidden="1" x14ac:dyDescent="0.35">
      <c r="A931" s="3" t="s">
        <v>264</v>
      </c>
      <c r="B931" s="11">
        <v>46113</v>
      </c>
      <c r="C931" t="s">
        <v>31</v>
      </c>
      <c r="D931" t="s">
        <v>203</v>
      </c>
      <c r="E931" t="s">
        <v>32</v>
      </c>
      <c r="F931" s="10" t="s">
        <v>25</v>
      </c>
      <c r="G931" s="3" t="s">
        <v>12</v>
      </c>
      <c r="H931" s="3" t="s">
        <v>9</v>
      </c>
      <c r="I931" s="3" t="s">
        <v>15</v>
      </c>
      <c r="J931" s="1">
        <v>164947.60920000001</v>
      </c>
      <c r="K931" s="12">
        <v>6100</v>
      </c>
      <c r="L931" s="1">
        <v>144674.45000000001</v>
      </c>
      <c r="M931" s="12">
        <v>5320.87</v>
      </c>
      <c r="N931"/>
      <c r="O931" t="s">
        <v>155</v>
      </c>
      <c r="P931" s="2">
        <f>IF(BD_Receitas[[#This Row],[TIPO DE COBRANÇA]]="Operação Normal",
_xlfn.XLOOKUP(BD_Receitas[[#This Row],[ID]],TabCondicoesComerciais[ID],TabCondicoesComerciais[Volume mínimo 
(m3)],0),"")</f>
        <v>5625</v>
      </c>
      <c r="Q931" s="2">
        <f>_xlfn.XLOOKUP(BD_Receitas[[#This Row],[ID]],TabCondicoesComerciais[ID],TabCondicoesComerciais[Vol. 1ºGiro],0)</f>
        <v>1125</v>
      </c>
      <c r="R9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931" s="1">
        <f xml:space="preserve"> IF(BD_Receitas[[#This Row],[TIPO DE COBRANÇA]]="Operação Normal",
_xlfn.XLOOKUP(BD_Receitas[[#This Row],[ID]],TabCondicoesComerciais[ID],TabCondicoesComerciais[Tarifa 2º Giro],0),0)</f>
        <v>27.19</v>
      </c>
      <c r="T931" s="5">
        <f>IFERROR(IF(BD_Receitas[[#This Row],[TIPO DE COBRANÇA]]&lt;&gt;"Operação Normal","",BD_Receitas[[#This Row],[Valor Total R$]]/ MAX(BD_Receitas[[#This Row],[Vol. Movimentado M³]],
BD_Receitas[[#This Row],[Volume Mínimo ]])
),0)</f>
        <v>25.719902222222224</v>
      </c>
      <c r="U9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29.177957739993651</v>
      </c>
      <c r="V9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9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144674.4553</v>
      </c>
      <c r="X9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32" spans="1:24" hidden="1" x14ac:dyDescent="0.35">
      <c r="A932" s="3" t="s">
        <v>264</v>
      </c>
      <c r="B932" s="11">
        <v>46113</v>
      </c>
      <c r="C932" t="s">
        <v>31</v>
      </c>
      <c r="D932" t="s">
        <v>203</v>
      </c>
      <c r="E932" t="s">
        <v>32</v>
      </c>
      <c r="F932" s="10" t="s">
        <v>25</v>
      </c>
      <c r="G932" s="3" t="s">
        <v>12</v>
      </c>
      <c r="H932" s="3" t="s">
        <v>9</v>
      </c>
      <c r="I932" s="3" t="s">
        <v>65</v>
      </c>
      <c r="J932" s="1">
        <v>0</v>
      </c>
      <c r="K932" s="12">
        <v>0</v>
      </c>
      <c r="L932" s="1"/>
      <c r="M932" s="12"/>
      <c r="N932"/>
      <c r="O932"/>
      <c r="P932" s="2" t="str">
        <f>IF(BD_Receitas[[#This Row],[TIPO DE COBRANÇA]]="Operação Normal",
_xlfn.XLOOKUP(BD_Receitas[[#This Row],[ID]],TabCondicoesComerciais[ID],TabCondicoesComerciais[Volume mínimo 
(m3)],0),"")</f>
        <v/>
      </c>
      <c r="Q932" s="2">
        <f>_xlfn.XLOOKUP(BD_Receitas[[#This Row],[ID]],TabCondicoesComerciais[ID],TabCondicoesComerciais[Vol. 1ºGiro],0)</f>
        <v>1125</v>
      </c>
      <c r="R9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32" s="1">
        <f xml:space="preserve"> IF(BD_Receitas[[#This Row],[TIPO DE COBRANÇA]]="Operação Normal",
_xlfn.XLOOKUP(BD_Receitas[[#This Row],[ID]],TabCondicoesComerciais[ID],TabCondicoesComerciais[Tarifa 2º Giro],0),0)</f>
        <v>0</v>
      </c>
      <c r="T9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3" spans="1:24" hidden="1" x14ac:dyDescent="0.35">
      <c r="A933" s="3" t="s">
        <v>264</v>
      </c>
      <c r="B933" s="11">
        <v>46113</v>
      </c>
      <c r="C933" t="s">
        <v>31</v>
      </c>
      <c r="D933" t="s">
        <v>62</v>
      </c>
      <c r="E933" t="s">
        <v>37</v>
      </c>
      <c r="F933" s="10" t="s">
        <v>57</v>
      </c>
      <c r="G933" s="3" t="s">
        <v>58</v>
      </c>
      <c r="H933" s="3" t="s">
        <v>10</v>
      </c>
      <c r="I933" s="3" t="s">
        <v>7</v>
      </c>
      <c r="J933" s="1">
        <v>0</v>
      </c>
      <c r="K933" s="12">
        <v>0</v>
      </c>
      <c r="L933" s="1"/>
      <c r="M933" s="12"/>
      <c r="N933"/>
      <c r="O933"/>
      <c r="P933" s="2" t="str">
        <f>IF(BD_Receitas[[#This Row],[TIPO DE COBRANÇA]]="Operação Normal",
_xlfn.XLOOKUP(BD_Receitas[[#This Row],[ID]],TabCondicoesComerciais[ID],TabCondicoesComerciais[Volume mínimo 
(m3)],0),"")</f>
        <v/>
      </c>
      <c r="Q933" s="2">
        <f>_xlfn.XLOOKUP(BD_Receitas[[#This Row],[ID]],TabCondicoesComerciais[ID],TabCondicoesComerciais[Vol. 1ºGiro],0)</f>
        <v>1125</v>
      </c>
      <c r="R9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933" s="1">
        <f xml:space="preserve"> IF(BD_Receitas[[#This Row],[TIPO DE COBRANÇA]]="Operação Normal",
_xlfn.XLOOKUP(BD_Receitas[[#This Row],[ID]],TabCondicoesComerciais[ID],TabCondicoesComerciais[Tarifa 2º Giro],0),0)</f>
        <v>0</v>
      </c>
      <c r="T9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4" spans="1:24" hidden="1" x14ac:dyDescent="0.35">
      <c r="A934" s="3" t="s">
        <v>134</v>
      </c>
      <c r="B934" s="11">
        <v>46113</v>
      </c>
      <c r="C934" t="s">
        <v>31</v>
      </c>
      <c r="D934" t="s">
        <v>62</v>
      </c>
      <c r="E934" t="s">
        <v>37</v>
      </c>
      <c r="F934" s="10" t="s">
        <v>57</v>
      </c>
      <c r="G934" s="3" t="s">
        <v>58</v>
      </c>
      <c r="H934" s="3" t="s">
        <v>10</v>
      </c>
      <c r="I934" s="3" t="s">
        <v>8</v>
      </c>
      <c r="J934" s="1">
        <v>0</v>
      </c>
      <c r="K934" s="12">
        <v>0</v>
      </c>
      <c r="L934" s="1"/>
      <c r="M934" s="12"/>
      <c r="N934"/>
      <c r="O934"/>
      <c r="P934" s="2" t="str">
        <f>IF(BD_Receitas[[#This Row],[TIPO DE COBRANÇA]]="Operação Normal",
_xlfn.XLOOKUP(BD_Receitas[[#This Row],[ID]],TabCondicoesComerciais[ID],TabCondicoesComerciais[Volume mínimo 
(m3)],0),"")</f>
        <v/>
      </c>
      <c r="Q934" s="2">
        <f>_xlfn.XLOOKUP(BD_Receitas[[#This Row],[ID]],TabCondicoesComerciais[ID],TabCondicoesComerciais[Vol. 1ºGiro],0)</f>
        <v>310</v>
      </c>
      <c r="R9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934" s="1">
        <f xml:space="preserve"> IF(BD_Receitas[[#This Row],[TIPO DE COBRANÇA]]="Operação Normal",
_xlfn.XLOOKUP(BD_Receitas[[#This Row],[ID]],TabCondicoesComerciais[ID],TabCondicoesComerciais[Tarifa 2º Giro],0),0)</f>
        <v>0</v>
      </c>
      <c r="T9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5" spans="1:24" hidden="1" x14ac:dyDescent="0.35">
      <c r="A935" s="3" t="s">
        <v>134</v>
      </c>
      <c r="B935" s="11">
        <v>46113</v>
      </c>
      <c r="C935" t="s">
        <v>31</v>
      </c>
      <c r="D935" t="s">
        <v>62</v>
      </c>
      <c r="E935" t="s">
        <v>37</v>
      </c>
      <c r="F935" s="10" t="s">
        <v>57</v>
      </c>
      <c r="G935" s="3" t="s">
        <v>58</v>
      </c>
      <c r="H935" s="3" t="s">
        <v>10</v>
      </c>
      <c r="I935" s="3" t="s">
        <v>15</v>
      </c>
      <c r="J935" s="1">
        <v>17311.068899999998</v>
      </c>
      <c r="K935" s="12">
        <v>550</v>
      </c>
      <c r="L935" s="1"/>
      <c r="M935" s="12"/>
      <c r="N935"/>
      <c r="O935"/>
      <c r="P935" s="2">
        <f>IF(BD_Receitas[[#This Row],[TIPO DE COBRANÇA]]="Operação Normal",
_xlfn.XLOOKUP(BD_Receitas[[#This Row],[ID]],TabCondicoesComerciais[ID],TabCondicoesComerciais[Volume mínimo 
(m3)],0),"")</f>
        <v>1100</v>
      </c>
      <c r="Q935" s="2">
        <f>_xlfn.XLOOKUP(BD_Receitas[[#This Row],[ID]],TabCondicoesComerciais[ID],TabCondicoesComerciais[Vol. 1ºGiro],0)</f>
        <v>310</v>
      </c>
      <c r="R9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935" s="1">
        <f xml:space="preserve"> IF(BD_Receitas[[#This Row],[TIPO DE COBRANÇA]]="Operação Normal",
_xlfn.XLOOKUP(BD_Receitas[[#This Row],[ID]],TabCondicoesComerciais[ID],TabCondicoesComerciais[Tarifa 2º Giro],0),0)</f>
        <v>31.04</v>
      </c>
      <c r="T93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9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36" spans="1:24" hidden="1" x14ac:dyDescent="0.35">
      <c r="A936" s="3" t="s">
        <v>134</v>
      </c>
      <c r="B936" s="11">
        <v>46113</v>
      </c>
      <c r="C936" t="s">
        <v>31</v>
      </c>
      <c r="D936" t="s">
        <v>62</v>
      </c>
      <c r="E936" t="s">
        <v>37</v>
      </c>
      <c r="F936" s="10" t="s">
        <v>57</v>
      </c>
      <c r="G936" s="3" t="s">
        <v>58</v>
      </c>
      <c r="H936" s="3" t="s">
        <v>10</v>
      </c>
      <c r="I936" s="3" t="s">
        <v>65</v>
      </c>
      <c r="J936" s="1">
        <v>0</v>
      </c>
      <c r="K936" s="12">
        <v>0</v>
      </c>
      <c r="L936" s="1"/>
      <c r="M936" s="12"/>
      <c r="N936"/>
      <c r="O936"/>
      <c r="P936" s="2" t="str">
        <f>IF(BD_Receitas[[#This Row],[TIPO DE COBRANÇA]]="Operação Normal",
_xlfn.XLOOKUP(BD_Receitas[[#This Row],[ID]],TabCondicoesComerciais[ID],TabCondicoesComerciais[Volume mínimo 
(m3)],0),"")</f>
        <v/>
      </c>
      <c r="Q936" s="2">
        <f>_xlfn.XLOOKUP(BD_Receitas[[#This Row],[ID]],TabCondicoesComerciais[ID],TabCondicoesComerciais[Vol. 1ºGiro],0)</f>
        <v>310</v>
      </c>
      <c r="R9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36" s="1">
        <f xml:space="preserve"> IF(BD_Receitas[[#This Row],[TIPO DE COBRANÇA]]="Operação Normal",
_xlfn.XLOOKUP(BD_Receitas[[#This Row],[ID]],TabCondicoesComerciais[ID],TabCondicoesComerciais[Tarifa 2º Giro],0),0)</f>
        <v>0</v>
      </c>
      <c r="T9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7" spans="1:24" hidden="1" x14ac:dyDescent="0.35">
      <c r="A937" s="3" t="s">
        <v>173</v>
      </c>
      <c r="B937" s="11">
        <v>46113</v>
      </c>
      <c r="C937" t="s">
        <v>31</v>
      </c>
      <c r="D937" t="s">
        <v>62</v>
      </c>
      <c r="E937" t="s">
        <v>37</v>
      </c>
      <c r="F937" s="10" t="s">
        <v>57</v>
      </c>
      <c r="G937" s="3" t="s">
        <v>58</v>
      </c>
      <c r="H937" s="3" t="s">
        <v>6</v>
      </c>
      <c r="I937" s="3" t="s">
        <v>7</v>
      </c>
      <c r="J937" s="1">
        <v>0</v>
      </c>
      <c r="K937" s="12">
        <v>0</v>
      </c>
      <c r="L937" s="1"/>
      <c r="M937" s="12"/>
      <c r="N937"/>
      <c r="O937"/>
      <c r="P937" s="2" t="str">
        <f>IF(BD_Receitas[[#This Row],[TIPO DE COBRANÇA]]="Operação Normal",
_xlfn.XLOOKUP(BD_Receitas[[#This Row],[ID]],TabCondicoesComerciais[ID],TabCondicoesComerciais[Volume mínimo 
(m3)],0),"")</f>
        <v/>
      </c>
      <c r="Q937" s="2">
        <f>_xlfn.XLOOKUP(BD_Receitas[[#This Row],[ID]],TabCondicoesComerciais[ID],TabCondicoesComerciais[Vol. 1ºGiro],0)</f>
        <v>1070</v>
      </c>
      <c r="R9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37" s="1">
        <f xml:space="preserve"> IF(BD_Receitas[[#This Row],[TIPO DE COBRANÇA]]="Operação Normal",
_xlfn.XLOOKUP(BD_Receitas[[#This Row],[ID]],TabCondicoesComerciais[ID],TabCondicoesComerciais[Tarifa 2º Giro],0),0)</f>
        <v>0</v>
      </c>
      <c r="T9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8" spans="1:24" hidden="1" x14ac:dyDescent="0.35">
      <c r="A938" s="3" t="s">
        <v>173</v>
      </c>
      <c r="B938" s="11">
        <v>46113</v>
      </c>
      <c r="C938" t="s">
        <v>31</v>
      </c>
      <c r="D938" t="s">
        <v>62</v>
      </c>
      <c r="E938" t="s">
        <v>37</v>
      </c>
      <c r="F938" s="10" t="s">
        <v>57</v>
      </c>
      <c r="G938" s="3" t="s">
        <v>58</v>
      </c>
      <c r="H938" s="3" t="s">
        <v>6</v>
      </c>
      <c r="I938" s="3" t="s">
        <v>8</v>
      </c>
      <c r="J938" s="1">
        <v>0</v>
      </c>
      <c r="K938" s="12">
        <v>0</v>
      </c>
      <c r="L938" s="1"/>
      <c r="M938" s="12"/>
      <c r="N938"/>
      <c r="O938"/>
      <c r="P938" s="2" t="str">
        <f>IF(BD_Receitas[[#This Row],[TIPO DE COBRANÇA]]="Operação Normal",
_xlfn.XLOOKUP(BD_Receitas[[#This Row],[ID]],TabCondicoesComerciais[ID],TabCondicoesComerciais[Volume mínimo 
(m3)],0),"")</f>
        <v/>
      </c>
      <c r="Q938" s="2">
        <f>_xlfn.XLOOKUP(BD_Receitas[[#This Row],[ID]],TabCondicoesComerciais[ID],TabCondicoesComerciais[Vol. 1ºGiro],0)</f>
        <v>1070</v>
      </c>
      <c r="R9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38" s="1">
        <f xml:space="preserve"> IF(BD_Receitas[[#This Row],[TIPO DE COBRANÇA]]="Operação Normal",
_xlfn.XLOOKUP(BD_Receitas[[#This Row],[ID]],TabCondicoesComerciais[ID],TabCondicoesComerciais[Tarifa 2º Giro],0),0)</f>
        <v>0</v>
      </c>
      <c r="T9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39" spans="1:24" hidden="1" x14ac:dyDescent="0.35">
      <c r="A939" s="3" t="s">
        <v>173</v>
      </c>
      <c r="B939" s="11">
        <v>46113</v>
      </c>
      <c r="C939" t="s">
        <v>31</v>
      </c>
      <c r="D939" t="s">
        <v>62</v>
      </c>
      <c r="E939" t="s">
        <v>37</v>
      </c>
      <c r="F939" s="10" t="s">
        <v>57</v>
      </c>
      <c r="G939" s="3" t="s">
        <v>58</v>
      </c>
      <c r="H939" s="3" t="s">
        <v>6</v>
      </c>
      <c r="I939" s="3" t="s">
        <v>15</v>
      </c>
      <c r="J939" s="1">
        <v>0</v>
      </c>
      <c r="K939" s="12">
        <v>0</v>
      </c>
      <c r="L939" s="1">
        <v>77286</v>
      </c>
      <c r="M939" s="12">
        <v>2952.643</v>
      </c>
      <c r="N939" t="s">
        <v>258</v>
      </c>
      <c r="O939" t="s">
        <v>329</v>
      </c>
      <c r="P939" s="2">
        <f>IF(BD_Receitas[[#This Row],[TIPO DE COBRANÇA]]="Operação Normal",
_xlfn.XLOOKUP(BD_Receitas[[#This Row],[ID]],TabCondicoesComerciais[ID],TabCondicoesComerciais[Volume mínimo 
(m3)],0),"")</f>
        <v>3300</v>
      </c>
      <c r="Q939" s="2">
        <f>_xlfn.XLOOKUP(BD_Receitas[[#This Row],[ID]],TabCondicoesComerciais[ID],TabCondicoesComerciais[Vol. 1ºGiro],0)</f>
        <v>1070</v>
      </c>
      <c r="R9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939" s="1">
        <f xml:space="preserve"> IF(BD_Receitas[[#This Row],[TIPO DE COBRANÇA]]="Operação Normal",
_xlfn.XLOOKUP(BD_Receitas[[#This Row],[ID]],TabCondicoesComerciais[ID],TabCondicoesComerciais[Tarifa 2º Giro],0),0)</f>
        <v>23.42</v>
      </c>
      <c r="T939" s="5">
        <f>IFERROR(IF(BD_Receitas[[#This Row],[TIPO DE COBRANÇA]]&lt;&gt;"Operação Normal","",BD_Receitas[[#This Row],[Valor Total R$]]/ MAX(BD_Receitas[[#This Row],[Vol. Movimentado M³]],
BD_Receitas[[#This Row],[Volume Mínimo ]])
),0)</f>
        <v>23.42</v>
      </c>
      <c r="U9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26.175192869574818</v>
      </c>
      <c r="V9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9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69150.899059999996</v>
      </c>
      <c r="X9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40" spans="1:24" hidden="1" x14ac:dyDescent="0.35">
      <c r="A940" s="3" t="s">
        <v>173</v>
      </c>
      <c r="B940" s="11">
        <v>46113</v>
      </c>
      <c r="C940" t="s">
        <v>31</v>
      </c>
      <c r="D940" t="s">
        <v>62</v>
      </c>
      <c r="E940" t="s">
        <v>37</v>
      </c>
      <c r="F940" s="10" t="s">
        <v>57</v>
      </c>
      <c r="G940" s="3" t="s">
        <v>58</v>
      </c>
      <c r="H940" s="3" t="s">
        <v>6</v>
      </c>
      <c r="I940" s="3" t="s">
        <v>65</v>
      </c>
      <c r="J940" s="1">
        <v>0</v>
      </c>
      <c r="K940" s="12">
        <v>0</v>
      </c>
      <c r="L940" s="1"/>
      <c r="M940" s="12"/>
      <c r="N940"/>
      <c r="O940"/>
      <c r="P940" s="2" t="str">
        <f>IF(BD_Receitas[[#This Row],[TIPO DE COBRANÇA]]="Operação Normal",
_xlfn.XLOOKUP(BD_Receitas[[#This Row],[ID]],TabCondicoesComerciais[ID],TabCondicoesComerciais[Volume mínimo 
(m3)],0),"")</f>
        <v/>
      </c>
      <c r="Q940" s="2">
        <f>_xlfn.XLOOKUP(BD_Receitas[[#This Row],[ID]],TabCondicoesComerciais[ID],TabCondicoesComerciais[Vol. 1ºGiro],0)</f>
        <v>1070</v>
      </c>
      <c r="R9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40" s="1">
        <f xml:space="preserve"> IF(BD_Receitas[[#This Row],[TIPO DE COBRANÇA]]="Operação Normal",
_xlfn.XLOOKUP(BD_Receitas[[#This Row],[ID]],TabCondicoesComerciais[ID],TabCondicoesComerciais[Tarifa 2º Giro],0),0)</f>
        <v>0</v>
      </c>
      <c r="T9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1" spans="1:24" x14ac:dyDescent="0.35">
      <c r="A941" s="3" t="s">
        <v>184</v>
      </c>
      <c r="B941" s="11">
        <v>46113</v>
      </c>
      <c r="C941" t="s">
        <v>31</v>
      </c>
      <c r="D941" t="s">
        <v>203</v>
      </c>
      <c r="E941" t="s">
        <v>34</v>
      </c>
      <c r="F941" s="10" t="s">
        <v>26</v>
      </c>
      <c r="G941" s="3" t="s">
        <v>19</v>
      </c>
      <c r="H941" s="3" t="s">
        <v>13</v>
      </c>
      <c r="I941" s="3" t="s">
        <v>7</v>
      </c>
      <c r="J941" s="1">
        <v>0</v>
      </c>
      <c r="K941" s="12">
        <v>0</v>
      </c>
      <c r="L941" s="1"/>
      <c r="M941" s="12"/>
      <c r="N941"/>
      <c r="O941"/>
      <c r="P941" s="2" t="str">
        <f>IF(BD_Receitas[[#This Row],[TIPO DE COBRANÇA]]="Operação Normal",
_xlfn.XLOOKUP(BD_Receitas[[#This Row],[ID]],TabCondicoesComerciais[ID],TabCondicoesComerciais[Volume mínimo 
(m3)],0),"")</f>
        <v/>
      </c>
      <c r="Q941" s="2">
        <f>_xlfn.XLOOKUP(BD_Receitas[[#This Row],[ID]],TabCondicoesComerciais[ID],TabCondicoesComerciais[Vol. 1ºGiro],0)</f>
        <v>340</v>
      </c>
      <c r="R9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41" s="1">
        <f xml:space="preserve"> IF(BD_Receitas[[#This Row],[TIPO DE COBRANÇA]]="Operação Normal",
_xlfn.XLOOKUP(BD_Receitas[[#This Row],[ID]],TabCondicoesComerciais[ID],TabCondicoesComerciais[Tarifa 2º Giro],0),0)</f>
        <v>0</v>
      </c>
      <c r="T9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2" spans="1:24" x14ac:dyDescent="0.35">
      <c r="A942" s="3" t="s">
        <v>184</v>
      </c>
      <c r="B942" s="11">
        <v>46113</v>
      </c>
      <c r="C942" t="s">
        <v>31</v>
      </c>
      <c r="D942" t="s">
        <v>203</v>
      </c>
      <c r="E942" t="s">
        <v>34</v>
      </c>
      <c r="F942" s="10" t="s">
        <v>26</v>
      </c>
      <c r="G942" s="3" t="s">
        <v>19</v>
      </c>
      <c r="H942" s="3" t="s">
        <v>13</v>
      </c>
      <c r="I942" s="3" t="s">
        <v>8</v>
      </c>
      <c r="J942" s="1">
        <v>0</v>
      </c>
      <c r="K942" s="12">
        <v>0</v>
      </c>
      <c r="L942" s="1"/>
      <c r="M942" s="12"/>
      <c r="N942"/>
      <c r="O942"/>
      <c r="P942" s="2" t="str">
        <f>IF(BD_Receitas[[#This Row],[TIPO DE COBRANÇA]]="Operação Normal",
_xlfn.XLOOKUP(BD_Receitas[[#This Row],[ID]],TabCondicoesComerciais[ID],TabCondicoesComerciais[Volume mínimo 
(m3)],0),"")</f>
        <v/>
      </c>
      <c r="Q942" s="2">
        <f>_xlfn.XLOOKUP(BD_Receitas[[#This Row],[ID]],TabCondicoesComerciais[ID],TabCondicoesComerciais[Vol. 1ºGiro],0)</f>
        <v>340</v>
      </c>
      <c r="R9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942" s="1">
        <f xml:space="preserve"> IF(BD_Receitas[[#This Row],[TIPO DE COBRANÇA]]="Operação Normal",
_xlfn.XLOOKUP(BD_Receitas[[#This Row],[ID]],TabCondicoesComerciais[ID],TabCondicoesComerciais[Tarifa 2º Giro],0),0)</f>
        <v>0</v>
      </c>
      <c r="T9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3" spans="1:24" x14ac:dyDescent="0.35">
      <c r="A943" s="3" t="s">
        <v>184</v>
      </c>
      <c r="B943" s="11">
        <v>46113</v>
      </c>
      <c r="C943" t="s">
        <v>31</v>
      </c>
      <c r="D943" t="s">
        <v>203</v>
      </c>
      <c r="E943" t="s">
        <v>34</v>
      </c>
      <c r="F943" s="10" t="s">
        <v>26</v>
      </c>
      <c r="G943" s="3" t="s">
        <v>19</v>
      </c>
      <c r="H943" s="3" t="s">
        <v>13</v>
      </c>
      <c r="I943" s="3" t="s">
        <v>15</v>
      </c>
      <c r="J943" s="1">
        <v>16933.880399999998</v>
      </c>
      <c r="K943" s="12">
        <v>545</v>
      </c>
      <c r="L943" s="1">
        <v>14793.225</v>
      </c>
      <c r="M943" s="12">
        <v>1056.6590000000001</v>
      </c>
      <c r="N943" t="s">
        <v>310</v>
      </c>
      <c r="O943"/>
      <c r="P943" s="2">
        <f>IF(BD_Receitas[[#This Row],[TIPO DE COBRANÇA]]="Operação Normal",
_xlfn.XLOOKUP(BD_Receitas[[#This Row],[ID]],TabCondicoesComerciais[ID],TabCondicoesComerciais[Volume mínimo 
(m3)],0),"")</f>
        <v>1020</v>
      </c>
      <c r="Q943" s="2">
        <f>_xlfn.XLOOKUP(BD_Receitas[[#This Row],[ID]],TabCondicoesComerciais[ID],TabCondicoesComerciais[Vol. 1ºGiro],0)</f>
        <v>340</v>
      </c>
      <c r="R9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43" s="1">
        <f xml:space="preserve"> IF(BD_Receitas[[#This Row],[TIPO DE COBRANÇA]]="Operação Normal",
_xlfn.XLOOKUP(BD_Receitas[[#This Row],[ID]],TabCondicoesComerciais[ID],TabCondicoesComerciais[Tarifa 2º Giro],0),0)</f>
        <v>28</v>
      </c>
      <c r="T943" s="5">
        <f>IFERROR(IF(BD_Receitas[[#This Row],[TIPO DE COBRANÇA]]&lt;&gt;"Operação Normal","",BD_Receitas[[#This Row],[Valor Total R$]]/ MAX(BD_Receitas[[#This Row],[Vol. Movimentado M³]],
BD_Receitas[[#This Row],[Volume Mínimo ]])
),0)</f>
        <v>13.999999053620893</v>
      </c>
      <c r="U9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13.999999053620893</v>
      </c>
      <c r="V9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9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29586.452000000005</v>
      </c>
      <c r="X9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44" spans="1:24" hidden="1" x14ac:dyDescent="0.35">
      <c r="A944" s="3" t="s">
        <v>184</v>
      </c>
      <c r="B944" s="11">
        <v>46113</v>
      </c>
      <c r="C944" t="s">
        <v>31</v>
      </c>
      <c r="D944" t="s">
        <v>203</v>
      </c>
      <c r="E944" t="s">
        <v>34</v>
      </c>
      <c r="F944" s="10" t="s">
        <v>26</v>
      </c>
      <c r="G944" s="3" t="s">
        <v>19</v>
      </c>
      <c r="H944" s="3" t="s">
        <v>13</v>
      </c>
      <c r="I944" s="3" t="s">
        <v>65</v>
      </c>
      <c r="J944" s="1">
        <v>0</v>
      </c>
      <c r="K944" s="12">
        <v>0</v>
      </c>
      <c r="L944" s="1"/>
      <c r="M944" s="12"/>
      <c r="N944"/>
      <c r="O944"/>
      <c r="P944" s="2" t="str">
        <f>IF(BD_Receitas[[#This Row],[TIPO DE COBRANÇA]]="Operação Normal",
_xlfn.XLOOKUP(BD_Receitas[[#This Row],[ID]],TabCondicoesComerciais[ID],TabCondicoesComerciais[Volume mínimo 
(m3)],0),"")</f>
        <v/>
      </c>
      <c r="Q944" s="2">
        <f>_xlfn.XLOOKUP(BD_Receitas[[#This Row],[ID]],TabCondicoesComerciais[ID],TabCondicoesComerciais[Vol. 1ºGiro],0)</f>
        <v>340</v>
      </c>
      <c r="R9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44" s="1">
        <f xml:space="preserve"> IF(BD_Receitas[[#This Row],[TIPO DE COBRANÇA]]="Operação Normal",
_xlfn.XLOOKUP(BD_Receitas[[#This Row],[ID]],TabCondicoesComerciais[ID],TabCondicoesComerciais[Tarifa 2º Giro],0),0)</f>
        <v>0</v>
      </c>
      <c r="T9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5" spans="1:24" hidden="1" x14ac:dyDescent="0.35">
      <c r="A945" s="3" t="s">
        <v>274</v>
      </c>
      <c r="B945" s="11">
        <v>46143</v>
      </c>
      <c r="C945" t="s">
        <v>31</v>
      </c>
      <c r="D945" t="s">
        <v>202</v>
      </c>
      <c r="E945" t="s">
        <v>36</v>
      </c>
      <c r="F945" s="10" t="s">
        <v>48</v>
      </c>
      <c r="G945" s="3" t="s">
        <v>49</v>
      </c>
      <c r="H945" s="3" t="s">
        <v>52</v>
      </c>
      <c r="I945" s="3" t="s">
        <v>7</v>
      </c>
      <c r="J945" s="1">
        <v>0</v>
      </c>
      <c r="K945" s="12">
        <v>0</v>
      </c>
      <c r="L945" s="1"/>
      <c r="M945" s="12"/>
      <c r="N945"/>
      <c r="O945"/>
      <c r="P945" s="2" t="str">
        <f>IF(BD_Receitas[[#This Row],[TIPO DE COBRANÇA]]="Operação Normal",
_xlfn.XLOOKUP(BD_Receitas[[#This Row],[ID]],TabCondicoesComerciais[ID],TabCondicoesComerciais[Volume mínimo 
(m3)],0),"")</f>
        <v/>
      </c>
      <c r="Q945" s="2">
        <f>_xlfn.XLOOKUP(BD_Receitas[[#This Row],[ID]],TabCondicoesComerciais[ID],TabCondicoesComerciais[Vol. 1ºGiro],0)</f>
        <v>360</v>
      </c>
      <c r="R9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45" s="1">
        <f xml:space="preserve"> IF(BD_Receitas[[#This Row],[TIPO DE COBRANÇA]]="Operação Normal",
_xlfn.XLOOKUP(BD_Receitas[[#This Row],[ID]],TabCondicoesComerciais[ID],TabCondicoesComerciais[Tarifa 2º Giro],0),0)</f>
        <v>0</v>
      </c>
      <c r="T9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6" spans="1:24" hidden="1" x14ac:dyDescent="0.35">
      <c r="A946" s="3" t="s">
        <v>274</v>
      </c>
      <c r="B946" s="11">
        <v>46143</v>
      </c>
      <c r="C946" t="s">
        <v>31</v>
      </c>
      <c r="D946" t="s">
        <v>202</v>
      </c>
      <c r="E946" t="s">
        <v>36</v>
      </c>
      <c r="F946" s="10" t="s">
        <v>48</v>
      </c>
      <c r="G946" s="3" t="s">
        <v>49</v>
      </c>
      <c r="H946" s="3" t="s">
        <v>52</v>
      </c>
      <c r="I946" s="3" t="s">
        <v>8</v>
      </c>
      <c r="J946" s="1">
        <v>0</v>
      </c>
      <c r="K946" s="12">
        <v>0</v>
      </c>
      <c r="L946" s="1"/>
      <c r="M946" s="12"/>
      <c r="N946"/>
      <c r="O946"/>
      <c r="P946" s="2" t="str">
        <f>IF(BD_Receitas[[#This Row],[TIPO DE COBRANÇA]]="Operação Normal",
_xlfn.XLOOKUP(BD_Receitas[[#This Row],[ID]],TabCondicoesComerciais[ID],TabCondicoesComerciais[Volume mínimo 
(m3)],0),"")</f>
        <v/>
      </c>
      <c r="Q946" s="2">
        <f>_xlfn.XLOOKUP(BD_Receitas[[#This Row],[ID]],TabCondicoesComerciais[ID],TabCondicoesComerciais[Vol. 1ºGiro],0)</f>
        <v>360</v>
      </c>
      <c r="R9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46" s="1">
        <f xml:space="preserve"> IF(BD_Receitas[[#This Row],[TIPO DE COBRANÇA]]="Operação Normal",
_xlfn.XLOOKUP(BD_Receitas[[#This Row],[ID]],TabCondicoesComerciais[ID],TabCondicoesComerciais[Tarifa 2º Giro],0),0)</f>
        <v>0</v>
      </c>
      <c r="T9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7" spans="1:24" hidden="1" x14ac:dyDescent="0.35">
      <c r="A947" s="3" t="s">
        <v>274</v>
      </c>
      <c r="B947" s="11">
        <v>46143</v>
      </c>
      <c r="C947" t="s">
        <v>31</v>
      </c>
      <c r="D947" t="s">
        <v>202</v>
      </c>
      <c r="E947" t="s">
        <v>36</v>
      </c>
      <c r="F947" s="10" t="s">
        <v>48</v>
      </c>
      <c r="G947" s="3" t="s">
        <v>49</v>
      </c>
      <c r="H947" s="3" t="s">
        <v>52</v>
      </c>
      <c r="I947" s="3" t="s">
        <v>15</v>
      </c>
      <c r="J947" s="1">
        <v>89789.3701</v>
      </c>
      <c r="K947" s="12">
        <v>2040</v>
      </c>
      <c r="L947" s="1">
        <v>89596.800000000003</v>
      </c>
      <c r="M947" s="12">
        <v>476.375</v>
      </c>
      <c r="N947" t="s">
        <v>337</v>
      </c>
      <c r="O947"/>
      <c r="P947" s="2">
        <f>IF(BD_Receitas[[#This Row],[TIPO DE COBRANÇA]]="Operação Normal",
_xlfn.XLOOKUP(BD_Receitas[[#This Row],[ID]],TabCondicoesComerciais[ID],TabCondicoesComerciais[Volume mínimo 
(m3)],0),"")</f>
        <v>2040</v>
      </c>
      <c r="Q947" s="2">
        <f>_xlfn.XLOOKUP(BD_Receitas[[#This Row],[ID]],TabCondicoesComerciais[ID],TabCondicoesComerciais[Vol. 1ºGiro],0)</f>
        <v>360</v>
      </c>
      <c r="R9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947" s="1">
        <f xml:space="preserve"> IF(BD_Receitas[[#This Row],[TIPO DE COBRANÇA]]="Operação Normal",
_xlfn.XLOOKUP(BD_Receitas[[#This Row],[ID]],TabCondicoesComerciais[ID],TabCondicoesComerciais[Tarifa 2º Giro],0),0)</f>
        <v>43.92</v>
      </c>
      <c r="T947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9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188.08039884544741</v>
      </c>
      <c r="V9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9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20922.39</v>
      </c>
      <c r="X9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48" spans="1:24" hidden="1" x14ac:dyDescent="0.35">
      <c r="A948" s="3" t="s">
        <v>274</v>
      </c>
      <c r="B948" s="11">
        <v>46143</v>
      </c>
      <c r="C948" t="s">
        <v>31</v>
      </c>
      <c r="D948" t="s">
        <v>202</v>
      </c>
      <c r="E948" t="s">
        <v>36</v>
      </c>
      <c r="F948" s="10" t="s">
        <v>48</v>
      </c>
      <c r="G948" s="3" t="s">
        <v>49</v>
      </c>
      <c r="H948" s="3" t="s">
        <v>52</v>
      </c>
      <c r="I948" s="3" t="s">
        <v>65</v>
      </c>
      <c r="J948" s="1">
        <v>0</v>
      </c>
      <c r="K948" s="12">
        <v>0</v>
      </c>
      <c r="L948" s="1"/>
      <c r="M948" s="12"/>
      <c r="N948"/>
      <c r="O948"/>
      <c r="P948" s="2" t="str">
        <f>IF(BD_Receitas[[#This Row],[TIPO DE COBRANÇA]]="Operação Normal",
_xlfn.XLOOKUP(BD_Receitas[[#This Row],[ID]],TabCondicoesComerciais[ID],TabCondicoesComerciais[Volume mínimo 
(m3)],0),"")</f>
        <v/>
      </c>
      <c r="Q948" s="2">
        <f>_xlfn.XLOOKUP(BD_Receitas[[#This Row],[ID]],TabCondicoesComerciais[ID],TabCondicoesComerciais[Vol. 1ºGiro],0)</f>
        <v>360</v>
      </c>
      <c r="R9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48" s="1">
        <f xml:space="preserve"> IF(BD_Receitas[[#This Row],[TIPO DE COBRANÇA]]="Operação Normal",
_xlfn.XLOOKUP(BD_Receitas[[#This Row],[ID]],TabCondicoesComerciais[ID],TabCondicoesComerciais[Tarifa 2º Giro],0),0)</f>
        <v>0</v>
      </c>
      <c r="T9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49" spans="1:24" hidden="1" x14ac:dyDescent="0.35">
      <c r="A949" s="3" t="s">
        <v>275</v>
      </c>
      <c r="B949" s="11">
        <v>46143</v>
      </c>
      <c r="C949" t="s">
        <v>31</v>
      </c>
      <c r="D949" t="s">
        <v>202</v>
      </c>
      <c r="E949" t="s">
        <v>36</v>
      </c>
      <c r="F949" s="10" t="s">
        <v>48</v>
      </c>
      <c r="G949" s="3" t="s">
        <v>49</v>
      </c>
      <c r="H949" s="3" t="s">
        <v>14</v>
      </c>
      <c r="I949" s="3" t="s">
        <v>7</v>
      </c>
      <c r="J949" s="1">
        <v>0</v>
      </c>
      <c r="K949" s="12">
        <v>0</v>
      </c>
      <c r="L949" s="1"/>
      <c r="M949" s="12"/>
      <c r="N949"/>
      <c r="O949"/>
      <c r="P949" s="2" t="str">
        <f>IF(BD_Receitas[[#This Row],[TIPO DE COBRANÇA]]="Operação Normal",
_xlfn.XLOOKUP(BD_Receitas[[#This Row],[ID]],TabCondicoesComerciais[ID],TabCondicoesComerciais[Volume mínimo 
(m3)],0),"")</f>
        <v/>
      </c>
      <c r="Q949" s="2">
        <f>_xlfn.XLOOKUP(BD_Receitas[[#This Row],[ID]],TabCondicoesComerciais[ID],TabCondicoesComerciais[Vol. 1ºGiro],0)</f>
        <v>365</v>
      </c>
      <c r="R9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49" s="1">
        <f xml:space="preserve"> IF(BD_Receitas[[#This Row],[TIPO DE COBRANÇA]]="Operação Normal",
_xlfn.XLOOKUP(BD_Receitas[[#This Row],[ID]],TabCondicoesComerciais[ID],TabCondicoesComerciais[Tarifa 2º Giro],0),0)</f>
        <v>0</v>
      </c>
      <c r="T9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0" spans="1:24" hidden="1" x14ac:dyDescent="0.35">
      <c r="A950" s="3" t="s">
        <v>275</v>
      </c>
      <c r="B950" s="11">
        <v>46143</v>
      </c>
      <c r="C950" t="s">
        <v>31</v>
      </c>
      <c r="D950" t="s">
        <v>202</v>
      </c>
      <c r="E950" t="s">
        <v>36</v>
      </c>
      <c r="F950" s="10" t="s">
        <v>48</v>
      </c>
      <c r="G950" s="3" t="s">
        <v>49</v>
      </c>
      <c r="H950" s="3" t="s">
        <v>14</v>
      </c>
      <c r="I950" s="3" t="s">
        <v>8</v>
      </c>
      <c r="J950" s="1">
        <v>0</v>
      </c>
      <c r="K950" s="12">
        <v>0</v>
      </c>
      <c r="L950" s="1"/>
      <c r="M950" s="12"/>
      <c r="N950"/>
      <c r="O950"/>
      <c r="P950" s="2" t="str">
        <f>IF(BD_Receitas[[#This Row],[TIPO DE COBRANÇA]]="Operação Normal",
_xlfn.XLOOKUP(BD_Receitas[[#This Row],[ID]],TabCondicoesComerciais[ID],TabCondicoesComerciais[Volume mínimo 
(m3)],0),"")</f>
        <v/>
      </c>
      <c r="Q950" s="2">
        <f>_xlfn.XLOOKUP(BD_Receitas[[#This Row],[ID]],TabCondicoesComerciais[ID],TabCondicoesComerciais[Vol. 1ºGiro],0)</f>
        <v>365</v>
      </c>
      <c r="R9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50" s="1">
        <f xml:space="preserve"> IF(BD_Receitas[[#This Row],[TIPO DE COBRANÇA]]="Operação Normal",
_xlfn.XLOOKUP(BD_Receitas[[#This Row],[ID]],TabCondicoesComerciais[ID],TabCondicoesComerciais[Tarifa 2º Giro],0),0)</f>
        <v>0</v>
      </c>
      <c r="T9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1" spans="1:24" hidden="1" x14ac:dyDescent="0.35">
      <c r="A951" s="3" t="s">
        <v>275</v>
      </c>
      <c r="B951" s="11">
        <v>46143</v>
      </c>
      <c r="C951" t="s">
        <v>31</v>
      </c>
      <c r="D951" t="s">
        <v>202</v>
      </c>
      <c r="E951" t="s">
        <v>36</v>
      </c>
      <c r="F951" s="10" t="s">
        <v>48</v>
      </c>
      <c r="G951" s="3" t="s">
        <v>49</v>
      </c>
      <c r="H951" s="3" t="s">
        <v>14</v>
      </c>
      <c r="I951" s="3" t="s">
        <v>15</v>
      </c>
      <c r="J951" s="1">
        <v>17995.57</v>
      </c>
      <c r="K951" s="12">
        <v>936</v>
      </c>
      <c r="L951" s="1">
        <v>17718.48</v>
      </c>
      <c r="M951" s="12">
        <v>869.18399999999997</v>
      </c>
      <c r="N951" t="s">
        <v>22</v>
      </c>
      <c r="O951"/>
      <c r="P951" s="2">
        <f>IF(BD_Receitas[[#This Row],[TIPO DE COBRANÇA]]="Operação Normal",
_xlfn.XLOOKUP(BD_Receitas[[#This Row],[ID]],TabCondicoesComerciais[ID],TabCondicoesComerciais[Volume mínimo 
(m3)],0),"")</f>
        <v>936</v>
      </c>
      <c r="Q951" s="2">
        <f>_xlfn.XLOOKUP(BD_Receitas[[#This Row],[ID]],TabCondicoesComerciais[ID],TabCondicoesComerciais[Vol. 1ºGiro],0)</f>
        <v>365</v>
      </c>
      <c r="R9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951" s="1">
        <f xml:space="preserve"> IF(BD_Receitas[[#This Row],[TIPO DE COBRANÇA]]="Operação Normal",
_xlfn.XLOOKUP(BD_Receitas[[#This Row],[ID]],TabCondicoesComerciais[ID],TabCondicoesComerciais[Tarifa 2º Giro],0),0)</f>
        <v>18.93</v>
      </c>
      <c r="T951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9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20.385188866799204</v>
      </c>
      <c r="V9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9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16453.653119999999</v>
      </c>
      <c r="X9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52" spans="1:24" hidden="1" x14ac:dyDescent="0.35">
      <c r="A952" s="3" t="s">
        <v>275</v>
      </c>
      <c r="B952" s="11">
        <v>46143</v>
      </c>
      <c r="C952" t="s">
        <v>31</v>
      </c>
      <c r="D952" t="s">
        <v>202</v>
      </c>
      <c r="E952" t="s">
        <v>36</v>
      </c>
      <c r="F952" s="10" t="s">
        <v>48</v>
      </c>
      <c r="G952" s="3" t="s">
        <v>49</v>
      </c>
      <c r="H952" s="3" t="s">
        <v>14</v>
      </c>
      <c r="I952" s="3" t="s">
        <v>65</v>
      </c>
      <c r="J952" s="1">
        <v>0</v>
      </c>
      <c r="K952" s="12">
        <v>0</v>
      </c>
      <c r="L952" s="1"/>
      <c r="M952" s="12"/>
      <c r="N952"/>
      <c r="O952"/>
      <c r="P952" s="2" t="str">
        <f>IF(BD_Receitas[[#This Row],[TIPO DE COBRANÇA]]="Operação Normal",
_xlfn.XLOOKUP(BD_Receitas[[#This Row],[ID]],TabCondicoesComerciais[ID],TabCondicoesComerciais[Volume mínimo 
(m3)],0),"")</f>
        <v/>
      </c>
      <c r="Q952" s="2">
        <f>_xlfn.XLOOKUP(BD_Receitas[[#This Row],[ID]],TabCondicoesComerciais[ID],TabCondicoesComerciais[Vol. 1ºGiro],0)</f>
        <v>365</v>
      </c>
      <c r="R9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52" s="1">
        <f xml:space="preserve"> IF(BD_Receitas[[#This Row],[TIPO DE COBRANÇA]]="Operação Normal",
_xlfn.XLOOKUP(BD_Receitas[[#This Row],[ID]],TabCondicoesComerciais[ID],TabCondicoesComerciais[Tarifa 2º Giro],0),0)</f>
        <v>0</v>
      </c>
      <c r="T9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3" spans="1:24" hidden="1" x14ac:dyDescent="0.35">
      <c r="A953" s="3" t="s">
        <v>208</v>
      </c>
      <c r="B953" s="11">
        <v>46143</v>
      </c>
      <c r="C953" t="s">
        <v>31</v>
      </c>
      <c r="D953" t="s">
        <v>202</v>
      </c>
      <c r="E953" t="s">
        <v>35</v>
      </c>
      <c r="F953" s="10" t="s">
        <v>22</v>
      </c>
      <c r="G953" s="3" t="s">
        <v>11</v>
      </c>
      <c r="H953" s="3" t="s">
        <v>207</v>
      </c>
      <c r="I953" s="3" t="s">
        <v>7</v>
      </c>
      <c r="J953" s="1">
        <v>0</v>
      </c>
      <c r="K953" s="12">
        <v>0</v>
      </c>
      <c r="L953" s="1">
        <v>1316.9</v>
      </c>
      <c r="M953" s="12">
        <v>141</v>
      </c>
      <c r="N953" t="s">
        <v>333</v>
      </c>
      <c r="O953"/>
      <c r="P953" s="2" t="str">
        <f>IF(BD_Receitas[[#This Row],[TIPO DE COBRANÇA]]="Operação Normal",
_xlfn.XLOOKUP(BD_Receitas[[#This Row],[ID]],TabCondicoesComerciais[ID],TabCondicoesComerciais[Volume mínimo 
(m3)],0),"")</f>
        <v/>
      </c>
      <c r="Q953" s="2">
        <f>_xlfn.XLOOKUP(BD_Receitas[[#This Row],[ID]],TabCondicoesComerciais[ID],TabCondicoesComerciais[Vol. 1ºGiro],0)</f>
        <v>625</v>
      </c>
      <c r="R9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953" s="1">
        <f xml:space="preserve"> IF(BD_Receitas[[#This Row],[TIPO DE COBRANÇA]]="Operação Normal",
_xlfn.XLOOKUP(BD_Receitas[[#This Row],[ID]],TabCondicoesComerciais[ID],TabCondicoesComerciais[Tarifa 2º Giro],0),0)</f>
        <v>0</v>
      </c>
      <c r="T9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4" spans="1:24" hidden="1" x14ac:dyDescent="0.35">
      <c r="A954" s="3" t="s">
        <v>208</v>
      </c>
      <c r="B954" s="11">
        <v>46143</v>
      </c>
      <c r="C954" t="s">
        <v>31</v>
      </c>
      <c r="D954" t="s">
        <v>202</v>
      </c>
      <c r="E954" t="s">
        <v>35</v>
      </c>
      <c r="F954" s="10" t="s">
        <v>22</v>
      </c>
      <c r="G954" s="3" t="s">
        <v>11</v>
      </c>
      <c r="H954" s="3" t="s">
        <v>207</v>
      </c>
      <c r="I954" s="3" t="s">
        <v>8</v>
      </c>
      <c r="J954" s="1">
        <v>0</v>
      </c>
      <c r="K954" s="12">
        <v>0</v>
      </c>
      <c r="L954" s="1">
        <v>5329.25</v>
      </c>
      <c r="M954" s="12">
        <v>546.26599999999996</v>
      </c>
      <c r="N954" t="s">
        <v>333</v>
      </c>
      <c r="O954"/>
      <c r="P954" s="2" t="str">
        <f>IF(BD_Receitas[[#This Row],[TIPO DE COBRANÇA]]="Operação Normal",
_xlfn.XLOOKUP(BD_Receitas[[#This Row],[ID]],TabCondicoesComerciais[ID],TabCondicoesComerciais[Volume mínimo 
(m3)],0),"")</f>
        <v/>
      </c>
      <c r="Q954" s="2">
        <f>_xlfn.XLOOKUP(BD_Receitas[[#This Row],[ID]],TabCondicoesComerciais[ID],TabCondicoesComerciais[Vol. 1ºGiro],0)</f>
        <v>625</v>
      </c>
      <c r="R9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954" s="1">
        <f xml:space="preserve"> IF(BD_Receitas[[#This Row],[TIPO DE COBRANÇA]]="Operação Normal",
_xlfn.XLOOKUP(BD_Receitas[[#This Row],[ID]],TabCondicoesComerciais[ID],TabCondicoesComerciais[Tarifa 2º Giro],0),0)</f>
        <v>0</v>
      </c>
      <c r="T9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5" spans="1:24" hidden="1" x14ac:dyDescent="0.35">
      <c r="A955" s="3" t="s">
        <v>208</v>
      </c>
      <c r="B955" s="11">
        <v>46143</v>
      </c>
      <c r="C955" t="s">
        <v>31</v>
      </c>
      <c r="D955" t="s">
        <v>202</v>
      </c>
      <c r="E955" t="s">
        <v>35</v>
      </c>
      <c r="F955" s="10" t="s">
        <v>22</v>
      </c>
      <c r="G955" s="3" t="s">
        <v>11</v>
      </c>
      <c r="H955" s="3" t="s">
        <v>207</v>
      </c>
      <c r="I955" s="3" t="s">
        <v>15</v>
      </c>
      <c r="J955" s="1">
        <v>45394.74</v>
      </c>
      <c r="K955" s="12">
        <v>1875</v>
      </c>
      <c r="L955" s="1">
        <v>68170.63</v>
      </c>
      <c r="M955" s="12">
        <v>2786.3879999999999</v>
      </c>
      <c r="N955" t="s">
        <v>333</v>
      </c>
      <c r="O955"/>
      <c r="P955" s="2">
        <f>IF(BD_Receitas[[#This Row],[TIPO DE COBRANÇA]]="Operação Normal",
_xlfn.XLOOKUP(BD_Receitas[[#This Row],[ID]],TabCondicoesComerciais[ID],TabCondicoesComerciais[Volume mínimo 
(m3)],0),"")</f>
        <v>1875</v>
      </c>
      <c r="Q955" s="2">
        <f>_xlfn.XLOOKUP(BD_Receitas[[#This Row],[ID]],TabCondicoesComerciais[ID],TabCondicoesComerciais[Vol. 1ºGiro],0)</f>
        <v>625</v>
      </c>
      <c r="R9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955" s="1">
        <f xml:space="preserve"> IF(BD_Receitas[[#This Row],[TIPO DE COBRANÇA]]="Operação Normal",
_xlfn.XLOOKUP(BD_Receitas[[#This Row],[ID]],TabCondicoesComerciais[ID],TabCondicoesComerciais[Tarifa 2º Giro],0),0)</f>
        <v>33</v>
      </c>
      <c r="T955" s="5">
        <f>IFERROR(IF(BD_Receitas[[#This Row],[TIPO DE COBRANÇA]]&lt;&gt;"Operação Normal","",BD_Receitas[[#This Row],[Valor Total R$]]/ MAX(BD_Receitas[[#This Row],[Vol. Movimentado M³]],
BD_Receitas[[#This Row],[Volume Mínimo ]])
),0)</f>
        <v>24.465591295971706</v>
      </c>
      <c r="U9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26.850811875445917</v>
      </c>
      <c r="V9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9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91950.804000000004</v>
      </c>
      <c r="X9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56" spans="1:24" hidden="1" x14ac:dyDescent="0.35">
      <c r="A956" s="3" t="s">
        <v>208</v>
      </c>
      <c r="B956" s="11">
        <v>46143</v>
      </c>
      <c r="C956" t="s">
        <v>31</v>
      </c>
      <c r="D956" t="s">
        <v>202</v>
      </c>
      <c r="E956" t="s">
        <v>35</v>
      </c>
      <c r="F956" s="10" t="s">
        <v>22</v>
      </c>
      <c r="G956" s="3" t="s">
        <v>11</v>
      </c>
      <c r="H956" s="3" t="s">
        <v>207</v>
      </c>
      <c r="I956" s="3" t="s">
        <v>65</v>
      </c>
      <c r="J956" s="1">
        <v>0</v>
      </c>
      <c r="K956" s="12">
        <v>0</v>
      </c>
      <c r="L956" s="1"/>
      <c r="M956" s="12"/>
      <c r="N956"/>
      <c r="O956"/>
      <c r="P956" s="2" t="str">
        <f>IF(BD_Receitas[[#This Row],[TIPO DE COBRANÇA]]="Operação Normal",
_xlfn.XLOOKUP(BD_Receitas[[#This Row],[ID]],TabCondicoesComerciais[ID],TabCondicoesComerciais[Volume mínimo 
(m3)],0),"")</f>
        <v/>
      </c>
      <c r="Q956" s="2">
        <f>_xlfn.XLOOKUP(BD_Receitas[[#This Row],[ID]],TabCondicoesComerciais[ID],TabCondicoesComerciais[Vol. 1ºGiro],0)</f>
        <v>625</v>
      </c>
      <c r="R9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56" s="1">
        <f xml:space="preserve"> IF(BD_Receitas[[#This Row],[TIPO DE COBRANÇA]]="Operação Normal",
_xlfn.XLOOKUP(BD_Receitas[[#This Row],[ID]],TabCondicoesComerciais[ID],TabCondicoesComerciais[Tarifa 2º Giro],0),0)</f>
        <v>0</v>
      </c>
      <c r="T9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7" spans="1:24" hidden="1" x14ac:dyDescent="0.35">
      <c r="A957" s="3" t="s">
        <v>190</v>
      </c>
      <c r="B957" s="11">
        <v>46143</v>
      </c>
      <c r="C957" t="s">
        <v>31</v>
      </c>
      <c r="D957" t="s">
        <v>202</v>
      </c>
      <c r="E957" t="s">
        <v>35</v>
      </c>
      <c r="F957" s="10" t="s">
        <v>22</v>
      </c>
      <c r="G957" s="3" t="s">
        <v>11</v>
      </c>
      <c r="H957" s="3" t="s">
        <v>116</v>
      </c>
      <c r="I957" s="3" t="s">
        <v>7</v>
      </c>
      <c r="J957" s="1">
        <v>0</v>
      </c>
      <c r="K957" s="12">
        <v>0</v>
      </c>
      <c r="L957" s="1"/>
      <c r="M957" s="12"/>
      <c r="N957"/>
      <c r="O957"/>
      <c r="P957" s="2" t="str">
        <f>IF(BD_Receitas[[#This Row],[TIPO DE COBRANÇA]]="Operação Normal",
_xlfn.XLOOKUP(BD_Receitas[[#This Row],[ID]],TabCondicoesComerciais[ID],TabCondicoesComerciais[Volume mínimo 
(m3)],0),"")</f>
        <v/>
      </c>
      <c r="Q957" s="2">
        <f>_xlfn.XLOOKUP(BD_Receitas[[#This Row],[ID]],TabCondicoesComerciais[ID],TabCondicoesComerciais[Vol. 1ºGiro],0)</f>
        <v>580</v>
      </c>
      <c r="R9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57" s="1">
        <f xml:space="preserve"> IF(BD_Receitas[[#This Row],[TIPO DE COBRANÇA]]="Operação Normal",
_xlfn.XLOOKUP(BD_Receitas[[#This Row],[ID]],TabCondicoesComerciais[ID],TabCondicoesComerciais[Tarifa 2º Giro],0),0)</f>
        <v>0</v>
      </c>
      <c r="T9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8" spans="1:24" hidden="1" x14ac:dyDescent="0.35">
      <c r="A958" s="3" t="s">
        <v>190</v>
      </c>
      <c r="B958" s="11">
        <v>46143</v>
      </c>
      <c r="C958" t="s">
        <v>31</v>
      </c>
      <c r="D958" t="s">
        <v>202</v>
      </c>
      <c r="E958" t="s">
        <v>35</v>
      </c>
      <c r="F958" s="10" t="s">
        <v>22</v>
      </c>
      <c r="G958" s="3" t="s">
        <v>11</v>
      </c>
      <c r="H958" s="3" t="s">
        <v>116</v>
      </c>
      <c r="I958" s="3" t="s">
        <v>8</v>
      </c>
      <c r="J958" s="1">
        <v>0</v>
      </c>
      <c r="K958" s="12">
        <v>0</v>
      </c>
      <c r="L958" s="1"/>
      <c r="M958" s="12"/>
      <c r="N958"/>
      <c r="O958"/>
      <c r="P958" s="2" t="str">
        <f>IF(BD_Receitas[[#This Row],[TIPO DE COBRANÇA]]="Operação Normal",
_xlfn.XLOOKUP(BD_Receitas[[#This Row],[ID]],TabCondicoesComerciais[ID],TabCondicoesComerciais[Volume mínimo 
(m3)],0),"")</f>
        <v/>
      </c>
      <c r="Q958" s="2">
        <f>_xlfn.XLOOKUP(BD_Receitas[[#This Row],[ID]],TabCondicoesComerciais[ID],TabCondicoesComerciais[Vol. 1ºGiro],0)</f>
        <v>580</v>
      </c>
      <c r="R9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58" s="1">
        <f xml:space="preserve"> IF(BD_Receitas[[#This Row],[TIPO DE COBRANÇA]]="Operação Normal",
_xlfn.XLOOKUP(BD_Receitas[[#This Row],[ID]],TabCondicoesComerciais[ID],TabCondicoesComerciais[Tarifa 2º Giro],0),0)</f>
        <v>0</v>
      </c>
      <c r="T9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59" spans="1:24" hidden="1" x14ac:dyDescent="0.35">
      <c r="A959" s="3" t="s">
        <v>190</v>
      </c>
      <c r="B959" s="11">
        <v>46143</v>
      </c>
      <c r="C959" t="s">
        <v>31</v>
      </c>
      <c r="D959" t="s">
        <v>202</v>
      </c>
      <c r="E959" t="s">
        <v>35</v>
      </c>
      <c r="F959" s="10" t="s">
        <v>22</v>
      </c>
      <c r="G959" s="3" t="s">
        <v>11</v>
      </c>
      <c r="H959" s="3" t="s">
        <v>116</v>
      </c>
      <c r="I959" s="3" t="s">
        <v>15</v>
      </c>
      <c r="J959" s="1">
        <v>0</v>
      </c>
      <c r="K959" s="12">
        <v>0</v>
      </c>
      <c r="L959" s="1"/>
      <c r="M959" s="12"/>
      <c r="N959"/>
      <c r="O959"/>
      <c r="P959" s="2">
        <f>IF(BD_Receitas[[#This Row],[TIPO DE COBRANÇA]]="Operação Normal",
_xlfn.XLOOKUP(BD_Receitas[[#This Row],[ID]],TabCondicoesComerciais[ID],TabCondicoesComerciais[Volume mínimo 
(m3)],0),"")</f>
        <v>2000</v>
      </c>
      <c r="Q959" s="2">
        <f>_xlfn.XLOOKUP(BD_Receitas[[#This Row],[ID]],TabCondicoesComerciais[ID],TabCondicoesComerciais[Vol. 1ºGiro],0)</f>
        <v>580</v>
      </c>
      <c r="R9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959" s="1">
        <f xml:space="preserve"> IF(BD_Receitas[[#This Row],[TIPO DE COBRANÇA]]="Operação Normal",
_xlfn.XLOOKUP(BD_Receitas[[#This Row],[ID]],TabCondicoesComerciais[ID],TabCondicoesComerciais[Tarifa 2º Giro],0),0)</f>
        <v>27</v>
      </c>
      <c r="T9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9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60" spans="1:24" hidden="1" x14ac:dyDescent="0.35">
      <c r="A960" s="3" t="s">
        <v>190</v>
      </c>
      <c r="B960" s="11">
        <v>46143</v>
      </c>
      <c r="C960" t="s">
        <v>31</v>
      </c>
      <c r="D960" t="s">
        <v>202</v>
      </c>
      <c r="E960" t="s">
        <v>35</v>
      </c>
      <c r="F960" s="10" t="s">
        <v>22</v>
      </c>
      <c r="G960" s="3" t="s">
        <v>11</v>
      </c>
      <c r="H960" s="3" t="s">
        <v>116</v>
      </c>
      <c r="I960" s="3" t="s">
        <v>65</v>
      </c>
      <c r="J960" s="1">
        <v>0</v>
      </c>
      <c r="K960" s="12">
        <v>0</v>
      </c>
      <c r="L960" s="1"/>
      <c r="M960" s="12"/>
      <c r="N960"/>
      <c r="O960"/>
      <c r="P960" s="2" t="str">
        <f>IF(BD_Receitas[[#This Row],[TIPO DE COBRANÇA]]="Operação Normal",
_xlfn.XLOOKUP(BD_Receitas[[#This Row],[ID]],TabCondicoesComerciais[ID],TabCondicoesComerciais[Volume mínimo 
(m3)],0),"")</f>
        <v/>
      </c>
      <c r="Q960" s="2">
        <f>_xlfn.XLOOKUP(BD_Receitas[[#This Row],[ID]],TabCondicoesComerciais[ID],TabCondicoesComerciais[Vol. 1ºGiro],0)</f>
        <v>580</v>
      </c>
      <c r="R9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60" s="1">
        <f xml:space="preserve"> IF(BD_Receitas[[#This Row],[TIPO DE COBRANÇA]]="Operação Normal",
_xlfn.XLOOKUP(BD_Receitas[[#This Row],[ID]],TabCondicoesComerciais[ID],TabCondicoesComerciais[Tarifa 2º Giro],0),0)</f>
        <v>0</v>
      </c>
      <c r="T9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1" spans="1:24" hidden="1" x14ac:dyDescent="0.35">
      <c r="A961" s="3" t="s">
        <v>172</v>
      </c>
      <c r="B961" s="11">
        <v>46143</v>
      </c>
      <c r="C961" t="s">
        <v>31</v>
      </c>
      <c r="D961" t="s">
        <v>202</v>
      </c>
      <c r="E961" t="s">
        <v>35</v>
      </c>
      <c r="F961" s="10" t="s">
        <v>22</v>
      </c>
      <c r="G961" s="3" t="s">
        <v>11</v>
      </c>
      <c r="H961" s="3" t="s">
        <v>13</v>
      </c>
      <c r="I961" s="3" t="s">
        <v>7</v>
      </c>
      <c r="J961" s="1">
        <v>0</v>
      </c>
      <c r="K961" s="12">
        <v>0</v>
      </c>
      <c r="L961" s="1">
        <v>2456.16</v>
      </c>
      <c r="M961" s="12">
        <v>324</v>
      </c>
      <c r="N961" t="s">
        <v>334</v>
      </c>
      <c r="O961"/>
      <c r="P961" s="2" t="str">
        <f>IF(BD_Receitas[[#This Row],[TIPO DE COBRANÇA]]="Operação Normal",
_xlfn.XLOOKUP(BD_Receitas[[#This Row],[ID]],TabCondicoesComerciais[ID],TabCondicoesComerciais[Volume mínimo 
(m3)],0),"")</f>
        <v/>
      </c>
      <c r="Q961" s="2">
        <f>_xlfn.XLOOKUP(BD_Receitas[[#This Row],[ID]],TabCondicoesComerciais[ID],TabCondicoesComerciais[Vol. 1ºGiro],0)</f>
        <v>750</v>
      </c>
      <c r="R9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961" s="1">
        <f xml:space="preserve"> IF(BD_Receitas[[#This Row],[TIPO DE COBRANÇA]]="Operação Normal",
_xlfn.XLOOKUP(BD_Receitas[[#This Row],[ID]],TabCondicoesComerciais[ID],TabCondicoesComerciais[Tarifa 2º Giro],0),0)</f>
        <v>0</v>
      </c>
      <c r="T9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2" spans="1:24" hidden="1" x14ac:dyDescent="0.35">
      <c r="A962" s="3" t="s">
        <v>172</v>
      </c>
      <c r="B962" s="11">
        <v>46143</v>
      </c>
      <c r="C962" t="s">
        <v>31</v>
      </c>
      <c r="D962" t="s">
        <v>202</v>
      </c>
      <c r="E962" t="s">
        <v>35</v>
      </c>
      <c r="F962" s="10" t="s">
        <v>22</v>
      </c>
      <c r="G962" s="3" t="s">
        <v>11</v>
      </c>
      <c r="H962" s="3" t="s">
        <v>13</v>
      </c>
      <c r="I962" s="3" t="s">
        <v>8</v>
      </c>
      <c r="J962" s="1">
        <v>0</v>
      </c>
      <c r="K962" s="12">
        <v>0</v>
      </c>
      <c r="L962" s="1">
        <v>2822.07</v>
      </c>
      <c r="M962" s="12">
        <v>291.15300000000002</v>
      </c>
      <c r="N962" t="s">
        <v>334</v>
      </c>
      <c r="O962"/>
      <c r="P962" s="2" t="str">
        <f>IF(BD_Receitas[[#This Row],[TIPO DE COBRANÇA]]="Operação Normal",
_xlfn.XLOOKUP(BD_Receitas[[#This Row],[ID]],TabCondicoesComerciais[ID],TabCondicoesComerciais[Volume mínimo 
(m3)],0),"")</f>
        <v/>
      </c>
      <c r="Q962" s="2">
        <f>_xlfn.XLOOKUP(BD_Receitas[[#This Row],[ID]],TabCondicoesComerciais[ID],TabCondicoesComerciais[Vol. 1ºGiro],0)</f>
        <v>750</v>
      </c>
      <c r="R9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962" s="1">
        <f xml:space="preserve"> IF(BD_Receitas[[#This Row],[TIPO DE COBRANÇA]]="Operação Normal",
_xlfn.XLOOKUP(BD_Receitas[[#This Row],[ID]],TabCondicoesComerciais[ID],TabCondicoesComerciais[Tarifa 2º Giro],0),0)</f>
        <v>0</v>
      </c>
      <c r="T9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3" spans="1:24" hidden="1" x14ac:dyDescent="0.35">
      <c r="A963" s="3" t="s">
        <v>172</v>
      </c>
      <c r="B963" s="11">
        <v>46143</v>
      </c>
      <c r="C963" t="s">
        <v>31</v>
      </c>
      <c r="D963" t="s">
        <v>202</v>
      </c>
      <c r="E963" t="s">
        <v>35</v>
      </c>
      <c r="F963" s="10" t="s">
        <v>22</v>
      </c>
      <c r="G963" s="3" t="s">
        <v>11</v>
      </c>
      <c r="H963" s="3" t="s">
        <v>13</v>
      </c>
      <c r="I963" s="3" t="s">
        <v>15</v>
      </c>
      <c r="J963" s="1">
        <v>0</v>
      </c>
      <c r="K963" s="12">
        <v>0</v>
      </c>
      <c r="L963" s="1">
        <v>52400.09</v>
      </c>
      <c r="M963" s="12">
        <v>2484.5940000000001</v>
      </c>
      <c r="N963" t="s">
        <v>334</v>
      </c>
      <c r="O963"/>
      <c r="P963" s="2">
        <f>IF(BD_Receitas[[#This Row],[TIPO DE COBRANÇA]]="Operação Normal",
_xlfn.XLOOKUP(BD_Receitas[[#This Row],[ID]],TabCondicoesComerciais[ID],TabCondicoesComerciais[Volume mínimo 
(m3)],0),"")</f>
        <v>0</v>
      </c>
      <c r="Q963" s="2">
        <f>_xlfn.XLOOKUP(BD_Receitas[[#This Row],[ID]],TabCondicoesComerciais[ID],TabCondicoesComerciais[Vol. 1ºGiro],0)</f>
        <v>750</v>
      </c>
      <c r="R9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963" s="1">
        <f xml:space="preserve"> IF(BD_Receitas[[#This Row],[TIPO DE COBRANÇA]]="Operação Normal",
_xlfn.XLOOKUP(BD_Receitas[[#This Row],[ID]],TabCondicoesComerciais[ID],TabCondicoesComerciais[Tarifa 2º Giro],0),0)</f>
        <v>22.2</v>
      </c>
      <c r="T963" s="5">
        <f>IFERROR(IF(BD_Receitas[[#This Row],[TIPO DE COBRANÇA]]&lt;&gt;"Operação Normal","",BD_Receitas[[#This Row],[Valor Total R$]]/ MAX(BD_Receitas[[#This Row],[Vol. Movimentado M³]],
BD_Receitas[[#This Row],[Volume Mínimo ]])
),0)</f>
        <v>21.09000102229982</v>
      </c>
      <c r="U9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23.214384321945555</v>
      </c>
      <c r="V9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9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55157.986799999999</v>
      </c>
      <c r="X9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64" spans="1:24" hidden="1" x14ac:dyDescent="0.35">
      <c r="A964" s="3" t="s">
        <v>172</v>
      </c>
      <c r="B964" s="11">
        <v>46143</v>
      </c>
      <c r="C964" t="s">
        <v>31</v>
      </c>
      <c r="D964" t="s">
        <v>202</v>
      </c>
      <c r="E964" t="s">
        <v>35</v>
      </c>
      <c r="F964" s="10" t="s">
        <v>22</v>
      </c>
      <c r="G964" s="3" t="s">
        <v>11</v>
      </c>
      <c r="H964" s="3" t="s">
        <v>13</v>
      </c>
      <c r="I964" s="3" t="s">
        <v>65</v>
      </c>
      <c r="J964" s="1">
        <v>0</v>
      </c>
      <c r="K964" s="12">
        <v>0</v>
      </c>
      <c r="L964" s="1"/>
      <c r="M964" s="12"/>
      <c r="N964"/>
      <c r="O964"/>
      <c r="P964" s="2" t="str">
        <f>IF(BD_Receitas[[#This Row],[TIPO DE COBRANÇA]]="Operação Normal",
_xlfn.XLOOKUP(BD_Receitas[[#This Row],[ID]],TabCondicoesComerciais[ID],TabCondicoesComerciais[Volume mínimo 
(m3)],0),"")</f>
        <v/>
      </c>
      <c r="Q964" s="2">
        <f>_xlfn.XLOOKUP(BD_Receitas[[#This Row],[ID]],TabCondicoesComerciais[ID],TabCondicoesComerciais[Vol. 1ºGiro],0)</f>
        <v>750</v>
      </c>
      <c r="R9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64" s="1">
        <f xml:space="preserve"> IF(BD_Receitas[[#This Row],[TIPO DE COBRANÇA]]="Operação Normal",
_xlfn.XLOOKUP(BD_Receitas[[#This Row],[ID]],TabCondicoesComerciais[ID],TabCondicoesComerciais[Tarifa 2º Giro],0),0)</f>
        <v>0</v>
      </c>
      <c r="T9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5" spans="1:24" hidden="1" x14ac:dyDescent="0.35">
      <c r="A965" s="3" t="s">
        <v>201</v>
      </c>
      <c r="B965" s="11">
        <v>46143</v>
      </c>
      <c r="C965" t="s">
        <v>31</v>
      </c>
      <c r="D965" t="s">
        <v>202</v>
      </c>
      <c r="E965" t="s">
        <v>35</v>
      </c>
      <c r="F965" s="10" t="s">
        <v>22</v>
      </c>
      <c r="G965" s="3" t="s">
        <v>11</v>
      </c>
      <c r="H965" s="3" t="s">
        <v>6</v>
      </c>
      <c r="I965" s="3" t="s">
        <v>7</v>
      </c>
      <c r="J965" s="1"/>
      <c r="K965" s="12"/>
      <c r="L965" s="1"/>
      <c r="M965" s="12"/>
      <c r="N965"/>
      <c r="O965"/>
      <c r="P965" s="2" t="str">
        <f>IF(BD_Receitas[[#This Row],[TIPO DE COBRANÇA]]="Operação Normal",
_xlfn.XLOOKUP(BD_Receitas[[#This Row],[ID]],TabCondicoesComerciais[ID],TabCondicoesComerciais[Volume mínimo 
(m3)],0),"")</f>
        <v/>
      </c>
      <c r="Q965" s="2">
        <f>_xlfn.XLOOKUP(BD_Receitas[[#This Row],[ID]],TabCondicoesComerciais[ID],TabCondicoesComerciais[Vol. 1ºGiro],0)</f>
        <v>300</v>
      </c>
      <c r="R9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65" s="1">
        <f xml:space="preserve"> IF(BD_Receitas[[#This Row],[TIPO DE COBRANÇA]]="Operação Normal",
_xlfn.XLOOKUP(BD_Receitas[[#This Row],[ID]],TabCondicoesComerciais[ID],TabCondicoesComerciais[Tarifa 2º Giro],0),0)</f>
        <v>0</v>
      </c>
      <c r="T9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6" spans="1:24" hidden="1" x14ac:dyDescent="0.35">
      <c r="A966" s="3" t="s">
        <v>201</v>
      </c>
      <c r="B966" s="11">
        <v>46143</v>
      </c>
      <c r="C966" t="s">
        <v>31</v>
      </c>
      <c r="D966" t="s">
        <v>202</v>
      </c>
      <c r="E966" t="s">
        <v>35</v>
      </c>
      <c r="F966" s="10" t="s">
        <v>22</v>
      </c>
      <c r="G966" s="3" t="s">
        <v>11</v>
      </c>
      <c r="H966" s="3" t="s">
        <v>6</v>
      </c>
      <c r="I966" s="3" t="s">
        <v>8</v>
      </c>
      <c r="J966" s="1"/>
      <c r="K966" s="12"/>
      <c r="L966" s="1">
        <v>1248.78</v>
      </c>
      <c r="M966" s="12">
        <v>41.625999999999998</v>
      </c>
      <c r="N966"/>
      <c r="O966" t="s">
        <v>338</v>
      </c>
      <c r="P966" s="2" t="str">
        <f>IF(BD_Receitas[[#This Row],[TIPO DE COBRANÇA]]="Operação Normal",
_xlfn.XLOOKUP(BD_Receitas[[#This Row],[ID]],TabCondicoesComerciais[ID],TabCondicoesComerciais[Volume mínimo 
(m3)],0),"")</f>
        <v/>
      </c>
      <c r="Q966" s="2">
        <f>_xlfn.XLOOKUP(BD_Receitas[[#This Row],[ID]],TabCondicoesComerciais[ID],TabCondicoesComerciais[Vol. 1ºGiro],0)</f>
        <v>300</v>
      </c>
      <c r="R9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66" s="1">
        <f xml:space="preserve"> IF(BD_Receitas[[#This Row],[TIPO DE COBRANÇA]]="Operação Normal",
_xlfn.XLOOKUP(BD_Receitas[[#This Row],[ID]],TabCondicoesComerciais[ID],TabCondicoesComerciais[Tarifa 2º Giro],0),0)</f>
        <v>0</v>
      </c>
      <c r="T9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7" spans="1:24" hidden="1" x14ac:dyDescent="0.35">
      <c r="A967" s="3" t="s">
        <v>201</v>
      </c>
      <c r="B967" s="11">
        <v>46143</v>
      </c>
      <c r="C967" t="s">
        <v>31</v>
      </c>
      <c r="D967" t="s">
        <v>202</v>
      </c>
      <c r="E967" t="s">
        <v>35</v>
      </c>
      <c r="F967" s="10" t="s">
        <v>22</v>
      </c>
      <c r="G967" s="3" t="s">
        <v>11</v>
      </c>
      <c r="H967" s="3" t="s">
        <v>6</v>
      </c>
      <c r="I967" s="3" t="s">
        <v>15</v>
      </c>
      <c r="J967" s="1"/>
      <c r="K967" s="12"/>
      <c r="L967" s="1">
        <v>13762.77</v>
      </c>
      <c r="M967" s="12">
        <v>458.75900000000001</v>
      </c>
      <c r="N967"/>
      <c r="O967" t="s">
        <v>338</v>
      </c>
      <c r="P967" s="2">
        <f>IF(BD_Receitas[[#This Row],[TIPO DE COBRANÇA]]="Operação Normal",
_xlfn.XLOOKUP(BD_Receitas[[#This Row],[ID]],TabCondicoesComerciais[ID],TabCondicoesComerciais[Volume mínimo 
(m3)],0),"")</f>
        <v>0</v>
      </c>
      <c r="Q967" s="2">
        <f>_xlfn.XLOOKUP(BD_Receitas[[#This Row],[ID]],TabCondicoesComerciais[ID],TabCondicoesComerciais[Vol. 1ºGiro],0)</f>
        <v>300</v>
      </c>
      <c r="R9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967" s="1">
        <f xml:space="preserve"> IF(BD_Receitas[[#This Row],[TIPO DE COBRANÇA]]="Operação Normal",
_xlfn.XLOOKUP(BD_Receitas[[#This Row],[ID]],TabCondicoesComerciais[ID],TabCondicoesComerciais[Tarifa 2º Giro],0),0)</f>
        <v>30</v>
      </c>
      <c r="T967" s="5">
        <f>IFERROR(IF(BD_Receitas[[#This Row],[TIPO DE COBRANÇA]]&lt;&gt;"Operação Normal","",BD_Receitas[[#This Row],[Valor Total R$]]/ MAX(BD_Receitas[[#This Row],[Vol. Movimentado M³]],
BD_Receitas[[#This Row],[Volume Mínimo ]])
),0)</f>
        <v>30</v>
      </c>
      <c r="U9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32.722082836522013</v>
      </c>
      <c r="V9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9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13762.77</v>
      </c>
      <c r="X9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68" spans="1:24" hidden="1" x14ac:dyDescent="0.35">
      <c r="A968" s="3" t="s">
        <v>201</v>
      </c>
      <c r="B968" s="11">
        <v>46143</v>
      </c>
      <c r="C968" t="s">
        <v>31</v>
      </c>
      <c r="D968" t="s">
        <v>202</v>
      </c>
      <c r="E968" t="s">
        <v>35</v>
      </c>
      <c r="F968" s="10" t="s">
        <v>22</v>
      </c>
      <c r="G968" s="3" t="s">
        <v>11</v>
      </c>
      <c r="H968" s="3" t="s">
        <v>6</v>
      </c>
      <c r="I968" s="3" t="s">
        <v>65</v>
      </c>
      <c r="J968" s="1"/>
      <c r="K968" s="12"/>
      <c r="L968" s="1"/>
      <c r="M968" s="12"/>
      <c r="N968"/>
      <c r="O968"/>
      <c r="P968" s="2" t="str">
        <f>IF(BD_Receitas[[#This Row],[TIPO DE COBRANÇA]]="Operação Normal",
_xlfn.XLOOKUP(BD_Receitas[[#This Row],[ID]],TabCondicoesComerciais[ID],TabCondicoesComerciais[Volume mínimo 
(m3)],0),"")</f>
        <v/>
      </c>
      <c r="Q968" s="2">
        <f>_xlfn.XLOOKUP(BD_Receitas[[#This Row],[ID]],TabCondicoesComerciais[ID],TabCondicoesComerciais[Vol. 1ºGiro],0)</f>
        <v>300</v>
      </c>
      <c r="R9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68" s="1">
        <f xml:space="preserve"> IF(BD_Receitas[[#This Row],[TIPO DE COBRANÇA]]="Operação Normal",
_xlfn.XLOOKUP(BD_Receitas[[#This Row],[ID]],TabCondicoesComerciais[ID],TabCondicoesComerciais[Tarifa 2º Giro],0),0)</f>
        <v>0</v>
      </c>
      <c r="T9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69" spans="1:24" hidden="1" x14ac:dyDescent="0.35">
      <c r="A969" s="3" t="s">
        <v>177</v>
      </c>
      <c r="B969" s="11">
        <v>46143</v>
      </c>
      <c r="C969" t="s">
        <v>31</v>
      </c>
      <c r="D969" t="s">
        <v>62</v>
      </c>
      <c r="E969" t="s">
        <v>33</v>
      </c>
      <c r="F969" s="10" t="s">
        <v>46</v>
      </c>
      <c r="G969" s="3" t="s">
        <v>87</v>
      </c>
      <c r="H969" s="3" t="s">
        <v>9</v>
      </c>
      <c r="I969" s="3" t="s">
        <v>7</v>
      </c>
      <c r="J969" s="1">
        <v>0</v>
      </c>
      <c r="K969" s="12">
        <v>0</v>
      </c>
      <c r="L969" s="1"/>
      <c r="M969" s="12"/>
      <c r="N969"/>
      <c r="O969"/>
      <c r="P969" s="2" t="str">
        <f>IF(BD_Receitas[[#This Row],[TIPO DE COBRANÇA]]="Operação Normal",
_xlfn.XLOOKUP(BD_Receitas[[#This Row],[ID]],TabCondicoesComerciais[ID],TabCondicoesComerciais[Volume mínimo 
(m3)],0),"")</f>
        <v/>
      </c>
      <c r="Q969" s="2">
        <f>_xlfn.XLOOKUP(BD_Receitas[[#This Row],[ID]],TabCondicoesComerciais[ID],TabCondicoesComerciais[Vol. 1ºGiro],0)</f>
        <v>1070</v>
      </c>
      <c r="R9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969" s="1">
        <f xml:space="preserve"> IF(BD_Receitas[[#This Row],[TIPO DE COBRANÇA]]="Operação Normal",
_xlfn.XLOOKUP(BD_Receitas[[#This Row],[ID]],TabCondicoesComerciais[ID],TabCondicoesComerciais[Tarifa 2º Giro],0),0)</f>
        <v>0</v>
      </c>
      <c r="T9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0" spans="1:24" hidden="1" x14ac:dyDescent="0.35">
      <c r="A970" s="3" t="s">
        <v>177</v>
      </c>
      <c r="B970" s="11">
        <v>46143</v>
      </c>
      <c r="C970" t="s">
        <v>31</v>
      </c>
      <c r="D970" t="s">
        <v>62</v>
      </c>
      <c r="E970" t="s">
        <v>33</v>
      </c>
      <c r="F970" s="10" t="s">
        <v>46</v>
      </c>
      <c r="G970" s="3" t="s">
        <v>87</v>
      </c>
      <c r="H970" s="3" t="s">
        <v>9</v>
      </c>
      <c r="I970" s="3" t="s">
        <v>8</v>
      </c>
      <c r="J970" s="1">
        <v>0</v>
      </c>
      <c r="K970" s="12">
        <v>0</v>
      </c>
      <c r="L970" s="1"/>
      <c r="M970" s="12"/>
      <c r="N970"/>
      <c r="O970"/>
      <c r="P970" s="2" t="str">
        <f>IF(BD_Receitas[[#This Row],[TIPO DE COBRANÇA]]="Operação Normal",
_xlfn.XLOOKUP(BD_Receitas[[#This Row],[ID]],TabCondicoesComerciais[ID],TabCondicoesComerciais[Volume mínimo 
(m3)],0),"")</f>
        <v/>
      </c>
      <c r="Q970" s="2">
        <f>_xlfn.XLOOKUP(BD_Receitas[[#This Row],[ID]],TabCondicoesComerciais[ID],TabCondicoesComerciais[Vol. 1ºGiro],0)</f>
        <v>1070</v>
      </c>
      <c r="R9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970" s="1">
        <f xml:space="preserve"> IF(BD_Receitas[[#This Row],[TIPO DE COBRANÇA]]="Operação Normal",
_xlfn.XLOOKUP(BD_Receitas[[#This Row],[ID]],TabCondicoesComerciais[ID],TabCondicoesComerciais[Tarifa 2º Giro],0),0)</f>
        <v>0</v>
      </c>
      <c r="T9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1" spans="1:24" hidden="1" x14ac:dyDescent="0.35">
      <c r="A971" s="3" t="s">
        <v>177</v>
      </c>
      <c r="B971" s="11">
        <v>46143</v>
      </c>
      <c r="C971" t="s">
        <v>31</v>
      </c>
      <c r="D971" t="s">
        <v>62</v>
      </c>
      <c r="E971" t="s">
        <v>33</v>
      </c>
      <c r="F971" s="10" t="s">
        <v>46</v>
      </c>
      <c r="G971" s="3" t="s">
        <v>87</v>
      </c>
      <c r="H971" s="3" t="s">
        <v>9</v>
      </c>
      <c r="I971" s="3" t="s">
        <v>15</v>
      </c>
      <c r="J971" s="1">
        <v>65348.32</v>
      </c>
      <c r="K971" s="12">
        <v>1926</v>
      </c>
      <c r="L971" s="1"/>
      <c r="M971" s="12"/>
      <c r="N971"/>
      <c r="O971"/>
      <c r="P971" s="2">
        <f>IF(BD_Receitas[[#This Row],[TIPO DE COBRANÇA]]="Operação Normal",
_xlfn.XLOOKUP(BD_Receitas[[#This Row],[ID]],TabCondicoesComerciais[ID],TabCondicoesComerciais[Volume mínimo 
(m3)],0),"")</f>
        <v>3210</v>
      </c>
      <c r="Q971" s="2">
        <f>_xlfn.XLOOKUP(BD_Receitas[[#This Row],[ID]],TabCondicoesComerciais[ID],TabCondicoesComerciais[Vol. 1ºGiro],0)</f>
        <v>1070</v>
      </c>
      <c r="R9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971" s="1">
        <f xml:space="preserve"> IF(BD_Receitas[[#This Row],[TIPO DE COBRANÇA]]="Operação Normal",
_xlfn.XLOOKUP(BD_Receitas[[#This Row],[ID]],TabCondicoesComerciais[ID],TabCondicoesComerciais[Tarifa 2º Giro],0),0)</f>
        <v>32.64</v>
      </c>
      <c r="T97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9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72" spans="1:24" hidden="1" x14ac:dyDescent="0.35">
      <c r="A972" s="3" t="s">
        <v>177</v>
      </c>
      <c r="B972" s="11">
        <v>46143</v>
      </c>
      <c r="C972" t="s">
        <v>31</v>
      </c>
      <c r="D972" t="s">
        <v>62</v>
      </c>
      <c r="E972" t="s">
        <v>33</v>
      </c>
      <c r="F972" s="10" t="s">
        <v>46</v>
      </c>
      <c r="G972" s="3" t="s">
        <v>87</v>
      </c>
      <c r="H972" s="3" t="s">
        <v>9</v>
      </c>
      <c r="I972" s="3" t="s">
        <v>65</v>
      </c>
      <c r="J972" s="1">
        <v>0</v>
      </c>
      <c r="K972" s="12">
        <v>0</v>
      </c>
      <c r="L972" s="1"/>
      <c r="M972" s="12"/>
      <c r="N972"/>
      <c r="O972"/>
      <c r="P972" s="2" t="str">
        <f>IF(BD_Receitas[[#This Row],[TIPO DE COBRANÇA]]="Operação Normal",
_xlfn.XLOOKUP(BD_Receitas[[#This Row],[ID]],TabCondicoesComerciais[ID],TabCondicoesComerciais[Volume mínimo 
(m3)],0),"")</f>
        <v/>
      </c>
      <c r="Q972" s="2">
        <f>_xlfn.XLOOKUP(BD_Receitas[[#This Row],[ID]],TabCondicoesComerciais[ID],TabCondicoesComerciais[Vol. 1ºGiro],0)</f>
        <v>1070</v>
      </c>
      <c r="R9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72" s="1">
        <f xml:space="preserve"> IF(BD_Receitas[[#This Row],[TIPO DE COBRANÇA]]="Operação Normal",
_xlfn.XLOOKUP(BD_Receitas[[#This Row],[ID]],TabCondicoesComerciais[ID],TabCondicoesComerciais[Tarifa 2º Giro],0),0)</f>
        <v>0</v>
      </c>
      <c r="T9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3" spans="1:24" hidden="1" x14ac:dyDescent="0.35">
      <c r="A973" s="3" t="s">
        <v>200</v>
      </c>
      <c r="B973" s="11">
        <v>46143</v>
      </c>
      <c r="C973" t="s">
        <v>31</v>
      </c>
      <c r="D973" t="s">
        <v>203</v>
      </c>
      <c r="E973" t="s">
        <v>32</v>
      </c>
      <c r="F973" s="10" t="s">
        <v>25</v>
      </c>
      <c r="G973" s="3" t="s">
        <v>12</v>
      </c>
      <c r="H973" s="3" t="s">
        <v>10</v>
      </c>
      <c r="I973" s="3" t="s">
        <v>7</v>
      </c>
      <c r="J973" s="1">
        <v>0</v>
      </c>
      <c r="K973" s="12">
        <v>0</v>
      </c>
      <c r="L973" s="1">
        <v>1332.07</v>
      </c>
      <c r="M973" s="12">
        <v>47.573999999999998</v>
      </c>
      <c r="N973"/>
      <c r="O973"/>
      <c r="P973" s="2" t="str">
        <f>IF(BD_Receitas[[#This Row],[TIPO DE COBRANÇA]]="Operação Normal",
_xlfn.XLOOKUP(BD_Receitas[[#This Row],[ID]],TabCondicoesComerciais[ID],TabCondicoesComerciais[Volume mínimo 
(m3)],0),"")</f>
        <v/>
      </c>
      <c r="Q973" s="2">
        <f>_xlfn.XLOOKUP(BD_Receitas[[#This Row],[ID]],TabCondicoesComerciais[ID],TabCondicoesComerciais[Vol. 1ºGiro],0)</f>
        <v>2000</v>
      </c>
      <c r="R9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73" s="1">
        <f xml:space="preserve"> IF(BD_Receitas[[#This Row],[TIPO DE COBRANÇA]]="Operação Normal",
_xlfn.XLOOKUP(BD_Receitas[[#This Row],[ID]],TabCondicoesComerciais[ID],TabCondicoesComerciais[Tarifa 2º Giro],0),0)</f>
        <v>0</v>
      </c>
      <c r="T9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4" spans="1:24" hidden="1" x14ac:dyDescent="0.35">
      <c r="A974" s="3" t="s">
        <v>200</v>
      </c>
      <c r="B974" s="11">
        <v>46143</v>
      </c>
      <c r="C974" t="s">
        <v>31</v>
      </c>
      <c r="D974" t="s">
        <v>203</v>
      </c>
      <c r="E974" t="s">
        <v>32</v>
      </c>
      <c r="F974" s="10" t="s">
        <v>25</v>
      </c>
      <c r="G974" s="3" t="s">
        <v>12</v>
      </c>
      <c r="H974" s="3" t="s">
        <v>10</v>
      </c>
      <c r="I974" s="3" t="s">
        <v>8</v>
      </c>
      <c r="J974" s="1">
        <v>0</v>
      </c>
      <c r="K974" s="12">
        <v>0</v>
      </c>
      <c r="L974" s="1"/>
      <c r="M974" s="12"/>
      <c r="N974"/>
      <c r="O974"/>
      <c r="P974" s="2" t="str">
        <f>IF(BD_Receitas[[#This Row],[TIPO DE COBRANÇA]]="Operação Normal",
_xlfn.XLOOKUP(BD_Receitas[[#This Row],[ID]],TabCondicoesComerciais[ID],TabCondicoesComerciais[Volume mínimo 
(m3)],0),"")</f>
        <v/>
      </c>
      <c r="Q974" s="2">
        <f>_xlfn.XLOOKUP(BD_Receitas[[#This Row],[ID]],TabCondicoesComerciais[ID],TabCondicoesComerciais[Vol. 1ºGiro],0)</f>
        <v>2000</v>
      </c>
      <c r="R9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74" s="1">
        <f xml:space="preserve"> IF(BD_Receitas[[#This Row],[TIPO DE COBRANÇA]]="Operação Normal",
_xlfn.XLOOKUP(BD_Receitas[[#This Row],[ID]],TabCondicoesComerciais[ID],TabCondicoesComerciais[Tarifa 2º Giro],0),0)</f>
        <v>0</v>
      </c>
      <c r="T9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5" spans="1:24" hidden="1" x14ac:dyDescent="0.35">
      <c r="A975" s="3" t="s">
        <v>200</v>
      </c>
      <c r="B975" s="11">
        <v>46143</v>
      </c>
      <c r="C975" t="s">
        <v>31</v>
      </c>
      <c r="D975" t="s">
        <v>203</v>
      </c>
      <c r="E975" t="s">
        <v>32</v>
      </c>
      <c r="F975" s="10" t="s">
        <v>25</v>
      </c>
      <c r="G975" s="3" t="s">
        <v>12</v>
      </c>
      <c r="H975" s="3" t="s">
        <v>10</v>
      </c>
      <c r="I975" s="3" t="s">
        <v>15</v>
      </c>
      <c r="J975" s="1">
        <v>0</v>
      </c>
      <c r="K975" s="12">
        <v>0</v>
      </c>
      <c r="L975" s="1">
        <v>208175.38</v>
      </c>
      <c r="M975" s="12">
        <v>10408.769</v>
      </c>
      <c r="N975"/>
      <c r="O975"/>
      <c r="P975" s="2">
        <f>IF(BD_Receitas[[#This Row],[TIPO DE COBRANÇA]]="Operação Normal",
_xlfn.XLOOKUP(BD_Receitas[[#This Row],[ID]],TabCondicoesComerciais[ID],TabCondicoesComerciais[Volume mínimo 
(m3)],0),"")</f>
        <v>8000</v>
      </c>
      <c r="Q975" s="2">
        <f>_xlfn.XLOOKUP(BD_Receitas[[#This Row],[ID]],TabCondicoesComerciais[ID],TabCondicoesComerciais[Vol. 1ºGiro],0)</f>
        <v>2000</v>
      </c>
      <c r="R9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975" s="1">
        <f xml:space="preserve"> IF(BD_Receitas[[#This Row],[TIPO DE COBRANÇA]]="Operação Normal",
_xlfn.XLOOKUP(BD_Receitas[[#This Row],[ID]],TabCondicoesComerciais[ID],TabCondicoesComerciais[Tarifa 2º Giro],0),0)</f>
        <v>20</v>
      </c>
      <c r="T975" s="5">
        <f>IFERROR(IF(BD_Receitas[[#This Row],[TIPO DE COBRANÇA]]&lt;&gt;"Operação Normal","",BD_Receitas[[#This Row],[Valor Total R$]]/ MAX(BD_Receitas[[#This Row],[Vol. Movimentado M³]],
BD_Receitas[[#This Row],[Volume Mínimo ]])
),0)</f>
        <v>20</v>
      </c>
      <c r="U9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20.127975748140823</v>
      </c>
      <c r="V9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9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208175.38</v>
      </c>
      <c r="X9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976" spans="1:24" hidden="1" x14ac:dyDescent="0.35">
      <c r="A976" s="3" t="s">
        <v>200</v>
      </c>
      <c r="B976" s="11">
        <v>46143</v>
      </c>
      <c r="C976" t="s">
        <v>31</v>
      </c>
      <c r="D976" t="s">
        <v>203</v>
      </c>
      <c r="E976" t="s">
        <v>32</v>
      </c>
      <c r="F976" s="10" t="s">
        <v>25</v>
      </c>
      <c r="G976" s="3" t="s">
        <v>12</v>
      </c>
      <c r="H976" s="3" t="s">
        <v>10</v>
      </c>
      <c r="I976" s="3" t="s">
        <v>65</v>
      </c>
      <c r="J976" s="1">
        <v>0</v>
      </c>
      <c r="K976" s="12">
        <v>0</v>
      </c>
      <c r="L976" s="1"/>
      <c r="M976" s="12"/>
      <c r="N976"/>
      <c r="O976"/>
      <c r="P976" s="2" t="str">
        <f>IF(BD_Receitas[[#This Row],[TIPO DE COBRANÇA]]="Operação Normal",
_xlfn.XLOOKUP(BD_Receitas[[#This Row],[ID]],TabCondicoesComerciais[ID],TabCondicoesComerciais[Volume mínimo 
(m3)],0),"")</f>
        <v/>
      </c>
      <c r="Q976" s="2">
        <f>_xlfn.XLOOKUP(BD_Receitas[[#This Row],[ID]],TabCondicoesComerciais[ID],TabCondicoesComerciais[Vol. 1ºGiro],0)</f>
        <v>2000</v>
      </c>
      <c r="R9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76" s="1">
        <f xml:space="preserve"> IF(BD_Receitas[[#This Row],[TIPO DE COBRANÇA]]="Operação Normal",
_xlfn.XLOOKUP(BD_Receitas[[#This Row],[ID]],TabCondicoesComerciais[ID],TabCondicoesComerciais[Tarifa 2º Giro],0),0)</f>
        <v>0</v>
      </c>
      <c r="T9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7" spans="1:24" hidden="1" x14ac:dyDescent="0.35">
      <c r="A977" s="3" t="s">
        <v>264</v>
      </c>
      <c r="B977" s="11">
        <v>46143</v>
      </c>
      <c r="C977" t="s">
        <v>31</v>
      </c>
      <c r="D977" t="s">
        <v>203</v>
      </c>
      <c r="E977" t="s">
        <v>32</v>
      </c>
      <c r="F977" s="10" t="s">
        <v>25</v>
      </c>
      <c r="G977" s="3" t="s">
        <v>12</v>
      </c>
      <c r="H977" s="3" t="s">
        <v>9</v>
      </c>
      <c r="I977" s="3" t="s">
        <v>7</v>
      </c>
      <c r="J977" s="1">
        <v>0</v>
      </c>
      <c r="K977" s="12">
        <v>0</v>
      </c>
      <c r="L977" s="1">
        <v>8296.98</v>
      </c>
      <c r="M977" s="12">
        <v>763.38300000000004</v>
      </c>
      <c r="N977"/>
      <c r="O977"/>
      <c r="P977" s="2" t="str">
        <f>IF(BD_Receitas[[#This Row],[TIPO DE COBRANÇA]]="Operação Normal",
_xlfn.XLOOKUP(BD_Receitas[[#This Row],[ID]],TabCondicoesComerciais[ID],TabCondicoesComerciais[Volume mínimo 
(m3)],0),"")</f>
        <v/>
      </c>
      <c r="Q977" s="2">
        <f>_xlfn.XLOOKUP(BD_Receitas[[#This Row],[ID]],TabCondicoesComerciais[ID],TabCondicoesComerciais[Vol. 1ºGiro],0)</f>
        <v>1125</v>
      </c>
      <c r="R9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977" s="1">
        <f xml:space="preserve"> IF(BD_Receitas[[#This Row],[TIPO DE COBRANÇA]]="Operação Normal",
_xlfn.XLOOKUP(BD_Receitas[[#This Row],[ID]],TabCondicoesComerciais[ID],TabCondicoesComerciais[Tarifa 2º Giro],0),0)</f>
        <v>0</v>
      </c>
      <c r="T9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8" spans="1:24" hidden="1" x14ac:dyDescent="0.35">
      <c r="A978" s="3" t="s">
        <v>264</v>
      </c>
      <c r="B978" s="11">
        <v>46143</v>
      </c>
      <c r="C978" t="s">
        <v>31</v>
      </c>
      <c r="D978" t="s">
        <v>203</v>
      </c>
      <c r="E978" t="s">
        <v>32</v>
      </c>
      <c r="F978" s="10" t="s">
        <v>25</v>
      </c>
      <c r="G978" s="3" t="s">
        <v>12</v>
      </c>
      <c r="H978" s="3" t="s">
        <v>9</v>
      </c>
      <c r="I978" s="3" t="s">
        <v>8</v>
      </c>
      <c r="J978" s="1">
        <v>0</v>
      </c>
      <c r="K978" s="12">
        <v>0</v>
      </c>
      <c r="L978" s="1"/>
      <c r="M978" s="12"/>
      <c r="N978"/>
      <c r="O978"/>
      <c r="P978" s="2" t="str">
        <f>IF(BD_Receitas[[#This Row],[TIPO DE COBRANÇA]]="Operação Normal",
_xlfn.XLOOKUP(BD_Receitas[[#This Row],[ID]],TabCondicoesComerciais[ID],TabCondicoesComerciais[Volume mínimo 
(m3)],0),"")</f>
        <v/>
      </c>
      <c r="Q978" s="2">
        <f>_xlfn.XLOOKUP(BD_Receitas[[#This Row],[ID]],TabCondicoesComerciais[ID],TabCondicoesComerciais[Vol. 1ºGiro],0)</f>
        <v>1125</v>
      </c>
      <c r="R9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10.88</v>
      </c>
      <c r="S978" s="1">
        <f xml:space="preserve"> IF(BD_Receitas[[#This Row],[TIPO DE COBRANÇA]]="Operação Normal",
_xlfn.XLOOKUP(BD_Receitas[[#This Row],[ID]],TabCondicoesComerciais[ID],TabCondicoesComerciais[Tarifa 2º Giro],0),0)</f>
        <v>0</v>
      </c>
      <c r="T9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79" spans="1:24" hidden="1" x14ac:dyDescent="0.35">
      <c r="A979" s="3" t="s">
        <v>264</v>
      </c>
      <c r="B979" s="11">
        <v>46143</v>
      </c>
      <c r="C979" t="s">
        <v>31</v>
      </c>
      <c r="D979" t="s">
        <v>203</v>
      </c>
      <c r="E979" t="s">
        <v>32</v>
      </c>
      <c r="F979" s="10" t="s">
        <v>25</v>
      </c>
      <c r="G979" s="3" t="s">
        <v>12</v>
      </c>
      <c r="H979" s="3" t="s">
        <v>9</v>
      </c>
      <c r="I979" s="3" t="s">
        <v>15</v>
      </c>
      <c r="J979" s="1">
        <v>179058.61</v>
      </c>
      <c r="K979" s="12">
        <v>6100</v>
      </c>
      <c r="L979" s="1">
        <v>152943.75</v>
      </c>
      <c r="M979" s="12">
        <v>4209.7879999999996</v>
      </c>
      <c r="N979"/>
      <c r="O979"/>
      <c r="P979" s="2">
        <f>IF(BD_Receitas[[#This Row],[TIPO DE COBRANÇA]]="Operação Normal",
_xlfn.XLOOKUP(BD_Receitas[[#This Row],[ID]],TabCondicoesComerciais[ID],TabCondicoesComerciais[Volume mínimo 
(m3)],0),"")</f>
        <v>5625</v>
      </c>
      <c r="Q979" s="2">
        <f>_xlfn.XLOOKUP(BD_Receitas[[#This Row],[ID]],TabCondicoesComerciais[ID],TabCondicoesComerciais[Vol. 1ºGiro],0)</f>
        <v>1125</v>
      </c>
      <c r="R9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27.19</v>
      </c>
      <c r="S979" s="1">
        <f xml:space="preserve"> IF(BD_Receitas[[#This Row],[TIPO DE COBRANÇA]]="Operação Normal",
_xlfn.XLOOKUP(BD_Receitas[[#This Row],[ID]],TabCondicoesComerciais[ID],TabCondicoesComerciais[Tarifa 2º Giro],0),0)</f>
        <v>27.19</v>
      </c>
      <c r="T979" s="5">
        <f>IFERROR(IF(BD_Receitas[[#This Row],[TIPO DE COBRANÇA]]&lt;&gt;"Operação Normal","",BD_Receitas[[#This Row],[Valor Total R$]]/ MAX(BD_Receitas[[#This Row],[Vol. Movimentado M³]],
BD_Receitas[[#This Row],[Volume Mínimo ]])
),0)</f>
        <v>27.19</v>
      </c>
      <c r="U9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38.301389523652979</v>
      </c>
      <c r="V9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152943.75</v>
      </c>
      <c r="W9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114464.13571999999</v>
      </c>
      <c r="X9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80" spans="1:24" hidden="1" x14ac:dyDescent="0.35">
      <c r="A980" s="3" t="s">
        <v>264</v>
      </c>
      <c r="B980" s="11">
        <v>46143</v>
      </c>
      <c r="C980" t="s">
        <v>31</v>
      </c>
      <c r="D980" t="s">
        <v>203</v>
      </c>
      <c r="E980" t="s">
        <v>32</v>
      </c>
      <c r="F980" s="10" t="s">
        <v>25</v>
      </c>
      <c r="G980" s="3" t="s">
        <v>12</v>
      </c>
      <c r="H980" s="3" t="s">
        <v>9</v>
      </c>
      <c r="I980" s="3" t="s">
        <v>65</v>
      </c>
      <c r="J980" s="1">
        <v>0</v>
      </c>
      <c r="K980" s="12">
        <v>0</v>
      </c>
      <c r="L980" s="1"/>
      <c r="M980" s="12"/>
      <c r="N980"/>
      <c r="O980"/>
      <c r="P980" s="2" t="str">
        <f>IF(BD_Receitas[[#This Row],[TIPO DE COBRANÇA]]="Operação Normal",
_xlfn.XLOOKUP(BD_Receitas[[#This Row],[ID]],TabCondicoesComerciais[ID],TabCondicoesComerciais[Volume mínimo 
(m3)],0),"")</f>
        <v/>
      </c>
      <c r="Q980" s="2">
        <f>_xlfn.XLOOKUP(BD_Receitas[[#This Row],[ID]],TabCondicoesComerciais[ID],TabCondicoesComerciais[Vol. 1ºGiro],0)</f>
        <v>1125</v>
      </c>
      <c r="R9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0" s="1">
        <f xml:space="preserve"> IF(BD_Receitas[[#This Row],[TIPO DE COBRANÇA]]="Operação Normal",
_xlfn.XLOOKUP(BD_Receitas[[#This Row],[ID]],TabCondicoesComerciais[ID],TabCondicoesComerciais[Tarifa 2º Giro],0),0)</f>
        <v>0</v>
      </c>
      <c r="T9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1" spans="1:24" hidden="1" x14ac:dyDescent="0.35">
      <c r="A981" s="3" t="s">
        <v>134</v>
      </c>
      <c r="B981" s="11">
        <v>46143</v>
      </c>
      <c r="C981" t="s">
        <v>31</v>
      </c>
      <c r="D981" t="s">
        <v>62</v>
      </c>
      <c r="E981" t="s">
        <v>37</v>
      </c>
      <c r="F981" s="10" t="s">
        <v>57</v>
      </c>
      <c r="G981" s="3" t="s">
        <v>58</v>
      </c>
      <c r="H981" s="3" t="s">
        <v>10</v>
      </c>
      <c r="I981" s="3" t="s">
        <v>7</v>
      </c>
      <c r="J981" s="1">
        <v>0</v>
      </c>
      <c r="K981" s="12">
        <v>0</v>
      </c>
      <c r="L981" s="1"/>
      <c r="M981" s="12"/>
      <c r="N981"/>
      <c r="O981"/>
      <c r="P981" s="2" t="str">
        <f>IF(BD_Receitas[[#This Row],[TIPO DE COBRANÇA]]="Operação Normal",
_xlfn.XLOOKUP(BD_Receitas[[#This Row],[ID]],TabCondicoesComerciais[ID],TabCondicoesComerciais[Volume mínimo 
(m3)],0),"")</f>
        <v/>
      </c>
      <c r="Q981" s="2">
        <f>_xlfn.XLOOKUP(BD_Receitas[[#This Row],[ID]],TabCondicoesComerciais[ID],TabCondicoesComerciais[Vol. 1ºGiro],0)</f>
        <v>310</v>
      </c>
      <c r="R9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1" s="1">
        <f xml:space="preserve"> IF(BD_Receitas[[#This Row],[TIPO DE COBRANÇA]]="Operação Normal",
_xlfn.XLOOKUP(BD_Receitas[[#This Row],[ID]],TabCondicoesComerciais[ID],TabCondicoesComerciais[Tarifa 2º Giro],0),0)</f>
        <v>0</v>
      </c>
      <c r="T9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2" spans="1:24" hidden="1" x14ac:dyDescent="0.35">
      <c r="A982" s="3" t="s">
        <v>134</v>
      </c>
      <c r="B982" s="11">
        <v>46143</v>
      </c>
      <c r="C982" t="s">
        <v>31</v>
      </c>
      <c r="D982" t="s">
        <v>62</v>
      </c>
      <c r="E982" t="s">
        <v>37</v>
      </c>
      <c r="F982" s="10" t="s">
        <v>57</v>
      </c>
      <c r="G982" s="3" t="s">
        <v>58</v>
      </c>
      <c r="H982" s="3" t="s">
        <v>10</v>
      </c>
      <c r="I982" s="3" t="s">
        <v>7</v>
      </c>
      <c r="J982" s="1">
        <v>0</v>
      </c>
      <c r="K982" s="12">
        <v>0</v>
      </c>
      <c r="L982" s="1"/>
      <c r="M982" s="12"/>
      <c r="N982"/>
      <c r="O982"/>
      <c r="P982" s="2" t="str">
        <f>IF(BD_Receitas[[#This Row],[TIPO DE COBRANÇA]]="Operação Normal",
_xlfn.XLOOKUP(BD_Receitas[[#This Row],[ID]],TabCondicoesComerciais[ID],TabCondicoesComerciais[Volume mínimo 
(m3)],0),"")</f>
        <v/>
      </c>
      <c r="Q982" s="2">
        <f>_xlfn.XLOOKUP(BD_Receitas[[#This Row],[ID]],TabCondicoesComerciais[ID],TabCondicoesComerciais[Vol. 1ºGiro],0)</f>
        <v>310</v>
      </c>
      <c r="R9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2" s="1">
        <f xml:space="preserve"> IF(BD_Receitas[[#This Row],[TIPO DE COBRANÇA]]="Operação Normal",
_xlfn.XLOOKUP(BD_Receitas[[#This Row],[ID]],TabCondicoesComerciais[ID],TabCondicoesComerciais[Tarifa 2º Giro],0),0)</f>
        <v>0</v>
      </c>
      <c r="T9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3" spans="1:24" hidden="1" x14ac:dyDescent="0.35">
      <c r="A983" s="3" t="s">
        <v>134</v>
      </c>
      <c r="B983" s="11">
        <v>46143</v>
      </c>
      <c r="C983" t="s">
        <v>31</v>
      </c>
      <c r="D983" t="s">
        <v>62</v>
      </c>
      <c r="E983" t="s">
        <v>37</v>
      </c>
      <c r="F983" s="10" t="s">
        <v>57</v>
      </c>
      <c r="G983" s="3" t="s">
        <v>58</v>
      </c>
      <c r="H983" s="3" t="s">
        <v>10</v>
      </c>
      <c r="I983" s="3" t="s">
        <v>8</v>
      </c>
      <c r="J983" s="1">
        <v>0</v>
      </c>
      <c r="K983" s="12">
        <v>0</v>
      </c>
      <c r="L983" s="1"/>
      <c r="M983" s="12"/>
      <c r="N983"/>
      <c r="O983"/>
      <c r="P983" s="2" t="str">
        <f>IF(BD_Receitas[[#This Row],[TIPO DE COBRANÇA]]="Operação Normal",
_xlfn.XLOOKUP(BD_Receitas[[#This Row],[ID]],TabCondicoesComerciais[ID],TabCondicoesComerciais[Volume mínimo 
(m3)],0),"")</f>
        <v/>
      </c>
      <c r="Q983" s="2">
        <f>_xlfn.XLOOKUP(BD_Receitas[[#This Row],[ID]],TabCondicoesComerciais[ID],TabCondicoesComerciais[Vol. 1ºGiro],0)</f>
        <v>310</v>
      </c>
      <c r="R9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983" s="1">
        <f xml:space="preserve"> IF(BD_Receitas[[#This Row],[TIPO DE COBRANÇA]]="Operação Normal",
_xlfn.XLOOKUP(BD_Receitas[[#This Row],[ID]],TabCondicoesComerciais[ID],TabCondicoesComerciais[Tarifa 2º Giro],0),0)</f>
        <v>0</v>
      </c>
      <c r="T98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4" spans="1:24" hidden="1" x14ac:dyDescent="0.35">
      <c r="A984" s="3" t="s">
        <v>134</v>
      </c>
      <c r="B984" s="11">
        <v>46143</v>
      </c>
      <c r="C984" t="s">
        <v>31</v>
      </c>
      <c r="D984" t="s">
        <v>62</v>
      </c>
      <c r="E984" t="s">
        <v>37</v>
      </c>
      <c r="F984" s="10" t="s">
        <v>57</v>
      </c>
      <c r="G984" s="3" t="s">
        <v>58</v>
      </c>
      <c r="H984" s="3" t="s">
        <v>10</v>
      </c>
      <c r="I984" s="3" t="s">
        <v>8</v>
      </c>
      <c r="J984" s="1">
        <v>0</v>
      </c>
      <c r="K984" s="12">
        <v>0</v>
      </c>
      <c r="L984" s="1"/>
      <c r="M984" s="12"/>
      <c r="N984"/>
      <c r="O984"/>
      <c r="P984" s="2" t="str">
        <f>IF(BD_Receitas[[#This Row],[TIPO DE COBRANÇA]]="Operação Normal",
_xlfn.XLOOKUP(BD_Receitas[[#This Row],[ID]],TabCondicoesComerciais[ID],TabCondicoesComerciais[Volume mínimo 
(m3)],0),"")</f>
        <v/>
      </c>
      <c r="Q984" s="2">
        <f>_xlfn.XLOOKUP(BD_Receitas[[#This Row],[ID]],TabCondicoesComerciais[ID],TabCondicoesComerciais[Vol. 1ºGiro],0)</f>
        <v>310</v>
      </c>
      <c r="R9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984" s="1">
        <f xml:space="preserve"> IF(BD_Receitas[[#This Row],[TIPO DE COBRANÇA]]="Operação Normal",
_xlfn.XLOOKUP(BD_Receitas[[#This Row],[ID]],TabCondicoesComerciais[ID],TabCondicoesComerciais[Tarifa 2º Giro],0),0)</f>
        <v>0</v>
      </c>
      <c r="T9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5" spans="1:24" hidden="1" x14ac:dyDescent="0.35">
      <c r="A985" s="3" t="s">
        <v>134</v>
      </c>
      <c r="B985" s="11">
        <v>46143</v>
      </c>
      <c r="C985" t="s">
        <v>31</v>
      </c>
      <c r="D985" t="s">
        <v>62</v>
      </c>
      <c r="E985" t="s">
        <v>37</v>
      </c>
      <c r="F985" s="10" t="s">
        <v>57</v>
      </c>
      <c r="G985" s="3" t="s">
        <v>58</v>
      </c>
      <c r="H985" s="3" t="s">
        <v>10</v>
      </c>
      <c r="I985" s="3" t="s">
        <v>15</v>
      </c>
      <c r="J985" s="1">
        <v>35019.49</v>
      </c>
      <c r="K985" s="12">
        <v>1100</v>
      </c>
      <c r="L985" s="1"/>
      <c r="M985" s="12"/>
      <c r="N985"/>
      <c r="O985"/>
      <c r="P985" s="2">
        <f>IF(BD_Receitas[[#This Row],[TIPO DE COBRANÇA]]="Operação Normal",
_xlfn.XLOOKUP(BD_Receitas[[#This Row],[ID]],TabCondicoesComerciais[ID],TabCondicoesComerciais[Volume mínimo 
(m3)],0),"")</f>
        <v>1100</v>
      </c>
      <c r="Q985" s="2">
        <f>_xlfn.XLOOKUP(BD_Receitas[[#This Row],[ID]],TabCondicoesComerciais[ID],TabCondicoesComerciais[Vol. 1ºGiro],0)</f>
        <v>310</v>
      </c>
      <c r="R9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985" s="1">
        <f xml:space="preserve"> IF(BD_Receitas[[#This Row],[TIPO DE COBRANÇA]]="Operação Normal",
_xlfn.XLOOKUP(BD_Receitas[[#This Row],[ID]],TabCondicoesComerciais[ID],TabCondicoesComerciais[Tarifa 2º Giro],0),0)</f>
        <v>31.04</v>
      </c>
      <c r="T98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8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8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98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86" spans="1:24" hidden="1" x14ac:dyDescent="0.35">
      <c r="A986" s="3" t="s">
        <v>134</v>
      </c>
      <c r="B986" s="11">
        <v>46143</v>
      </c>
      <c r="C986" t="s">
        <v>31</v>
      </c>
      <c r="D986" t="s">
        <v>62</v>
      </c>
      <c r="E986" t="s">
        <v>37</v>
      </c>
      <c r="F986" s="10" t="s">
        <v>57</v>
      </c>
      <c r="G986" s="3" t="s">
        <v>58</v>
      </c>
      <c r="H986" s="3" t="s">
        <v>10</v>
      </c>
      <c r="I986" s="3" t="s">
        <v>15</v>
      </c>
      <c r="J986" s="1">
        <v>35019.49</v>
      </c>
      <c r="K986" s="12">
        <v>1100</v>
      </c>
      <c r="L986" s="1"/>
      <c r="M986" s="12"/>
      <c r="N986"/>
      <c r="O986"/>
      <c r="P986" s="2">
        <f>IF(BD_Receitas[[#This Row],[TIPO DE COBRANÇA]]="Operação Normal",
_xlfn.XLOOKUP(BD_Receitas[[#This Row],[ID]],TabCondicoesComerciais[ID],TabCondicoesComerciais[Volume mínimo 
(m3)],0),"")</f>
        <v>1100</v>
      </c>
      <c r="Q986" s="2">
        <f>_xlfn.XLOOKUP(BD_Receitas[[#This Row],[ID]],TabCondicoesComerciais[ID],TabCondicoesComerciais[Vol. 1ºGiro],0)</f>
        <v>310</v>
      </c>
      <c r="R9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986" s="1">
        <f xml:space="preserve"> IF(BD_Receitas[[#This Row],[TIPO DE COBRANÇA]]="Operação Normal",
_xlfn.XLOOKUP(BD_Receitas[[#This Row],[ID]],TabCondicoesComerciais[ID],TabCondicoesComerciais[Tarifa 2º Giro],0),0)</f>
        <v>31.04</v>
      </c>
      <c r="T986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986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986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986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9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87" spans="1:24" hidden="1" x14ac:dyDescent="0.35">
      <c r="A987" s="3" t="s">
        <v>134</v>
      </c>
      <c r="B987" s="11">
        <v>46143</v>
      </c>
      <c r="C987" t="s">
        <v>31</v>
      </c>
      <c r="D987" t="s">
        <v>62</v>
      </c>
      <c r="E987" t="s">
        <v>37</v>
      </c>
      <c r="F987" s="10" t="s">
        <v>57</v>
      </c>
      <c r="G987" s="3" t="s">
        <v>58</v>
      </c>
      <c r="H987" s="3" t="s">
        <v>10</v>
      </c>
      <c r="I987" s="3" t="s">
        <v>65</v>
      </c>
      <c r="J987" s="1">
        <v>0</v>
      </c>
      <c r="K987" s="12">
        <v>0</v>
      </c>
      <c r="L987" s="1"/>
      <c r="M987" s="12"/>
      <c r="N987"/>
      <c r="O987"/>
      <c r="P987" s="2" t="str">
        <f>IF(BD_Receitas[[#This Row],[TIPO DE COBRANÇA]]="Operação Normal",
_xlfn.XLOOKUP(BD_Receitas[[#This Row],[ID]],TabCondicoesComerciais[ID],TabCondicoesComerciais[Volume mínimo 
(m3)],0),"")</f>
        <v/>
      </c>
      <c r="Q987" s="2">
        <f>_xlfn.XLOOKUP(BD_Receitas[[#This Row],[ID]],TabCondicoesComerciais[ID],TabCondicoesComerciais[Vol. 1ºGiro],0)</f>
        <v>310</v>
      </c>
      <c r="R9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7" s="1">
        <f xml:space="preserve"> IF(BD_Receitas[[#This Row],[TIPO DE COBRANÇA]]="Operação Normal",
_xlfn.XLOOKUP(BD_Receitas[[#This Row],[ID]],TabCondicoesComerciais[ID],TabCondicoesComerciais[Tarifa 2º Giro],0),0)</f>
        <v>0</v>
      </c>
      <c r="T98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8" spans="1:24" hidden="1" x14ac:dyDescent="0.35">
      <c r="A988" s="3" t="s">
        <v>134</v>
      </c>
      <c r="B988" s="11">
        <v>46143</v>
      </c>
      <c r="C988" t="s">
        <v>31</v>
      </c>
      <c r="D988" t="s">
        <v>62</v>
      </c>
      <c r="E988" t="s">
        <v>37</v>
      </c>
      <c r="F988" s="10" t="s">
        <v>57</v>
      </c>
      <c r="G988" s="3" t="s">
        <v>58</v>
      </c>
      <c r="H988" s="3" t="s">
        <v>10</v>
      </c>
      <c r="I988" s="3" t="s">
        <v>65</v>
      </c>
      <c r="J988" s="1">
        <v>0</v>
      </c>
      <c r="K988" s="12">
        <v>0</v>
      </c>
      <c r="L988" s="1"/>
      <c r="M988" s="12"/>
      <c r="N988"/>
      <c r="O988"/>
      <c r="P988" s="2" t="str">
        <f>IF(BD_Receitas[[#This Row],[TIPO DE COBRANÇA]]="Operação Normal",
_xlfn.XLOOKUP(BD_Receitas[[#This Row],[ID]],TabCondicoesComerciais[ID],TabCondicoesComerciais[Volume mínimo 
(m3)],0),"")</f>
        <v/>
      </c>
      <c r="Q988" s="2">
        <f>_xlfn.XLOOKUP(BD_Receitas[[#This Row],[ID]],TabCondicoesComerciais[ID],TabCondicoesComerciais[Vol. 1ºGiro],0)</f>
        <v>310</v>
      </c>
      <c r="R9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8" s="1">
        <f xml:space="preserve"> IF(BD_Receitas[[#This Row],[TIPO DE COBRANÇA]]="Operação Normal",
_xlfn.XLOOKUP(BD_Receitas[[#This Row],[ID]],TabCondicoesComerciais[ID],TabCondicoesComerciais[Tarifa 2º Giro],0),0)</f>
        <v>0</v>
      </c>
      <c r="T9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89" spans="1:24" hidden="1" x14ac:dyDescent="0.35">
      <c r="A989" s="3" t="s">
        <v>173</v>
      </c>
      <c r="B989" s="11">
        <v>46143</v>
      </c>
      <c r="C989" t="s">
        <v>31</v>
      </c>
      <c r="D989" t="s">
        <v>62</v>
      </c>
      <c r="E989" t="s">
        <v>37</v>
      </c>
      <c r="F989" s="10" t="s">
        <v>57</v>
      </c>
      <c r="G989" s="3" t="s">
        <v>58</v>
      </c>
      <c r="H989" s="3" t="s">
        <v>6</v>
      </c>
      <c r="I989" s="3" t="s">
        <v>7</v>
      </c>
      <c r="J989" s="1">
        <v>0</v>
      </c>
      <c r="K989" s="12">
        <v>0</v>
      </c>
      <c r="L989" s="1"/>
      <c r="M989" s="12"/>
      <c r="N989"/>
      <c r="O989"/>
      <c r="P989" s="2" t="str">
        <f>IF(BD_Receitas[[#This Row],[TIPO DE COBRANÇA]]="Operação Normal",
_xlfn.XLOOKUP(BD_Receitas[[#This Row],[ID]],TabCondicoesComerciais[ID],TabCondicoesComerciais[Volume mínimo 
(m3)],0),"")</f>
        <v/>
      </c>
      <c r="Q989" s="2">
        <f>_xlfn.XLOOKUP(BD_Receitas[[#This Row],[ID]],TabCondicoesComerciais[ID],TabCondicoesComerciais[Vol. 1ºGiro],0)</f>
        <v>1070</v>
      </c>
      <c r="R9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89" s="1">
        <f xml:space="preserve"> IF(BD_Receitas[[#This Row],[TIPO DE COBRANÇA]]="Operação Normal",
_xlfn.XLOOKUP(BD_Receitas[[#This Row],[ID]],TabCondicoesComerciais[ID],TabCondicoesComerciais[Tarifa 2º Giro],0),0)</f>
        <v>0</v>
      </c>
      <c r="T9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0" spans="1:24" hidden="1" x14ac:dyDescent="0.35">
      <c r="A990" s="3" t="s">
        <v>173</v>
      </c>
      <c r="B990" s="11">
        <v>46143</v>
      </c>
      <c r="C990" t="s">
        <v>31</v>
      </c>
      <c r="D990" t="s">
        <v>62</v>
      </c>
      <c r="E990" t="s">
        <v>37</v>
      </c>
      <c r="F990" s="10" t="s">
        <v>57</v>
      </c>
      <c r="G990" s="3" t="s">
        <v>58</v>
      </c>
      <c r="H990" s="3" t="s">
        <v>6</v>
      </c>
      <c r="I990" s="3" t="s">
        <v>8</v>
      </c>
      <c r="J990" s="1">
        <v>0</v>
      </c>
      <c r="K990" s="12">
        <v>0</v>
      </c>
      <c r="L990" s="1"/>
      <c r="M990" s="12"/>
      <c r="N990"/>
      <c r="O990"/>
      <c r="P990" s="2" t="str">
        <f>IF(BD_Receitas[[#This Row],[TIPO DE COBRANÇA]]="Operação Normal",
_xlfn.XLOOKUP(BD_Receitas[[#This Row],[ID]],TabCondicoesComerciais[ID],TabCondicoesComerciais[Volume mínimo 
(m3)],0),"")</f>
        <v/>
      </c>
      <c r="Q990" s="2">
        <f>_xlfn.XLOOKUP(BD_Receitas[[#This Row],[ID]],TabCondicoesComerciais[ID],TabCondicoesComerciais[Vol. 1ºGiro],0)</f>
        <v>1070</v>
      </c>
      <c r="R9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90" s="1">
        <f xml:space="preserve"> IF(BD_Receitas[[#This Row],[TIPO DE COBRANÇA]]="Operação Normal",
_xlfn.XLOOKUP(BD_Receitas[[#This Row],[ID]],TabCondicoesComerciais[ID],TabCondicoesComerciais[Tarifa 2º Giro],0),0)</f>
        <v>0</v>
      </c>
      <c r="T9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1" spans="1:24" hidden="1" x14ac:dyDescent="0.35">
      <c r="A991" s="3" t="s">
        <v>173</v>
      </c>
      <c r="B991" s="11">
        <v>46143</v>
      </c>
      <c r="C991" t="s">
        <v>31</v>
      </c>
      <c r="D991" t="s">
        <v>62</v>
      </c>
      <c r="E991" t="s">
        <v>37</v>
      </c>
      <c r="F991" s="10" t="s">
        <v>57</v>
      </c>
      <c r="G991" s="3" t="s">
        <v>58</v>
      </c>
      <c r="H991" s="3" t="s">
        <v>6</v>
      </c>
      <c r="I991" s="3" t="s">
        <v>15</v>
      </c>
      <c r="J991" s="1">
        <v>82153.039999999994</v>
      </c>
      <c r="K991" s="12">
        <v>3300</v>
      </c>
      <c r="L991" s="1">
        <v>77286</v>
      </c>
      <c r="M991" s="12">
        <v>3008.5790000000002</v>
      </c>
      <c r="N991" t="s">
        <v>332</v>
      </c>
      <c r="O991"/>
      <c r="P991" s="2">
        <f>IF(BD_Receitas[[#This Row],[TIPO DE COBRANÇA]]="Operação Normal",
_xlfn.XLOOKUP(BD_Receitas[[#This Row],[ID]],TabCondicoesComerciais[ID],TabCondicoesComerciais[Volume mínimo 
(m3)],0),"")</f>
        <v>3300</v>
      </c>
      <c r="Q991" s="2">
        <f>_xlfn.XLOOKUP(BD_Receitas[[#This Row],[ID]],TabCondicoesComerciais[ID],TabCondicoesComerciais[Vol. 1ºGiro],0)</f>
        <v>1070</v>
      </c>
      <c r="R9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991" s="1">
        <f xml:space="preserve"> IF(BD_Receitas[[#This Row],[TIPO DE COBRANÇA]]="Operação Normal",
_xlfn.XLOOKUP(BD_Receitas[[#This Row],[ID]],TabCondicoesComerciais[ID],TabCondicoesComerciais[Tarifa 2º Giro],0),0)</f>
        <v>23.42</v>
      </c>
      <c r="T991" s="5">
        <f>IFERROR(IF(BD_Receitas[[#This Row],[TIPO DE COBRANÇA]]&lt;&gt;"Operação Normal","",BD_Receitas[[#This Row],[Valor Total R$]]/ MAX(BD_Receitas[[#This Row],[Vol. Movimentado M³]],
BD_Receitas[[#This Row],[Volume Mínimo ]])
),0)</f>
        <v>23.42</v>
      </c>
      <c r="U9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25.688539340333094</v>
      </c>
      <c r="V9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9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70460.920180000016</v>
      </c>
      <c r="X9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992" spans="1:24" hidden="1" x14ac:dyDescent="0.35">
      <c r="A992" s="3" t="s">
        <v>173</v>
      </c>
      <c r="B992" s="11">
        <v>46143</v>
      </c>
      <c r="C992" t="s">
        <v>31</v>
      </c>
      <c r="D992" t="s">
        <v>62</v>
      </c>
      <c r="E992" t="s">
        <v>37</v>
      </c>
      <c r="F992" s="10" t="s">
        <v>57</v>
      </c>
      <c r="G992" s="3" t="s">
        <v>58</v>
      </c>
      <c r="H992" s="3" t="s">
        <v>6</v>
      </c>
      <c r="I992" s="3" t="s">
        <v>65</v>
      </c>
      <c r="J992" s="1">
        <v>0</v>
      </c>
      <c r="K992" s="12">
        <v>0</v>
      </c>
      <c r="L992" s="1"/>
      <c r="M992" s="12"/>
      <c r="N992"/>
      <c r="O992"/>
      <c r="P992" s="2" t="str">
        <f>IF(BD_Receitas[[#This Row],[TIPO DE COBRANÇA]]="Operação Normal",
_xlfn.XLOOKUP(BD_Receitas[[#This Row],[ID]],TabCondicoesComerciais[ID],TabCondicoesComerciais[Volume mínimo 
(m3)],0),"")</f>
        <v/>
      </c>
      <c r="Q992" s="2">
        <f>_xlfn.XLOOKUP(BD_Receitas[[#This Row],[ID]],TabCondicoesComerciais[ID],TabCondicoesComerciais[Vol. 1ºGiro],0)</f>
        <v>1070</v>
      </c>
      <c r="R9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92" s="1">
        <f xml:space="preserve"> IF(BD_Receitas[[#This Row],[TIPO DE COBRANÇA]]="Operação Normal",
_xlfn.XLOOKUP(BD_Receitas[[#This Row],[ID]],TabCondicoesComerciais[ID],TabCondicoesComerciais[Tarifa 2º Giro],0),0)</f>
        <v>0</v>
      </c>
      <c r="T9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3" spans="1:24" x14ac:dyDescent="0.35">
      <c r="A993" s="3" t="s">
        <v>314</v>
      </c>
      <c r="B993" s="11">
        <v>46143</v>
      </c>
      <c r="C993" t="s">
        <v>31</v>
      </c>
      <c r="D993" t="s">
        <v>203</v>
      </c>
      <c r="E993" t="s">
        <v>34</v>
      </c>
      <c r="F993" s="10" t="s">
        <v>26</v>
      </c>
      <c r="G993" s="3" t="s">
        <v>19</v>
      </c>
      <c r="H993" s="3" t="s">
        <v>13</v>
      </c>
      <c r="I993" s="3" t="s">
        <v>7</v>
      </c>
      <c r="J993" s="1">
        <v>0</v>
      </c>
      <c r="K993" s="12">
        <v>0</v>
      </c>
      <c r="L993" s="1"/>
      <c r="M993" s="12"/>
      <c r="N993"/>
      <c r="O993"/>
      <c r="P993" s="2" t="str">
        <f>IF(BD_Receitas[[#This Row],[TIPO DE COBRANÇA]]="Operação Normal",
_xlfn.XLOOKUP(BD_Receitas[[#This Row],[ID]],TabCondicoesComerciais[ID],TabCondicoesComerciais[Volume mínimo 
(m3)],0),"")</f>
        <v/>
      </c>
      <c r="Q993" s="2">
        <f>_xlfn.XLOOKUP(BD_Receitas[[#This Row],[ID]],TabCondicoesComerciais[ID],TabCondicoesComerciais[Vol. 1ºGiro],0)</f>
        <v>340</v>
      </c>
      <c r="R9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93" s="1">
        <f xml:space="preserve"> IF(BD_Receitas[[#This Row],[TIPO DE COBRANÇA]]="Operação Normal",
_xlfn.XLOOKUP(BD_Receitas[[#This Row],[ID]],TabCondicoesComerciais[ID],TabCondicoesComerciais[Tarifa 2º Giro],0),0)</f>
        <v>0</v>
      </c>
      <c r="T9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4" spans="1:24" x14ac:dyDescent="0.35">
      <c r="A994" s="3" t="s">
        <v>314</v>
      </c>
      <c r="B994" s="11">
        <v>46143</v>
      </c>
      <c r="C994" t="s">
        <v>31</v>
      </c>
      <c r="D994" t="s">
        <v>203</v>
      </c>
      <c r="E994" t="s">
        <v>34</v>
      </c>
      <c r="F994" s="10" t="s">
        <v>26</v>
      </c>
      <c r="G994" s="3" t="s">
        <v>19</v>
      </c>
      <c r="H994" s="3" t="s">
        <v>13</v>
      </c>
      <c r="I994" s="3" t="s">
        <v>8</v>
      </c>
      <c r="J994" s="1">
        <v>0</v>
      </c>
      <c r="K994" s="12">
        <v>0</v>
      </c>
      <c r="L994" s="1"/>
      <c r="M994" s="12"/>
      <c r="N994"/>
      <c r="O994"/>
      <c r="P994" s="2" t="str">
        <f>IF(BD_Receitas[[#This Row],[TIPO DE COBRANÇA]]="Operação Normal",
_xlfn.XLOOKUP(BD_Receitas[[#This Row],[ID]],TabCondicoesComerciais[ID],TabCondicoesComerciais[Volume mínimo 
(m3)],0),"")</f>
        <v/>
      </c>
      <c r="Q994" s="2">
        <f>_xlfn.XLOOKUP(BD_Receitas[[#This Row],[ID]],TabCondicoesComerciais[ID],TabCondicoesComerciais[Vol. 1ºGiro],0)</f>
        <v>340</v>
      </c>
      <c r="R9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994" s="1">
        <f xml:space="preserve"> IF(BD_Receitas[[#This Row],[TIPO DE COBRANÇA]]="Operação Normal",
_xlfn.XLOOKUP(BD_Receitas[[#This Row],[ID]],TabCondicoesComerciais[ID],TabCondicoesComerciais[Tarifa 2º Giro],0),0)</f>
        <v>0</v>
      </c>
      <c r="T9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5" spans="1:24" x14ac:dyDescent="0.35">
      <c r="A995" s="3" t="s">
        <v>314</v>
      </c>
      <c r="B995" s="11">
        <v>46143</v>
      </c>
      <c r="C995" t="s">
        <v>31</v>
      </c>
      <c r="D995" t="s">
        <v>203</v>
      </c>
      <c r="E995" t="s">
        <v>34</v>
      </c>
      <c r="F995" s="10" t="s">
        <v>26</v>
      </c>
      <c r="G995" s="3" t="s">
        <v>19</v>
      </c>
      <c r="H995" s="3" t="s">
        <v>13</v>
      </c>
      <c r="I995" s="3" t="s">
        <v>15</v>
      </c>
      <c r="J995" s="1">
        <v>14721.65</v>
      </c>
      <c r="K995" s="12">
        <v>510</v>
      </c>
      <c r="L995" s="1">
        <v>14280</v>
      </c>
      <c r="M995" s="12">
        <v>1009.74</v>
      </c>
      <c r="N995" t="s">
        <v>319</v>
      </c>
      <c r="O995"/>
      <c r="P995" s="2">
        <f>IF(BD_Receitas[[#This Row],[TIPO DE COBRANÇA]]="Operação Normal",
_xlfn.XLOOKUP(BD_Receitas[[#This Row],[ID]],TabCondicoesComerciais[ID],TabCondicoesComerciais[Volume mínimo 
(m3)],0),"")</f>
        <v>1020</v>
      </c>
      <c r="Q995" s="2">
        <f>_xlfn.XLOOKUP(BD_Receitas[[#This Row],[ID]],TabCondicoesComerciais[ID],TabCondicoesComerciais[Vol. 1ºGiro],0)</f>
        <v>340</v>
      </c>
      <c r="R9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995" s="1">
        <f xml:space="preserve"> IF(BD_Receitas[[#This Row],[TIPO DE COBRANÇA]]="Operação Normal",
_xlfn.XLOOKUP(BD_Receitas[[#This Row],[ID]],TabCondicoesComerciais[ID],TabCondicoesComerciais[Tarifa 2º Giro],0),0)</f>
        <v>28</v>
      </c>
      <c r="T995" s="5">
        <f>IFERROR(IF(BD_Receitas[[#This Row],[TIPO DE COBRANÇA]]&lt;&gt;"Operação Normal","",BD_Receitas[[#This Row],[Valor Total R$]]/ MAX(BD_Receitas[[#This Row],[Vol. Movimentado M³]],
BD_Receitas[[#This Row],[Volume Mínimo ]])
),0)</f>
        <v>14</v>
      </c>
      <c r="U9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14.142254441737476</v>
      </c>
      <c r="V9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9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28272.720000000001</v>
      </c>
      <c r="X9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996" spans="1:24" hidden="1" x14ac:dyDescent="0.35">
      <c r="A996" s="3" t="s">
        <v>314</v>
      </c>
      <c r="B996" s="11">
        <v>46143</v>
      </c>
      <c r="C996" t="s">
        <v>31</v>
      </c>
      <c r="D996" t="s">
        <v>203</v>
      </c>
      <c r="E996" t="s">
        <v>34</v>
      </c>
      <c r="F996" s="10" t="s">
        <v>26</v>
      </c>
      <c r="G996" s="3" t="s">
        <v>19</v>
      </c>
      <c r="H996" s="3" t="s">
        <v>13</v>
      </c>
      <c r="I996" s="3" t="s">
        <v>65</v>
      </c>
      <c r="J996" s="1">
        <v>0</v>
      </c>
      <c r="K996" s="12">
        <v>0</v>
      </c>
      <c r="L996" s="1"/>
      <c r="M996" s="12"/>
      <c r="N996"/>
      <c r="O996"/>
      <c r="P996" s="2" t="str">
        <f>IF(BD_Receitas[[#This Row],[TIPO DE COBRANÇA]]="Operação Normal",
_xlfn.XLOOKUP(BD_Receitas[[#This Row],[ID]],TabCondicoesComerciais[ID],TabCondicoesComerciais[Volume mínimo 
(m3)],0),"")</f>
        <v/>
      </c>
      <c r="Q996" s="2">
        <f>_xlfn.XLOOKUP(BD_Receitas[[#This Row],[ID]],TabCondicoesComerciais[ID],TabCondicoesComerciais[Vol. 1ºGiro],0)</f>
        <v>340</v>
      </c>
      <c r="R9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996" s="1">
        <f xml:space="preserve"> IF(BD_Receitas[[#This Row],[TIPO DE COBRANÇA]]="Operação Normal",
_xlfn.XLOOKUP(BD_Receitas[[#This Row],[ID]],TabCondicoesComerciais[ID],TabCondicoesComerciais[Tarifa 2º Giro],0),0)</f>
        <v>0</v>
      </c>
      <c r="T9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7" spans="1:24" hidden="1" x14ac:dyDescent="0.35">
      <c r="A997" s="3" t="s">
        <v>274</v>
      </c>
      <c r="B997" s="11">
        <v>46174</v>
      </c>
      <c r="C997" t="s">
        <v>31</v>
      </c>
      <c r="D997" t="s">
        <v>202</v>
      </c>
      <c r="E997" t="s">
        <v>36</v>
      </c>
      <c r="F997" s="10" t="s">
        <v>48</v>
      </c>
      <c r="G997" s="3" t="s">
        <v>49</v>
      </c>
      <c r="H997" s="3" t="s">
        <v>52</v>
      </c>
      <c r="I997" s="3" t="s">
        <v>7</v>
      </c>
      <c r="J997" s="1">
        <v>0</v>
      </c>
      <c r="K997" s="12">
        <v>0</v>
      </c>
      <c r="L997" s="1"/>
      <c r="M997" s="12"/>
      <c r="N997"/>
      <c r="O997"/>
      <c r="P997" s="2" t="str">
        <f>IF(BD_Receitas[[#This Row],[TIPO DE COBRANÇA]]="Operação Normal",
_xlfn.XLOOKUP(BD_Receitas[[#This Row],[ID]],TabCondicoesComerciais[ID],TabCondicoesComerciais[Volume mínimo 
(m3)],0),"")</f>
        <v/>
      </c>
      <c r="Q997" s="2">
        <f>_xlfn.XLOOKUP(BD_Receitas[[#This Row],[ID]],TabCondicoesComerciais[ID],TabCondicoesComerciais[Vol. 1ºGiro],0)</f>
        <v>360</v>
      </c>
      <c r="R9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97" s="1">
        <f xml:space="preserve"> IF(BD_Receitas[[#This Row],[TIPO DE COBRANÇA]]="Operação Normal",
_xlfn.XLOOKUP(BD_Receitas[[#This Row],[ID]],TabCondicoesComerciais[ID],TabCondicoesComerciais[Tarifa 2º Giro],0),0)</f>
        <v>0</v>
      </c>
      <c r="T9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8" spans="1:24" hidden="1" x14ac:dyDescent="0.35">
      <c r="A998" s="3" t="s">
        <v>274</v>
      </c>
      <c r="B998" s="11">
        <v>46174</v>
      </c>
      <c r="C998" t="s">
        <v>31</v>
      </c>
      <c r="D998" t="s">
        <v>202</v>
      </c>
      <c r="E998" t="s">
        <v>36</v>
      </c>
      <c r="F998" s="10" t="s">
        <v>48</v>
      </c>
      <c r="G998" s="3" t="s">
        <v>49</v>
      </c>
      <c r="H998" s="3" t="s">
        <v>52</v>
      </c>
      <c r="I998" s="3" t="s">
        <v>8</v>
      </c>
      <c r="J998" s="1">
        <v>0</v>
      </c>
      <c r="K998" s="12">
        <v>0</v>
      </c>
      <c r="L998" s="1"/>
      <c r="M998" s="12"/>
      <c r="N998"/>
      <c r="O998"/>
      <c r="P998" s="2" t="str">
        <f>IF(BD_Receitas[[#This Row],[TIPO DE COBRANÇA]]="Operação Normal",
_xlfn.XLOOKUP(BD_Receitas[[#This Row],[ID]],TabCondicoesComerciais[ID],TabCondicoesComerciais[Volume mínimo 
(m3)],0),"")</f>
        <v/>
      </c>
      <c r="Q998" s="2">
        <f>_xlfn.XLOOKUP(BD_Receitas[[#This Row],[ID]],TabCondicoesComerciais[ID],TabCondicoesComerciais[Vol. 1ºGiro],0)</f>
        <v>360</v>
      </c>
      <c r="R9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998" s="1">
        <f xml:space="preserve"> IF(BD_Receitas[[#This Row],[TIPO DE COBRANÇA]]="Operação Normal",
_xlfn.XLOOKUP(BD_Receitas[[#This Row],[ID]],TabCondicoesComerciais[ID],TabCondicoesComerciais[Tarifa 2º Giro],0),0)</f>
        <v>0</v>
      </c>
      <c r="T9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9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9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9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9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999" spans="1:24" hidden="1" x14ac:dyDescent="0.35">
      <c r="A999" s="3" t="s">
        <v>274</v>
      </c>
      <c r="B999" s="11">
        <v>46174</v>
      </c>
      <c r="C999" t="s">
        <v>31</v>
      </c>
      <c r="D999" t="s">
        <v>202</v>
      </c>
      <c r="E999" t="s">
        <v>36</v>
      </c>
      <c r="F999" s="10" t="s">
        <v>48</v>
      </c>
      <c r="G999" s="3" t="s">
        <v>49</v>
      </c>
      <c r="H999" s="3" t="s">
        <v>52</v>
      </c>
      <c r="I999" s="3" t="s">
        <v>15</v>
      </c>
      <c r="J999" s="1">
        <v>89789.3701</v>
      </c>
      <c r="K999" s="12">
        <v>2040</v>
      </c>
      <c r="L999" s="1">
        <v>89596.800000000003</v>
      </c>
      <c r="M999" s="12">
        <v>971.79300000000001</v>
      </c>
      <c r="N999" t="s">
        <v>23</v>
      </c>
      <c r="O999"/>
      <c r="P999" s="2">
        <f>IF(BD_Receitas[[#This Row],[TIPO DE COBRANÇA]]="Operação Normal",
_xlfn.XLOOKUP(BD_Receitas[[#This Row],[ID]],TabCondicoesComerciais[ID],TabCondicoesComerciais[Volume mínimo 
(m3)],0),"")</f>
        <v>2040</v>
      </c>
      <c r="Q999" s="2">
        <f>_xlfn.XLOOKUP(BD_Receitas[[#This Row],[ID]],TabCondicoesComerciais[ID],TabCondicoesComerciais[Vol. 1ºGiro],0)</f>
        <v>360</v>
      </c>
      <c r="R9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999" s="1">
        <f xml:space="preserve"> IF(BD_Receitas[[#This Row],[TIPO DE COBRANÇA]]="Operação Normal",
_xlfn.XLOOKUP(BD_Receitas[[#This Row],[ID]],TabCondicoesComerciais[ID],TabCondicoesComerciais[Tarifa 2º Giro],0),0)</f>
        <v>43.92</v>
      </c>
      <c r="T999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9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92.197412411902533</v>
      </c>
      <c r="V9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9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42681.148560000001</v>
      </c>
      <c r="X9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00" spans="1:24" hidden="1" x14ac:dyDescent="0.35">
      <c r="A1000" s="3" t="s">
        <v>274</v>
      </c>
      <c r="B1000" s="11">
        <v>46174</v>
      </c>
      <c r="C1000" t="s">
        <v>31</v>
      </c>
      <c r="D1000" t="s">
        <v>202</v>
      </c>
      <c r="E1000" t="s">
        <v>36</v>
      </c>
      <c r="F1000" s="10" t="s">
        <v>48</v>
      </c>
      <c r="G1000" s="3" t="s">
        <v>49</v>
      </c>
      <c r="H1000" s="3" t="s">
        <v>52</v>
      </c>
      <c r="I1000" s="3" t="s">
        <v>65</v>
      </c>
      <c r="J1000" s="1">
        <v>0</v>
      </c>
      <c r="K1000" s="12">
        <v>0</v>
      </c>
      <c r="L1000" s="1"/>
      <c r="M1000" s="12"/>
      <c r="N1000"/>
      <c r="O1000"/>
      <c r="P1000" s="2" t="str">
        <f>IF(BD_Receitas[[#This Row],[TIPO DE COBRANÇA]]="Operação Normal",
_xlfn.XLOOKUP(BD_Receitas[[#This Row],[ID]],TabCondicoesComerciais[ID],TabCondicoesComerciais[Volume mínimo 
(m3)],0),"")</f>
        <v/>
      </c>
      <c r="Q1000" s="2">
        <f>_xlfn.XLOOKUP(BD_Receitas[[#This Row],[ID]],TabCondicoesComerciais[ID],TabCondicoesComerciais[Vol. 1ºGiro],0)</f>
        <v>360</v>
      </c>
      <c r="R10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0" s="1">
        <f xml:space="preserve"> IF(BD_Receitas[[#This Row],[TIPO DE COBRANÇA]]="Operação Normal",
_xlfn.XLOOKUP(BD_Receitas[[#This Row],[ID]],TabCondicoesComerciais[ID],TabCondicoesComerciais[Tarifa 2º Giro],0),0)</f>
        <v>0</v>
      </c>
      <c r="T10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1" spans="1:24" hidden="1" x14ac:dyDescent="0.35">
      <c r="A1001" s="3" t="s">
        <v>275</v>
      </c>
      <c r="B1001" s="11">
        <v>46174</v>
      </c>
      <c r="C1001" t="s">
        <v>31</v>
      </c>
      <c r="D1001" t="s">
        <v>202</v>
      </c>
      <c r="E1001" t="s">
        <v>36</v>
      </c>
      <c r="F1001" s="10" t="s">
        <v>48</v>
      </c>
      <c r="G1001" s="3" t="s">
        <v>49</v>
      </c>
      <c r="H1001" s="3" t="s">
        <v>14</v>
      </c>
      <c r="I1001" s="3" t="s">
        <v>7</v>
      </c>
      <c r="J1001" s="1">
        <v>0</v>
      </c>
      <c r="K1001" s="12">
        <v>0</v>
      </c>
      <c r="L1001" s="1"/>
      <c r="M1001" s="12"/>
      <c r="N1001"/>
      <c r="O1001"/>
      <c r="P1001" s="2" t="str">
        <f>IF(BD_Receitas[[#This Row],[TIPO DE COBRANÇA]]="Operação Normal",
_xlfn.XLOOKUP(BD_Receitas[[#This Row],[ID]],TabCondicoesComerciais[ID],TabCondicoesComerciais[Volume mínimo 
(m3)],0),"")</f>
        <v/>
      </c>
      <c r="Q1001" s="2">
        <f>_xlfn.XLOOKUP(BD_Receitas[[#This Row],[ID]],TabCondicoesComerciais[ID],TabCondicoesComerciais[Vol. 1ºGiro],0)</f>
        <v>365</v>
      </c>
      <c r="R10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1" s="1">
        <f xml:space="preserve"> IF(BD_Receitas[[#This Row],[TIPO DE COBRANÇA]]="Operação Normal",
_xlfn.XLOOKUP(BD_Receitas[[#This Row],[ID]],TabCondicoesComerciais[ID],TabCondicoesComerciais[Tarifa 2º Giro],0),0)</f>
        <v>0</v>
      </c>
      <c r="T10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2" spans="1:24" hidden="1" x14ac:dyDescent="0.35">
      <c r="A1002" s="3" t="s">
        <v>275</v>
      </c>
      <c r="B1002" s="11">
        <v>46174</v>
      </c>
      <c r="C1002" t="s">
        <v>31</v>
      </c>
      <c r="D1002" t="s">
        <v>202</v>
      </c>
      <c r="E1002" t="s">
        <v>36</v>
      </c>
      <c r="F1002" s="10" t="s">
        <v>48</v>
      </c>
      <c r="G1002" s="3" t="s">
        <v>49</v>
      </c>
      <c r="H1002" s="3" t="s">
        <v>14</v>
      </c>
      <c r="I1002" s="3" t="s">
        <v>8</v>
      </c>
      <c r="J1002" s="1">
        <v>0</v>
      </c>
      <c r="K1002" s="12">
        <v>0</v>
      </c>
      <c r="L1002" s="1"/>
      <c r="M1002" s="12"/>
      <c r="N1002"/>
      <c r="O1002"/>
      <c r="P1002" s="2" t="str">
        <f>IF(BD_Receitas[[#This Row],[TIPO DE COBRANÇA]]="Operação Normal",
_xlfn.XLOOKUP(BD_Receitas[[#This Row],[ID]],TabCondicoesComerciais[ID],TabCondicoesComerciais[Volume mínimo 
(m3)],0),"")</f>
        <v/>
      </c>
      <c r="Q1002" s="2">
        <f>_xlfn.XLOOKUP(BD_Receitas[[#This Row],[ID]],TabCondicoesComerciais[ID],TabCondicoesComerciais[Vol. 1ºGiro],0)</f>
        <v>365</v>
      </c>
      <c r="R10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2" s="1">
        <f xml:space="preserve"> IF(BD_Receitas[[#This Row],[TIPO DE COBRANÇA]]="Operação Normal",
_xlfn.XLOOKUP(BD_Receitas[[#This Row],[ID]],TabCondicoesComerciais[ID],TabCondicoesComerciais[Tarifa 2º Giro],0),0)</f>
        <v>0</v>
      </c>
      <c r="T10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3" spans="1:24" hidden="1" x14ac:dyDescent="0.35">
      <c r="A1003" s="3" t="s">
        <v>275</v>
      </c>
      <c r="B1003" s="11">
        <v>46174</v>
      </c>
      <c r="C1003" t="s">
        <v>31</v>
      </c>
      <c r="D1003" t="s">
        <v>202</v>
      </c>
      <c r="E1003" t="s">
        <v>36</v>
      </c>
      <c r="F1003" s="10" t="s">
        <v>48</v>
      </c>
      <c r="G1003" s="3" t="s">
        <v>49</v>
      </c>
      <c r="H1003" s="3" t="s">
        <v>14</v>
      </c>
      <c r="I1003" s="3" t="s">
        <v>15</v>
      </c>
      <c r="J1003" s="1">
        <v>17995.57</v>
      </c>
      <c r="K1003" s="12">
        <v>936</v>
      </c>
      <c r="L1003" s="1">
        <v>17718.48</v>
      </c>
      <c r="M1003" s="12">
        <v>667.428</v>
      </c>
      <c r="N1003" t="s">
        <v>67</v>
      </c>
      <c r="O1003"/>
      <c r="P1003" s="2">
        <f>IF(BD_Receitas[[#This Row],[TIPO DE COBRANÇA]]="Operação Normal",
_xlfn.XLOOKUP(BD_Receitas[[#This Row],[ID]],TabCondicoesComerciais[ID],TabCondicoesComerciais[Volume mínimo 
(m3)],0),"")</f>
        <v>936</v>
      </c>
      <c r="Q1003" s="2">
        <f>_xlfn.XLOOKUP(BD_Receitas[[#This Row],[ID]],TabCondicoesComerciais[ID],TabCondicoesComerciais[Vol. 1ºGiro],0)</f>
        <v>365</v>
      </c>
      <c r="R10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003" s="1">
        <f xml:space="preserve"> IF(BD_Receitas[[#This Row],[TIPO DE COBRANÇA]]="Operação Normal",
_xlfn.XLOOKUP(BD_Receitas[[#This Row],[ID]],TabCondicoesComerciais[ID],TabCondicoesComerciais[Tarifa 2º Giro],0),0)</f>
        <v>18.93</v>
      </c>
      <c r="T1003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10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26.547402865927111</v>
      </c>
      <c r="V10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0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12634.412039999999</v>
      </c>
      <c r="X10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04" spans="1:24" hidden="1" x14ac:dyDescent="0.35">
      <c r="A1004" s="3" t="s">
        <v>275</v>
      </c>
      <c r="B1004" s="11">
        <v>46174</v>
      </c>
      <c r="C1004" t="s">
        <v>31</v>
      </c>
      <c r="D1004" t="s">
        <v>202</v>
      </c>
      <c r="E1004" t="s">
        <v>36</v>
      </c>
      <c r="F1004" s="10" t="s">
        <v>48</v>
      </c>
      <c r="G1004" s="3" t="s">
        <v>49</v>
      </c>
      <c r="H1004" s="3" t="s">
        <v>14</v>
      </c>
      <c r="I1004" s="3" t="s">
        <v>65</v>
      </c>
      <c r="J1004" s="1">
        <v>0</v>
      </c>
      <c r="K1004" s="12">
        <v>0</v>
      </c>
      <c r="L1004" s="1"/>
      <c r="M1004" s="12"/>
      <c r="N1004"/>
      <c r="O1004"/>
      <c r="P1004" s="2" t="str">
        <f>IF(BD_Receitas[[#This Row],[TIPO DE COBRANÇA]]="Operação Normal",
_xlfn.XLOOKUP(BD_Receitas[[#This Row],[ID]],TabCondicoesComerciais[ID],TabCondicoesComerciais[Volume mínimo 
(m3)],0),"")</f>
        <v/>
      </c>
      <c r="Q1004" s="2">
        <f>_xlfn.XLOOKUP(BD_Receitas[[#This Row],[ID]],TabCondicoesComerciais[ID],TabCondicoesComerciais[Vol. 1ºGiro],0)</f>
        <v>365</v>
      </c>
      <c r="R10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4" s="1">
        <f xml:space="preserve"> IF(BD_Receitas[[#This Row],[TIPO DE COBRANÇA]]="Operação Normal",
_xlfn.XLOOKUP(BD_Receitas[[#This Row],[ID]],TabCondicoesComerciais[ID],TabCondicoesComerciais[Tarifa 2º Giro],0),0)</f>
        <v>0</v>
      </c>
      <c r="T10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5" spans="1:24" hidden="1" x14ac:dyDescent="0.35">
      <c r="A1005" s="3" t="s">
        <v>208</v>
      </c>
      <c r="B1005" s="11">
        <v>46174</v>
      </c>
      <c r="C1005" t="s">
        <v>31</v>
      </c>
      <c r="D1005" t="s">
        <v>202</v>
      </c>
      <c r="E1005" t="s">
        <v>35</v>
      </c>
      <c r="F1005" s="10" t="s">
        <v>22</v>
      </c>
      <c r="G1005" s="3" t="s">
        <v>11</v>
      </c>
      <c r="H1005" s="3" t="s">
        <v>207</v>
      </c>
      <c r="I1005" s="3" t="s">
        <v>7</v>
      </c>
      <c r="J1005" s="1">
        <v>0</v>
      </c>
      <c r="K1005" s="12">
        <v>0</v>
      </c>
      <c r="L1005" s="1">
        <v>6736.95</v>
      </c>
      <c r="M1005" s="12">
        <v>688.95299999999997</v>
      </c>
      <c r="N1005"/>
      <c r="O1005"/>
      <c r="P1005" s="2" t="str">
        <f>IF(BD_Receitas[[#This Row],[TIPO DE COBRANÇA]]="Operação Normal",
_xlfn.XLOOKUP(BD_Receitas[[#This Row],[ID]],TabCondicoesComerciais[ID],TabCondicoesComerciais[Volume mínimo 
(m3)],0),"")</f>
        <v/>
      </c>
      <c r="Q1005" s="2">
        <f>_xlfn.XLOOKUP(BD_Receitas[[#This Row],[ID]],TabCondicoesComerciais[ID],TabCondicoesComerciais[Vol. 1ºGiro],0)</f>
        <v>625</v>
      </c>
      <c r="R10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005" s="1">
        <f xml:space="preserve"> IF(BD_Receitas[[#This Row],[TIPO DE COBRANÇA]]="Operação Normal",
_xlfn.XLOOKUP(BD_Receitas[[#This Row],[ID]],TabCondicoesComerciais[ID],TabCondicoesComerciais[Tarifa 2º Giro],0),0)</f>
        <v>0</v>
      </c>
      <c r="T10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6" spans="1:24" hidden="1" x14ac:dyDescent="0.35">
      <c r="A1006" s="3" t="s">
        <v>208</v>
      </c>
      <c r="B1006" s="11">
        <v>46174</v>
      </c>
      <c r="C1006" t="s">
        <v>31</v>
      </c>
      <c r="D1006" t="s">
        <v>202</v>
      </c>
      <c r="E1006" t="s">
        <v>35</v>
      </c>
      <c r="F1006" s="10" t="s">
        <v>22</v>
      </c>
      <c r="G1006" s="3" t="s">
        <v>11</v>
      </c>
      <c r="H1006" s="3" t="s">
        <v>207</v>
      </c>
      <c r="I1006" s="3" t="s">
        <v>8</v>
      </c>
      <c r="J1006" s="1">
        <v>0</v>
      </c>
      <c r="K1006" s="12">
        <v>0</v>
      </c>
      <c r="L1006" s="1">
        <v>6793.33</v>
      </c>
      <c r="M1006" s="12">
        <v>663.07100000000003</v>
      </c>
      <c r="N1006"/>
      <c r="O1006"/>
      <c r="P1006" s="2" t="str">
        <f>IF(BD_Receitas[[#This Row],[TIPO DE COBRANÇA]]="Operação Normal",
_xlfn.XLOOKUP(BD_Receitas[[#This Row],[ID]],TabCondicoesComerciais[ID],TabCondicoesComerciais[Volume mínimo 
(m3)],0),"")</f>
        <v/>
      </c>
      <c r="Q1006" s="2">
        <f>_xlfn.XLOOKUP(BD_Receitas[[#This Row],[ID]],TabCondicoesComerciais[ID],TabCondicoesComerciais[Vol. 1ºGiro],0)</f>
        <v>625</v>
      </c>
      <c r="R10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006" s="1">
        <f xml:space="preserve"> IF(BD_Receitas[[#This Row],[TIPO DE COBRANÇA]]="Operação Normal",
_xlfn.XLOOKUP(BD_Receitas[[#This Row],[ID]],TabCondicoesComerciais[ID],TabCondicoesComerciais[Tarifa 2º Giro],0),0)</f>
        <v>0</v>
      </c>
      <c r="T10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7" spans="1:24" hidden="1" x14ac:dyDescent="0.35">
      <c r="A1007" s="3" t="s">
        <v>208</v>
      </c>
      <c r="B1007" s="11">
        <v>46174</v>
      </c>
      <c r="C1007" t="s">
        <v>31</v>
      </c>
      <c r="D1007" t="s">
        <v>202</v>
      </c>
      <c r="E1007" t="s">
        <v>35</v>
      </c>
      <c r="F1007" s="10" t="s">
        <v>22</v>
      </c>
      <c r="G1007" s="3" t="s">
        <v>11</v>
      </c>
      <c r="H1007" s="3" t="s">
        <v>207</v>
      </c>
      <c r="I1007" s="3" t="s">
        <v>15</v>
      </c>
      <c r="J1007" s="1">
        <v>47210.53</v>
      </c>
      <c r="K1007" s="12">
        <v>1875</v>
      </c>
      <c r="L1007" s="1">
        <v>70797.75</v>
      </c>
      <c r="M1007" s="12">
        <v>2786.5189999999998</v>
      </c>
      <c r="N1007"/>
      <c r="O1007"/>
      <c r="P1007" s="2">
        <f>IF(BD_Receitas[[#This Row],[TIPO DE COBRANÇA]]="Operação Normal",
_xlfn.XLOOKUP(BD_Receitas[[#This Row],[ID]],TabCondicoesComerciais[ID],TabCondicoesComerciais[Volume mínimo 
(m3)],0),"")</f>
        <v>1875</v>
      </c>
      <c r="Q1007" s="2">
        <f>_xlfn.XLOOKUP(BD_Receitas[[#This Row],[ID]],TabCondicoesComerciais[ID],TabCondicoesComerciais[Vol. 1ºGiro],0)</f>
        <v>625</v>
      </c>
      <c r="R10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007" s="1">
        <f xml:space="preserve"> IF(BD_Receitas[[#This Row],[TIPO DE COBRANÇA]]="Operação Normal",
_xlfn.XLOOKUP(BD_Receitas[[#This Row],[ID]],TabCondicoesComerciais[ID],TabCondicoesComerciais[Tarifa 2º Giro],0),0)</f>
        <v>33</v>
      </c>
      <c r="T1007" s="5">
        <f>IFERROR(IF(BD_Receitas[[#This Row],[TIPO DE COBRANÇA]]&lt;&gt;"Operação Normal","",BD_Receitas[[#This Row],[Valor Total R$]]/ MAX(BD_Receitas[[#This Row],[Vol. Movimentado M³]],
BD_Receitas[[#This Row],[Volume Mínimo ]])
),0)</f>
        <v>25.407237488780808</v>
      </c>
      <c r="U10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30.262858426588874</v>
      </c>
      <c r="V10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0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91955.126999999993</v>
      </c>
      <c r="X10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08" spans="1:24" hidden="1" x14ac:dyDescent="0.35">
      <c r="A1008" s="3" t="s">
        <v>208</v>
      </c>
      <c r="B1008" s="11">
        <v>46174</v>
      </c>
      <c r="C1008" t="s">
        <v>31</v>
      </c>
      <c r="D1008" t="s">
        <v>202</v>
      </c>
      <c r="E1008" t="s">
        <v>35</v>
      </c>
      <c r="F1008" s="10" t="s">
        <v>22</v>
      </c>
      <c r="G1008" s="3" t="s">
        <v>11</v>
      </c>
      <c r="H1008" s="3" t="s">
        <v>207</v>
      </c>
      <c r="I1008" s="3" t="s">
        <v>65</v>
      </c>
      <c r="J1008" s="1">
        <v>0</v>
      </c>
      <c r="K1008" s="12">
        <v>0</v>
      </c>
      <c r="L1008" s="1"/>
      <c r="M1008" s="12"/>
      <c r="N1008"/>
      <c r="O1008"/>
      <c r="P1008" s="2" t="str">
        <f>IF(BD_Receitas[[#This Row],[TIPO DE COBRANÇA]]="Operação Normal",
_xlfn.XLOOKUP(BD_Receitas[[#This Row],[ID]],TabCondicoesComerciais[ID],TabCondicoesComerciais[Volume mínimo 
(m3)],0),"")</f>
        <v/>
      </c>
      <c r="Q1008" s="2">
        <f>_xlfn.XLOOKUP(BD_Receitas[[#This Row],[ID]],TabCondicoesComerciais[ID],TabCondicoesComerciais[Vol. 1ºGiro],0)</f>
        <v>625</v>
      </c>
      <c r="R10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8" s="1">
        <f xml:space="preserve"> IF(BD_Receitas[[#This Row],[TIPO DE COBRANÇA]]="Operação Normal",
_xlfn.XLOOKUP(BD_Receitas[[#This Row],[ID]],TabCondicoesComerciais[ID],TabCondicoesComerciais[Tarifa 2º Giro],0),0)</f>
        <v>0</v>
      </c>
      <c r="T10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09" spans="1:24" hidden="1" x14ac:dyDescent="0.35">
      <c r="A1009" s="3" t="s">
        <v>190</v>
      </c>
      <c r="B1009" s="11">
        <v>46174</v>
      </c>
      <c r="C1009" t="s">
        <v>31</v>
      </c>
      <c r="D1009" t="s">
        <v>202</v>
      </c>
      <c r="E1009" t="s">
        <v>35</v>
      </c>
      <c r="F1009" s="10" t="s">
        <v>22</v>
      </c>
      <c r="G1009" s="3" t="s">
        <v>11</v>
      </c>
      <c r="H1009" s="3" t="s">
        <v>116</v>
      </c>
      <c r="I1009" s="3" t="s">
        <v>7</v>
      </c>
      <c r="J1009" s="1">
        <v>0</v>
      </c>
      <c r="K1009" s="12">
        <v>0</v>
      </c>
      <c r="L1009" s="1"/>
      <c r="M1009" s="12"/>
      <c r="N1009"/>
      <c r="O1009"/>
      <c r="P1009" s="2" t="str">
        <f>IF(BD_Receitas[[#This Row],[TIPO DE COBRANÇA]]="Operação Normal",
_xlfn.XLOOKUP(BD_Receitas[[#This Row],[ID]],TabCondicoesComerciais[ID],TabCondicoesComerciais[Volume mínimo 
(m3)],0),"")</f>
        <v/>
      </c>
      <c r="Q1009" s="2">
        <f>_xlfn.XLOOKUP(BD_Receitas[[#This Row],[ID]],TabCondicoesComerciais[ID],TabCondicoesComerciais[Vol. 1ºGiro],0)</f>
        <v>580</v>
      </c>
      <c r="R10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09" s="1">
        <f xml:space="preserve"> IF(BD_Receitas[[#This Row],[TIPO DE COBRANÇA]]="Operação Normal",
_xlfn.XLOOKUP(BD_Receitas[[#This Row],[ID]],TabCondicoesComerciais[ID],TabCondicoesComerciais[Tarifa 2º Giro],0),0)</f>
        <v>0</v>
      </c>
      <c r="T10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0" spans="1:24" hidden="1" x14ac:dyDescent="0.35">
      <c r="A1010" s="3" t="s">
        <v>190</v>
      </c>
      <c r="B1010" s="11">
        <v>46174</v>
      </c>
      <c r="C1010" t="s">
        <v>31</v>
      </c>
      <c r="D1010" t="s">
        <v>202</v>
      </c>
      <c r="E1010" t="s">
        <v>35</v>
      </c>
      <c r="F1010" s="10" t="s">
        <v>22</v>
      </c>
      <c r="G1010" s="3" t="s">
        <v>11</v>
      </c>
      <c r="H1010" s="3" t="s">
        <v>116</v>
      </c>
      <c r="I1010" s="3" t="s">
        <v>8</v>
      </c>
      <c r="J1010" s="1">
        <v>0</v>
      </c>
      <c r="K1010" s="12">
        <v>0</v>
      </c>
      <c r="L1010" s="1"/>
      <c r="M1010" s="12"/>
      <c r="N1010"/>
      <c r="O1010"/>
      <c r="P1010" s="2" t="str">
        <f>IF(BD_Receitas[[#This Row],[TIPO DE COBRANÇA]]="Operação Normal",
_xlfn.XLOOKUP(BD_Receitas[[#This Row],[ID]],TabCondicoesComerciais[ID],TabCondicoesComerciais[Volume mínimo 
(m3)],0),"")</f>
        <v/>
      </c>
      <c r="Q1010" s="2">
        <f>_xlfn.XLOOKUP(BD_Receitas[[#This Row],[ID]],TabCondicoesComerciais[ID],TabCondicoesComerciais[Vol. 1ºGiro],0)</f>
        <v>580</v>
      </c>
      <c r="R10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10" s="1">
        <f xml:space="preserve"> IF(BD_Receitas[[#This Row],[TIPO DE COBRANÇA]]="Operação Normal",
_xlfn.XLOOKUP(BD_Receitas[[#This Row],[ID]],TabCondicoesComerciais[ID],TabCondicoesComerciais[Tarifa 2º Giro],0),0)</f>
        <v>0</v>
      </c>
      <c r="T10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1" spans="1:24" hidden="1" x14ac:dyDescent="0.35">
      <c r="A1011" s="3" t="s">
        <v>190</v>
      </c>
      <c r="B1011" s="11">
        <v>46174</v>
      </c>
      <c r="C1011" t="s">
        <v>31</v>
      </c>
      <c r="D1011" t="s">
        <v>202</v>
      </c>
      <c r="E1011" t="s">
        <v>35</v>
      </c>
      <c r="F1011" s="10" t="s">
        <v>22</v>
      </c>
      <c r="G1011" s="3" t="s">
        <v>11</v>
      </c>
      <c r="H1011" s="3" t="s">
        <v>116</v>
      </c>
      <c r="I1011" s="3" t="s">
        <v>15</v>
      </c>
      <c r="J1011" s="1">
        <v>0</v>
      </c>
      <c r="K1011" s="12">
        <v>0</v>
      </c>
      <c r="L1011" s="1"/>
      <c r="M1011" s="12"/>
      <c r="N1011"/>
      <c r="O1011"/>
      <c r="P1011" s="2">
        <f>IF(BD_Receitas[[#This Row],[TIPO DE COBRANÇA]]="Operação Normal",
_xlfn.XLOOKUP(BD_Receitas[[#This Row],[ID]],TabCondicoesComerciais[ID],TabCondicoesComerciais[Volume mínimo 
(m3)],0),"")</f>
        <v>2000</v>
      </c>
      <c r="Q1011" s="2">
        <f>_xlfn.XLOOKUP(BD_Receitas[[#This Row],[ID]],TabCondicoesComerciais[ID],TabCondicoesComerciais[Vol. 1ºGiro],0)</f>
        <v>580</v>
      </c>
      <c r="R10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011" s="1">
        <f xml:space="preserve"> IF(BD_Receitas[[#This Row],[TIPO DE COBRANÇA]]="Operação Normal",
_xlfn.XLOOKUP(BD_Receitas[[#This Row],[ID]],TabCondicoesComerciais[ID],TabCondicoesComerciais[Tarifa 2º Giro],0),0)</f>
        <v>27</v>
      </c>
      <c r="T101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0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12" spans="1:24" hidden="1" x14ac:dyDescent="0.35">
      <c r="A1012" s="3" t="s">
        <v>190</v>
      </c>
      <c r="B1012" s="11">
        <v>46174</v>
      </c>
      <c r="C1012" t="s">
        <v>31</v>
      </c>
      <c r="D1012" t="s">
        <v>202</v>
      </c>
      <c r="E1012" t="s">
        <v>35</v>
      </c>
      <c r="F1012" s="10" t="s">
        <v>22</v>
      </c>
      <c r="G1012" s="3" t="s">
        <v>11</v>
      </c>
      <c r="H1012" s="3" t="s">
        <v>116</v>
      </c>
      <c r="I1012" s="3" t="s">
        <v>65</v>
      </c>
      <c r="J1012" s="1">
        <v>0</v>
      </c>
      <c r="K1012" s="12">
        <v>0</v>
      </c>
      <c r="L1012" s="1"/>
      <c r="M1012" s="12"/>
      <c r="N1012"/>
      <c r="O1012"/>
      <c r="P1012" s="2" t="str">
        <f>IF(BD_Receitas[[#This Row],[TIPO DE COBRANÇA]]="Operação Normal",
_xlfn.XLOOKUP(BD_Receitas[[#This Row],[ID]],TabCondicoesComerciais[ID],TabCondicoesComerciais[Volume mínimo 
(m3)],0),"")</f>
        <v/>
      </c>
      <c r="Q1012" s="2">
        <f>_xlfn.XLOOKUP(BD_Receitas[[#This Row],[ID]],TabCondicoesComerciais[ID],TabCondicoesComerciais[Vol. 1ºGiro],0)</f>
        <v>580</v>
      </c>
      <c r="R10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12" s="1">
        <f xml:space="preserve"> IF(BD_Receitas[[#This Row],[TIPO DE COBRANÇA]]="Operação Normal",
_xlfn.XLOOKUP(BD_Receitas[[#This Row],[ID]],TabCondicoesComerciais[ID],TabCondicoesComerciais[Tarifa 2º Giro],0),0)</f>
        <v>0</v>
      </c>
      <c r="T10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3" spans="1:24" hidden="1" x14ac:dyDescent="0.35">
      <c r="A1013" s="3" t="s">
        <v>172</v>
      </c>
      <c r="B1013" s="11">
        <v>46174</v>
      </c>
      <c r="C1013" t="s">
        <v>31</v>
      </c>
      <c r="D1013" t="s">
        <v>202</v>
      </c>
      <c r="E1013" t="s">
        <v>35</v>
      </c>
      <c r="F1013" s="10" t="s">
        <v>22</v>
      </c>
      <c r="G1013" s="3" t="s">
        <v>11</v>
      </c>
      <c r="H1013" s="3" t="s">
        <v>13</v>
      </c>
      <c r="I1013" s="3" t="s">
        <v>7</v>
      </c>
      <c r="J1013" s="1">
        <v>0</v>
      </c>
      <c r="K1013" s="12">
        <v>0</v>
      </c>
      <c r="L1013" s="1">
        <v>3034.3</v>
      </c>
      <c r="M1013" s="12">
        <v>343.02199999999999</v>
      </c>
      <c r="N1013"/>
      <c r="O1013"/>
      <c r="P1013" s="2" t="str">
        <f>IF(BD_Receitas[[#This Row],[TIPO DE COBRANÇA]]="Operação Normal",
_xlfn.XLOOKUP(BD_Receitas[[#This Row],[ID]],TabCondicoesComerciais[ID],TabCondicoesComerciais[Volume mínimo 
(m3)],0),"")</f>
        <v/>
      </c>
      <c r="Q1013" s="2">
        <f>_xlfn.XLOOKUP(BD_Receitas[[#This Row],[ID]],TabCondicoesComerciais[ID],TabCondicoesComerciais[Vol. 1ºGiro],0)</f>
        <v>750</v>
      </c>
      <c r="R10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013" s="1">
        <f xml:space="preserve"> IF(BD_Receitas[[#This Row],[TIPO DE COBRANÇA]]="Operação Normal",
_xlfn.XLOOKUP(BD_Receitas[[#This Row],[ID]],TabCondicoesComerciais[ID],TabCondicoesComerciais[Tarifa 2º Giro],0),0)</f>
        <v>0</v>
      </c>
      <c r="T10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4" spans="1:24" hidden="1" x14ac:dyDescent="0.35">
      <c r="A1014" s="3" t="s">
        <v>172</v>
      </c>
      <c r="B1014" s="11">
        <v>46174</v>
      </c>
      <c r="C1014" t="s">
        <v>31</v>
      </c>
      <c r="D1014" t="s">
        <v>202</v>
      </c>
      <c r="E1014" t="s">
        <v>35</v>
      </c>
      <c r="F1014" s="10" t="s">
        <v>22</v>
      </c>
      <c r="G1014" s="3" t="s">
        <v>11</v>
      </c>
      <c r="H1014" s="3" t="s">
        <v>13</v>
      </c>
      <c r="I1014" s="3" t="s">
        <v>8</v>
      </c>
      <c r="J1014" s="1">
        <v>0</v>
      </c>
      <c r="K1014" s="12">
        <v>0</v>
      </c>
      <c r="L1014" s="1">
        <v>1648.46</v>
      </c>
      <c r="M1014" s="12">
        <v>185.637</v>
      </c>
      <c r="N1014"/>
      <c r="O1014"/>
      <c r="P1014" s="2" t="str">
        <f>IF(BD_Receitas[[#This Row],[TIPO DE COBRANÇA]]="Operação Normal",
_xlfn.XLOOKUP(BD_Receitas[[#This Row],[ID]],TabCondicoesComerciais[ID],TabCondicoesComerciais[Volume mínimo 
(m3)],0),"")</f>
        <v/>
      </c>
      <c r="Q1014" s="2">
        <f>_xlfn.XLOOKUP(BD_Receitas[[#This Row],[ID]],TabCondicoesComerciais[ID],TabCondicoesComerciais[Vol. 1ºGiro],0)</f>
        <v>750</v>
      </c>
      <c r="R10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014" s="1">
        <f xml:space="preserve"> IF(BD_Receitas[[#This Row],[TIPO DE COBRANÇA]]="Operação Normal",
_xlfn.XLOOKUP(BD_Receitas[[#This Row],[ID]],TabCondicoesComerciais[ID],TabCondicoesComerciais[Tarifa 2º Giro],0),0)</f>
        <v>0</v>
      </c>
      <c r="T10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5" spans="1:24" hidden="1" x14ac:dyDescent="0.35">
      <c r="A1015" s="3" t="s">
        <v>172</v>
      </c>
      <c r="B1015" s="11">
        <v>46174</v>
      </c>
      <c r="C1015" t="s">
        <v>31</v>
      </c>
      <c r="D1015" t="s">
        <v>202</v>
      </c>
      <c r="E1015" t="s">
        <v>35</v>
      </c>
      <c r="F1015" s="10" t="s">
        <v>22</v>
      </c>
      <c r="G1015" s="3" t="s">
        <v>11</v>
      </c>
      <c r="H1015" s="3" t="s">
        <v>13</v>
      </c>
      <c r="I1015" s="3" t="s">
        <v>15</v>
      </c>
      <c r="J1015" s="1">
        <v>0</v>
      </c>
      <c r="K1015" s="12">
        <v>0</v>
      </c>
      <c r="L1015" s="1">
        <v>17643.259999999998</v>
      </c>
      <c r="M1015" s="12">
        <v>794.74199999999996</v>
      </c>
      <c r="N1015"/>
      <c r="O1015"/>
      <c r="P1015" s="2">
        <f>IF(BD_Receitas[[#This Row],[TIPO DE COBRANÇA]]="Operação Normal",
_xlfn.XLOOKUP(BD_Receitas[[#This Row],[ID]],TabCondicoesComerciais[ID],TabCondicoesComerciais[Volume mínimo 
(m3)],0),"")</f>
        <v>0</v>
      </c>
      <c r="Q1015" s="2">
        <f>_xlfn.XLOOKUP(BD_Receitas[[#This Row],[ID]],TabCondicoesComerciais[ID],TabCondicoesComerciais[Vol. 1ºGiro],0)</f>
        <v>750</v>
      </c>
      <c r="R10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015" s="1">
        <f xml:space="preserve"> IF(BD_Receitas[[#This Row],[TIPO DE COBRANÇA]]="Operação Normal",
_xlfn.XLOOKUP(BD_Receitas[[#This Row],[ID]],TabCondicoesComerciais[ID],TabCondicoesComerciais[Tarifa 2º Giro],0),0)</f>
        <v>22.2</v>
      </c>
      <c r="T1015" s="5">
        <f>IFERROR(IF(BD_Receitas[[#This Row],[TIPO DE COBRANÇA]]&lt;&gt;"Operação Normal","",BD_Receitas[[#This Row],[Valor Total R$]]/ MAX(BD_Receitas[[#This Row],[Vol. Movimentado M³]],
BD_Receitas[[#This Row],[Volume Mínimo ]])
),0)</f>
        <v>22.199984397452255</v>
      </c>
      <c r="U10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28.09216072637409</v>
      </c>
      <c r="V10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0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17643.272399999998</v>
      </c>
      <c r="X10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16" spans="1:24" hidden="1" x14ac:dyDescent="0.35">
      <c r="A1016" s="3" t="s">
        <v>172</v>
      </c>
      <c r="B1016" s="11">
        <v>46174</v>
      </c>
      <c r="C1016" t="s">
        <v>31</v>
      </c>
      <c r="D1016" t="s">
        <v>202</v>
      </c>
      <c r="E1016" t="s">
        <v>35</v>
      </c>
      <c r="F1016" s="10" t="s">
        <v>22</v>
      </c>
      <c r="G1016" s="3" t="s">
        <v>11</v>
      </c>
      <c r="H1016" s="3" t="s">
        <v>13</v>
      </c>
      <c r="I1016" s="3" t="s">
        <v>65</v>
      </c>
      <c r="J1016" s="1">
        <v>0</v>
      </c>
      <c r="K1016" s="12">
        <v>0</v>
      </c>
      <c r="L1016" s="1"/>
      <c r="M1016" s="12"/>
      <c r="N1016"/>
      <c r="O1016"/>
      <c r="P1016" s="2" t="str">
        <f>IF(BD_Receitas[[#This Row],[TIPO DE COBRANÇA]]="Operação Normal",
_xlfn.XLOOKUP(BD_Receitas[[#This Row],[ID]],TabCondicoesComerciais[ID],TabCondicoesComerciais[Volume mínimo 
(m3)],0),"")</f>
        <v/>
      </c>
      <c r="Q1016" s="2">
        <f>_xlfn.XLOOKUP(BD_Receitas[[#This Row],[ID]],TabCondicoesComerciais[ID],TabCondicoesComerciais[Vol. 1ºGiro],0)</f>
        <v>750</v>
      </c>
      <c r="R10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16" s="1">
        <f xml:space="preserve"> IF(BD_Receitas[[#This Row],[TIPO DE COBRANÇA]]="Operação Normal",
_xlfn.XLOOKUP(BD_Receitas[[#This Row],[ID]],TabCondicoesComerciais[ID],TabCondicoesComerciais[Tarifa 2º Giro],0),0)</f>
        <v>0</v>
      </c>
      <c r="T10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7" spans="1:24" hidden="1" x14ac:dyDescent="0.35">
      <c r="A1017" s="3" t="s">
        <v>201</v>
      </c>
      <c r="B1017" s="11">
        <v>46174</v>
      </c>
      <c r="C1017" t="s">
        <v>31</v>
      </c>
      <c r="D1017" t="s">
        <v>202</v>
      </c>
      <c r="E1017" t="s">
        <v>35</v>
      </c>
      <c r="F1017" s="10" t="s">
        <v>22</v>
      </c>
      <c r="G1017" s="3" t="s">
        <v>11</v>
      </c>
      <c r="H1017" s="3" t="s">
        <v>6</v>
      </c>
      <c r="I1017" s="3" t="s">
        <v>7</v>
      </c>
      <c r="J1017" s="1"/>
      <c r="K1017" s="12"/>
      <c r="L1017" s="1"/>
      <c r="M1017" s="12"/>
      <c r="N1017"/>
      <c r="O1017"/>
      <c r="P1017" s="2" t="str">
        <f>IF(BD_Receitas[[#This Row],[TIPO DE COBRANÇA]]="Operação Normal",
_xlfn.XLOOKUP(BD_Receitas[[#This Row],[ID]],TabCondicoesComerciais[ID],TabCondicoesComerciais[Volume mínimo 
(m3)],0),"")</f>
        <v/>
      </c>
      <c r="Q1017" s="2">
        <f>_xlfn.XLOOKUP(BD_Receitas[[#This Row],[ID]],TabCondicoesComerciais[ID],TabCondicoesComerciais[Vol. 1ºGiro],0)</f>
        <v>300</v>
      </c>
      <c r="R10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17" s="1">
        <f xml:space="preserve"> IF(BD_Receitas[[#This Row],[TIPO DE COBRANÇA]]="Operação Normal",
_xlfn.XLOOKUP(BD_Receitas[[#This Row],[ID]],TabCondicoesComerciais[ID],TabCondicoesComerciais[Tarifa 2º Giro],0),0)</f>
        <v>0</v>
      </c>
      <c r="T10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8" spans="1:24" hidden="1" x14ac:dyDescent="0.35">
      <c r="A1018" s="3" t="s">
        <v>201</v>
      </c>
      <c r="B1018" s="11">
        <v>46174</v>
      </c>
      <c r="C1018" t="s">
        <v>31</v>
      </c>
      <c r="D1018" t="s">
        <v>202</v>
      </c>
      <c r="E1018" t="s">
        <v>35</v>
      </c>
      <c r="F1018" s="10" t="s">
        <v>22</v>
      </c>
      <c r="G1018" s="3" t="s">
        <v>11</v>
      </c>
      <c r="H1018" s="3" t="s">
        <v>6</v>
      </c>
      <c r="I1018" s="3" t="s">
        <v>8</v>
      </c>
      <c r="J1018" s="1"/>
      <c r="K1018" s="12"/>
      <c r="L1018" s="1">
        <v>2568.42</v>
      </c>
      <c r="M1018" s="12">
        <v>85.614000000000004</v>
      </c>
      <c r="N1018"/>
      <c r="O1018" t="s">
        <v>338</v>
      </c>
      <c r="P1018" s="2" t="str">
        <f>IF(BD_Receitas[[#This Row],[TIPO DE COBRANÇA]]="Operação Normal",
_xlfn.XLOOKUP(BD_Receitas[[#This Row],[ID]],TabCondicoesComerciais[ID],TabCondicoesComerciais[Volume mínimo 
(m3)],0),"")</f>
        <v/>
      </c>
      <c r="Q1018" s="2">
        <f>_xlfn.XLOOKUP(BD_Receitas[[#This Row],[ID]],TabCondicoesComerciais[ID],TabCondicoesComerciais[Vol. 1ºGiro],0)</f>
        <v>300</v>
      </c>
      <c r="R10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18" s="1">
        <f xml:space="preserve"> IF(BD_Receitas[[#This Row],[TIPO DE COBRANÇA]]="Operação Normal",
_xlfn.XLOOKUP(BD_Receitas[[#This Row],[ID]],TabCondicoesComerciais[ID],TabCondicoesComerciais[Tarifa 2º Giro],0),0)</f>
        <v>0</v>
      </c>
      <c r="T10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19" spans="1:24" hidden="1" x14ac:dyDescent="0.35">
      <c r="A1019" s="3" t="s">
        <v>201</v>
      </c>
      <c r="B1019" s="11">
        <v>46174</v>
      </c>
      <c r="C1019" t="s">
        <v>31</v>
      </c>
      <c r="D1019" t="s">
        <v>202</v>
      </c>
      <c r="E1019" t="s">
        <v>35</v>
      </c>
      <c r="F1019" s="10" t="s">
        <v>22</v>
      </c>
      <c r="G1019" s="3" t="s">
        <v>11</v>
      </c>
      <c r="H1019" s="3" t="s">
        <v>6</v>
      </c>
      <c r="I1019" s="3" t="s">
        <v>15</v>
      </c>
      <c r="J1019" s="1"/>
      <c r="K1019" s="12"/>
      <c r="L1019" s="1"/>
      <c r="M1019" s="12"/>
      <c r="N1019"/>
      <c r="O1019"/>
      <c r="P1019" s="2">
        <f>IF(BD_Receitas[[#This Row],[TIPO DE COBRANÇA]]="Operação Normal",
_xlfn.XLOOKUP(BD_Receitas[[#This Row],[ID]],TabCondicoesComerciais[ID],TabCondicoesComerciais[Volume mínimo 
(m3)],0),"")</f>
        <v>0</v>
      </c>
      <c r="Q1019" s="2">
        <f>_xlfn.XLOOKUP(BD_Receitas[[#This Row],[ID]],TabCondicoesComerciais[ID],TabCondicoesComerciais[Vol. 1ºGiro],0)</f>
        <v>300</v>
      </c>
      <c r="R10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019" s="1">
        <f xml:space="preserve"> IF(BD_Receitas[[#This Row],[TIPO DE COBRANÇA]]="Operação Normal",
_xlfn.XLOOKUP(BD_Receitas[[#This Row],[ID]],TabCondicoesComerciais[ID],TabCondicoesComerciais[Tarifa 2º Giro],0),0)</f>
        <v>30</v>
      </c>
      <c r="T101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0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020" spans="1:24" hidden="1" x14ac:dyDescent="0.35">
      <c r="A1020" s="3" t="s">
        <v>201</v>
      </c>
      <c r="B1020" s="11">
        <v>46174</v>
      </c>
      <c r="C1020" t="s">
        <v>31</v>
      </c>
      <c r="D1020" t="s">
        <v>202</v>
      </c>
      <c r="E1020" t="s">
        <v>35</v>
      </c>
      <c r="F1020" s="10" t="s">
        <v>22</v>
      </c>
      <c r="G1020" s="3" t="s">
        <v>11</v>
      </c>
      <c r="H1020" s="3" t="s">
        <v>6</v>
      </c>
      <c r="I1020" s="3" t="s">
        <v>65</v>
      </c>
      <c r="J1020" s="1"/>
      <c r="K1020" s="12"/>
      <c r="L1020" s="1"/>
      <c r="M1020" s="12"/>
      <c r="N1020"/>
      <c r="O1020"/>
      <c r="P1020" s="2" t="str">
        <f>IF(BD_Receitas[[#This Row],[TIPO DE COBRANÇA]]="Operação Normal",
_xlfn.XLOOKUP(BD_Receitas[[#This Row],[ID]],TabCondicoesComerciais[ID],TabCondicoesComerciais[Volume mínimo 
(m3)],0),"")</f>
        <v/>
      </c>
      <c r="Q1020" s="2">
        <f>_xlfn.XLOOKUP(BD_Receitas[[#This Row],[ID]],TabCondicoesComerciais[ID],TabCondicoesComerciais[Vol. 1ºGiro],0)</f>
        <v>300</v>
      </c>
      <c r="R10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20" s="1">
        <f xml:space="preserve"> IF(BD_Receitas[[#This Row],[TIPO DE COBRANÇA]]="Operação Normal",
_xlfn.XLOOKUP(BD_Receitas[[#This Row],[ID]],TabCondicoesComerciais[ID],TabCondicoesComerciais[Tarifa 2º Giro],0),0)</f>
        <v>0</v>
      </c>
      <c r="T10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1" spans="1:24" hidden="1" x14ac:dyDescent="0.35">
      <c r="A1021" s="3" t="s">
        <v>177</v>
      </c>
      <c r="B1021" s="11">
        <v>46174</v>
      </c>
      <c r="C1021" t="s">
        <v>31</v>
      </c>
      <c r="D1021" t="s">
        <v>62</v>
      </c>
      <c r="E1021" t="s">
        <v>33</v>
      </c>
      <c r="F1021" s="10" t="s">
        <v>46</v>
      </c>
      <c r="G1021" s="3" t="s">
        <v>87</v>
      </c>
      <c r="H1021" s="3" t="s">
        <v>9</v>
      </c>
      <c r="I1021" s="3" t="s">
        <v>7</v>
      </c>
      <c r="J1021" s="1">
        <v>0</v>
      </c>
      <c r="K1021" s="12">
        <v>0</v>
      </c>
      <c r="L1021" s="1"/>
      <c r="M1021" s="12"/>
      <c r="N1021"/>
      <c r="O1021"/>
      <c r="P1021" s="2" t="str">
        <f>IF(BD_Receitas[[#This Row],[TIPO DE COBRANÇA]]="Operação Normal",
_xlfn.XLOOKUP(BD_Receitas[[#This Row],[ID]],TabCondicoesComerciais[ID],TabCondicoesComerciais[Volume mínimo 
(m3)],0),"")</f>
        <v/>
      </c>
      <c r="Q1021" s="2">
        <f>_xlfn.XLOOKUP(BD_Receitas[[#This Row],[ID]],TabCondicoesComerciais[ID],TabCondicoesComerciais[Vol. 1ºGiro],0)</f>
        <v>1070</v>
      </c>
      <c r="R10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021" s="1">
        <f xml:space="preserve"> IF(BD_Receitas[[#This Row],[TIPO DE COBRANÇA]]="Operação Normal",
_xlfn.XLOOKUP(BD_Receitas[[#This Row],[ID]],TabCondicoesComerciais[ID],TabCondicoesComerciais[Tarifa 2º Giro],0),0)</f>
        <v>0</v>
      </c>
      <c r="T10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2" spans="1:24" hidden="1" x14ac:dyDescent="0.35">
      <c r="A1022" s="3" t="s">
        <v>177</v>
      </c>
      <c r="B1022" s="11">
        <v>46174</v>
      </c>
      <c r="C1022" t="s">
        <v>31</v>
      </c>
      <c r="D1022" t="s">
        <v>62</v>
      </c>
      <c r="E1022" t="s">
        <v>33</v>
      </c>
      <c r="F1022" s="10" t="s">
        <v>46</v>
      </c>
      <c r="G1022" s="3" t="s">
        <v>87</v>
      </c>
      <c r="H1022" s="3" t="s">
        <v>9</v>
      </c>
      <c r="I1022" s="3" t="s">
        <v>8</v>
      </c>
      <c r="J1022" s="1">
        <v>0</v>
      </c>
      <c r="K1022" s="12">
        <v>0</v>
      </c>
      <c r="L1022" s="1"/>
      <c r="M1022" s="12"/>
      <c r="N1022"/>
      <c r="O1022"/>
      <c r="P1022" s="2" t="str">
        <f>IF(BD_Receitas[[#This Row],[TIPO DE COBRANÇA]]="Operação Normal",
_xlfn.XLOOKUP(BD_Receitas[[#This Row],[ID]],TabCondicoesComerciais[ID],TabCondicoesComerciais[Volume mínimo 
(m3)],0),"")</f>
        <v/>
      </c>
      <c r="Q1022" s="2">
        <f>_xlfn.XLOOKUP(BD_Receitas[[#This Row],[ID]],TabCondicoesComerciais[ID],TabCondicoesComerciais[Vol. 1ºGiro],0)</f>
        <v>1070</v>
      </c>
      <c r="R10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022" s="1">
        <f xml:space="preserve"> IF(BD_Receitas[[#This Row],[TIPO DE COBRANÇA]]="Operação Normal",
_xlfn.XLOOKUP(BD_Receitas[[#This Row],[ID]],TabCondicoesComerciais[ID],TabCondicoesComerciais[Tarifa 2º Giro],0),0)</f>
        <v>0</v>
      </c>
      <c r="T10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3" spans="1:24" hidden="1" x14ac:dyDescent="0.35">
      <c r="A1023" s="3" t="s">
        <v>177</v>
      </c>
      <c r="B1023" s="11">
        <v>46174</v>
      </c>
      <c r="C1023" t="s">
        <v>31</v>
      </c>
      <c r="D1023" t="s">
        <v>62</v>
      </c>
      <c r="E1023" t="s">
        <v>33</v>
      </c>
      <c r="F1023" s="10" t="s">
        <v>46</v>
      </c>
      <c r="G1023" s="3" t="s">
        <v>87</v>
      </c>
      <c r="H1023" s="3" t="s">
        <v>9</v>
      </c>
      <c r="I1023" s="3" t="s">
        <v>15</v>
      </c>
      <c r="J1023" s="1">
        <v>65348.32</v>
      </c>
      <c r="K1023" s="12">
        <v>1926</v>
      </c>
      <c r="L1023" s="1"/>
      <c r="M1023" s="12"/>
      <c r="N1023"/>
      <c r="O1023"/>
      <c r="P1023" s="2">
        <f>IF(BD_Receitas[[#This Row],[TIPO DE COBRANÇA]]="Operação Normal",
_xlfn.XLOOKUP(BD_Receitas[[#This Row],[ID]],TabCondicoesComerciais[ID],TabCondicoesComerciais[Volume mínimo 
(m3)],0),"")</f>
        <v>3210</v>
      </c>
      <c r="Q1023" s="2">
        <f>_xlfn.XLOOKUP(BD_Receitas[[#This Row],[ID]],TabCondicoesComerciais[ID],TabCondicoesComerciais[Vol. 1ºGiro],0)</f>
        <v>1070</v>
      </c>
      <c r="R10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023" s="1">
        <f xml:space="preserve"> IF(BD_Receitas[[#This Row],[TIPO DE COBRANÇA]]="Operação Normal",
_xlfn.XLOOKUP(BD_Receitas[[#This Row],[ID]],TabCondicoesComerciais[ID],TabCondicoesComerciais[Tarifa 2º Giro],0),0)</f>
        <v>32.64</v>
      </c>
      <c r="T102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0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24" spans="1:24" hidden="1" x14ac:dyDescent="0.35">
      <c r="A1024" s="3" t="s">
        <v>177</v>
      </c>
      <c r="B1024" s="11">
        <v>46174</v>
      </c>
      <c r="C1024" t="s">
        <v>31</v>
      </c>
      <c r="D1024" t="s">
        <v>62</v>
      </c>
      <c r="E1024" t="s">
        <v>33</v>
      </c>
      <c r="F1024" s="10" t="s">
        <v>46</v>
      </c>
      <c r="G1024" s="3" t="s">
        <v>87</v>
      </c>
      <c r="H1024" s="3" t="s">
        <v>9</v>
      </c>
      <c r="I1024" s="3" t="s">
        <v>65</v>
      </c>
      <c r="J1024" s="1">
        <v>0</v>
      </c>
      <c r="K1024" s="12">
        <v>0</v>
      </c>
      <c r="L1024" s="1"/>
      <c r="M1024" s="12"/>
      <c r="N1024"/>
      <c r="O1024"/>
      <c r="P1024" s="2" t="str">
        <f>IF(BD_Receitas[[#This Row],[TIPO DE COBRANÇA]]="Operação Normal",
_xlfn.XLOOKUP(BD_Receitas[[#This Row],[ID]],TabCondicoesComerciais[ID],TabCondicoesComerciais[Volume mínimo 
(m3)],0),"")</f>
        <v/>
      </c>
      <c r="Q1024" s="2">
        <f>_xlfn.XLOOKUP(BD_Receitas[[#This Row],[ID]],TabCondicoesComerciais[ID],TabCondicoesComerciais[Vol. 1ºGiro],0)</f>
        <v>1070</v>
      </c>
      <c r="R10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24" s="1">
        <f xml:space="preserve"> IF(BD_Receitas[[#This Row],[TIPO DE COBRANÇA]]="Operação Normal",
_xlfn.XLOOKUP(BD_Receitas[[#This Row],[ID]],TabCondicoesComerciais[ID],TabCondicoesComerciais[Tarifa 2º Giro],0),0)</f>
        <v>0</v>
      </c>
      <c r="T10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5" spans="1:24" hidden="1" x14ac:dyDescent="0.35">
      <c r="A1025" s="3" t="s">
        <v>200</v>
      </c>
      <c r="B1025" s="11">
        <v>46174</v>
      </c>
      <c r="C1025" t="s">
        <v>31</v>
      </c>
      <c r="D1025" t="s">
        <v>203</v>
      </c>
      <c r="E1025" t="s">
        <v>32</v>
      </c>
      <c r="F1025" s="10" t="s">
        <v>25</v>
      </c>
      <c r="G1025" s="3" t="s">
        <v>12</v>
      </c>
      <c r="H1025" s="3" t="s">
        <v>10</v>
      </c>
      <c r="I1025" s="3" t="s">
        <v>7</v>
      </c>
      <c r="J1025" s="1">
        <v>0</v>
      </c>
      <c r="K1025" s="12">
        <v>0</v>
      </c>
      <c r="L1025" s="1">
        <v>193.06</v>
      </c>
      <c r="M1025" s="12">
        <v>6.8949999999999996</v>
      </c>
      <c r="N1025"/>
      <c r="O1025"/>
      <c r="P1025" s="2" t="str">
        <f>IF(BD_Receitas[[#This Row],[TIPO DE COBRANÇA]]="Operação Normal",
_xlfn.XLOOKUP(BD_Receitas[[#This Row],[ID]],TabCondicoesComerciais[ID],TabCondicoesComerciais[Volume mínimo 
(m3)],0),"")</f>
        <v/>
      </c>
      <c r="Q1025" s="2">
        <f>_xlfn.XLOOKUP(BD_Receitas[[#This Row],[ID]],TabCondicoesComerciais[ID],TabCondicoesComerciais[Vol. 1ºGiro],0)</f>
        <v>2000</v>
      </c>
      <c r="R10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25" s="1">
        <f xml:space="preserve"> IF(BD_Receitas[[#This Row],[TIPO DE COBRANÇA]]="Operação Normal",
_xlfn.XLOOKUP(BD_Receitas[[#This Row],[ID]],TabCondicoesComerciais[ID],TabCondicoesComerciais[Tarifa 2º Giro],0),0)</f>
        <v>0</v>
      </c>
      <c r="T10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6" spans="1:24" hidden="1" x14ac:dyDescent="0.35">
      <c r="A1026" s="3" t="s">
        <v>200</v>
      </c>
      <c r="B1026" s="11">
        <v>46174</v>
      </c>
      <c r="C1026" t="s">
        <v>31</v>
      </c>
      <c r="D1026" t="s">
        <v>203</v>
      </c>
      <c r="E1026" t="s">
        <v>32</v>
      </c>
      <c r="F1026" s="10" t="s">
        <v>25</v>
      </c>
      <c r="G1026" s="3" t="s">
        <v>12</v>
      </c>
      <c r="H1026" s="3" t="s">
        <v>10</v>
      </c>
      <c r="I1026" s="3" t="s">
        <v>8</v>
      </c>
      <c r="J1026" s="1">
        <v>0</v>
      </c>
      <c r="K1026" s="12">
        <v>0</v>
      </c>
      <c r="L1026" s="1"/>
      <c r="M1026" s="12"/>
      <c r="N1026"/>
      <c r="O1026"/>
      <c r="P1026" s="2" t="str">
        <f>IF(BD_Receitas[[#This Row],[TIPO DE COBRANÇA]]="Operação Normal",
_xlfn.XLOOKUP(BD_Receitas[[#This Row],[ID]],TabCondicoesComerciais[ID],TabCondicoesComerciais[Volume mínimo 
(m3)],0),"")</f>
        <v/>
      </c>
      <c r="Q1026" s="2">
        <f>_xlfn.XLOOKUP(BD_Receitas[[#This Row],[ID]],TabCondicoesComerciais[ID],TabCondicoesComerciais[Vol. 1ºGiro],0)</f>
        <v>2000</v>
      </c>
      <c r="R10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26" s="1">
        <f xml:space="preserve"> IF(BD_Receitas[[#This Row],[TIPO DE COBRANÇA]]="Operação Normal",
_xlfn.XLOOKUP(BD_Receitas[[#This Row],[ID]],TabCondicoesComerciais[ID],TabCondicoesComerciais[Tarifa 2º Giro],0),0)</f>
        <v>0</v>
      </c>
      <c r="T10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7" spans="1:24" hidden="1" x14ac:dyDescent="0.35">
      <c r="A1027" s="3" t="s">
        <v>200</v>
      </c>
      <c r="B1027" s="11">
        <v>46174</v>
      </c>
      <c r="C1027" t="s">
        <v>31</v>
      </c>
      <c r="D1027" t="s">
        <v>203</v>
      </c>
      <c r="E1027" t="s">
        <v>32</v>
      </c>
      <c r="F1027" s="10" t="s">
        <v>25</v>
      </c>
      <c r="G1027" s="3" t="s">
        <v>12</v>
      </c>
      <c r="H1027" s="3" t="s">
        <v>10</v>
      </c>
      <c r="I1027" s="3" t="s">
        <v>15</v>
      </c>
      <c r="J1027" s="1">
        <v>0</v>
      </c>
      <c r="K1027" s="12">
        <v>0</v>
      </c>
      <c r="L1027" s="1">
        <v>240095.27</v>
      </c>
      <c r="M1027" s="12">
        <v>10416.281000000001</v>
      </c>
      <c r="N1027"/>
      <c r="O1027"/>
      <c r="P1027" s="2">
        <f>IF(BD_Receitas[[#This Row],[TIPO DE COBRANÇA]]="Operação Normal",
_xlfn.XLOOKUP(BD_Receitas[[#This Row],[ID]],TabCondicoesComerciais[ID],TabCondicoesComerciais[Volume mínimo 
(m3)],0),"")</f>
        <v>8000</v>
      </c>
      <c r="Q1027" s="2">
        <f>_xlfn.XLOOKUP(BD_Receitas[[#This Row],[ID]],TabCondicoesComerciais[ID],TabCondicoesComerciais[Vol. 1ºGiro],0)</f>
        <v>2000</v>
      </c>
      <c r="R10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027" s="1">
        <f xml:space="preserve"> IF(BD_Receitas[[#This Row],[TIPO DE COBRANÇA]]="Operação Normal",
_xlfn.XLOOKUP(BD_Receitas[[#This Row],[ID]],TabCondicoesComerciais[ID],TabCondicoesComerciais[Tarifa 2º Giro],0),0)</f>
        <v>20</v>
      </c>
      <c r="T1027" s="5">
        <f>IFERROR(IF(BD_Receitas[[#This Row],[TIPO DE COBRANÇA]]&lt;&gt;"Operação Normal","",BD_Receitas[[#This Row],[Valor Total R$]]/ MAX(BD_Receitas[[#This Row],[Vol. Movimentado M³]],
BD_Receitas[[#This Row],[Volume Mínimo ]])
),0)</f>
        <v>23.049999323174937</v>
      </c>
      <c r="U10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23.068533769394275</v>
      </c>
      <c r="V10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0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208325.62000000002</v>
      </c>
      <c r="X10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28" spans="1:24" hidden="1" x14ac:dyDescent="0.35">
      <c r="A1028" s="3" t="s">
        <v>200</v>
      </c>
      <c r="B1028" s="11">
        <v>46174</v>
      </c>
      <c r="C1028" t="s">
        <v>31</v>
      </c>
      <c r="D1028" t="s">
        <v>203</v>
      </c>
      <c r="E1028" t="s">
        <v>32</v>
      </c>
      <c r="F1028" s="10" t="s">
        <v>25</v>
      </c>
      <c r="G1028" s="3" t="s">
        <v>12</v>
      </c>
      <c r="H1028" s="3" t="s">
        <v>10</v>
      </c>
      <c r="I1028" s="3" t="s">
        <v>65</v>
      </c>
      <c r="J1028" s="1">
        <v>0</v>
      </c>
      <c r="K1028" s="12">
        <v>0</v>
      </c>
      <c r="L1028" s="1"/>
      <c r="M1028" s="12"/>
      <c r="N1028"/>
      <c r="O1028"/>
      <c r="P1028" s="2" t="str">
        <f>IF(BD_Receitas[[#This Row],[TIPO DE COBRANÇA]]="Operação Normal",
_xlfn.XLOOKUP(BD_Receitas[[#This Row],[ID]],TabCondicoesComerciais[ID],TabCondicoesComerciais[Volume mínimo 
(m3)],0),"")</f>
        <v/>
      </c>
      <c r="Q1028" s="2">
        <f>_xlfn.XLOOKUP(BD_Receitas[[#This Row],[ID]],TabCondicoesComerciais[ID],TabCondicoesComerciais[Vol. 1ºGiro],0)</f>
        <v>2000</v>
      </c>
      <c r="R10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28" s="1">
        <f xml:space="preserve"> IF(BD_Receitas[[#This Row],[TIPO DE COBRANÇA]]="Operação Normal",
_xlfn.XLOOKUP(BD_Receitas[[#This Row],[ID]],TabCondicoesComerciais[ID],TabCondicoesComerciais[Tarifa 2º Giro],0),0)</f>
        <v>0</v>
      </c>
      <c r="T10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29" spans="1:24" hidden="1" x14ac:dyDescent="0.35">
      <c r="A1029" s="3" t="s">
        <v>342</v>
      </c>
      <c r="B1029" s="11">
        <v>46174</v>
      </c>
      <c r="C1029" t="s">
        <v>31</v>
      </c>
      <c r="D1029" t="s">
        <v>203</v>
      </c>
      <c r="E1029" t="s">
        <v>32</v>
      </c>
      <c r="F1029" s="10" t="s">
        <v>25</v>
      </c>
      <c r="G1029" s="3" t="s">
        <v>12</v>
      </c>
      <c r="H1029" s="3" t="s">
        <v>9</v>
      </c>
      <c r="I1029" s="3" t="s">
        <v>7</v>
      </c>
      <c r="J1029" s="1">
        <v>0</v>
      </c>
      <c r="K1029" s="12">
        <v>0</v>
      </c>
      <c r="L1029" s="1">
        <v>3230.31</v>
      </c>
      <c r="M1029" s="12">
        <v>311.92399999999998</v>
      </c>
      <c r="N1029"/>
      <c r="O1029"/>
      <c r="P1029" s="2" t="str">
        <f>IF(BD_Receitas[[#This Row],[TIPO DE COBRANÇA]]="Operação Normal",
_xlfn.XLOOKUP(BD_Receitas[[#This Row],[ID]],TabCondicoesComerciais[ID],TabCondicoesComerciais[Volume mínimo 
(m3)],0),"")</f>
        <v/>
      </c>
      <c r="Q1029" s="2">
        <f>_xlfn.XLOOKUP(BD_Receitas[[#This Row],[ID]],TabCondicoesComerciais[ID],TabCondicoesComerciais[Vol. 1ºGiro],0)</f>
        <v>1125</v>
      </c>
      <c r="R10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029" s="1">
        <f xml:space="preserve"> IF(BD_Receitas[[#This Row],[TIPO DE COBRANÇA]]="Operação Normal",
_xlfn.XLOOKUP(BD_Receitas[[#This Row],[ID]],TabCondicoesComerciais[ID],TabCondicoesComerciais[Tarifa 2º Giro],0),0)</f>
        <v>0</v>
      </c>
      <c r="T10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0" spans="1:24" hidden="1" x14ac:dyDescent="0.35">
      <c r="A1030" s="3" t="s">
        <v>342</v>
      </c>
      <c r="B1030" s="11">
        <v>46174</v>
      </c>
      <c r="C1030" t="s">
        <v>31</v>
      </c>
      <c r="D1030" t="s">
        <v>203</v>
      </c>
      <c r="E1030" t="s">
        <v>32</v>
      </c>
      <c r="F1030" s="10" t="s">
        <v>25</v>
      </c>
      <c r="G1030" s="3" t="s">
        <v>12</v>
      </c>
      <c r="H1030" s="3" t="s">
        <v>9</v>
      </c>
      <c r="I1030" s="3" t="s">
        <v>8</v>
      </c>
      <c r="J1030" s="1">
        <v>0</v>
      </c>
      <c r="K1030" s="12">
        <v>0</v>
      </c>
      <c r="L1030" s="1"/>
      <c r="M1030" s="12"/>
      <c r="N1030"/>
      <c r="O1030"/>
      <c r="P1030" s="2" t="str">
        <f>IF(BD_Receitas[[#This Row],[TIPO DE COBRANÇA]]="Operação Normal",
_xlfn.XLOOKUP(BD_Receitas[[#This Row],[ID]],TabCondicoesComerciais[ID],TabCondicoesComerciais[Volume mínimo 
(m3)],0),"")</f>
        <v/>
      </c>
      <c r="Q1030" s="2">
        <f>_xlfn.XLOOKUP(BD_Receitas[[#This Row],[ID]],TabCondicoesComerciais[ID],TabCondicoesComerciais[Vol. 1ºGiro],0)</f>
        <v>1125</v>
      </c>
      <c r="R10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030" s="1">
        <f xml:space="preserve"> IF(BD_Receitas[[#This Row],[TIPO DE COBRANÇA]]="Operação Normal",
_xlfn.XLOOKUP(BD_Receitas[[#This Row],[ID]],TabCondicoesComerciais[ID],TabCondicoesComerciais[Tarifa 2º Giro],0),0)</f>
        <v>0</v>
      </c>
      <c r="T10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1" spans="1:24" hidden="1" x14ac:dyDescent="0.35">
      <c r="A1031" s="3" t="s">
        <v>342</v>
      </c>
      <c r="B1031" s="11">
        <v>46174</v>
      </c>
      <c r="C1031" t="s">
        <v>31</v>
      </c>
      <c r="D1031" t="s">
        <v>203</v>
      </c>
      <c r="E1031" t="s">
        <v>32</v>
      </c>
      <c r="F1031" s="10" t="s">
        <v>25</v>
      </c>
      <c r="G1031" s="3" t="s">
        <v>12</v>
      </c>
      <c r="H1031" s="3" t="s">
        <v>9</v>
      </c>
      <c r="I1031" s="3" t="s">
        <v>15</v>
      </c>
      <c r="J1031" s="1">
        <v>179058.61</v>
      </c>
      <c r="K1031" s="12">
        <v>6100</v>
      </c>
      <c r="L1031" s="1">
        <v>154125</v>
      </c>
      <c r="M1031" s="12">
        <v>4180.2929999999997</v>
      </c>
      <c r="N1031"/>
      <c r="O1031"/>
      <c r="P1031" s="2">
        <f>IF(BD_Receitas[[#This Row],[TIPO DE COBRANÇA]]="Operação Normal",
_xlfn.XLOOKUP(BD_Receitas[[#This Row],[ID]],TabCondicoesComerciais[ID],TabCondicoesComerciais[Volume mínimo 
(m3)],0),"")</f>
        <v>5625</v>
      </c>
      <c r="Q1031" s="2">
        <f>_xlfn.XLOOKUP(BD_Receitas[[#This Row],[ID]],TabCondicoesComerciais[ID],TabCondicoesComerciais[Vol. 1ºGiro],0)</f>
        <v>1125</v>
      </c>
      <c r="R10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031" s="1">
        <f xml:space="preserve"> IF(BD_Receitas[[#This Row],[TIPO DE COBRANÇA]]="Operação Normal",
_xlfn.XLOOKUP(BD_Receitas[[#This Row],[ID]],TabCondicoesComerciais[ID],TabCondicoesComerciais[Tarifa 2º Giro],0),0)</f>
        <v>27.4</v>
      </c>
      <c r="T1031" s="5">
        <f>IFERROR(IF(BD_Receitas[[#This Row],[TIPO DE COBRANÇA]]&lt;&gt;"Operação Normal","",BD_Receitas[[#This Row],[Valor Total R$]]/ MAX(BD_Receitas[[#This Row],[Vol. Movimentado M³]],
BD_Receitas[[#This Row],[Volume Mínimo ]])
),0)</f>
        <v>27.4</v>
      </c>
      <c r="U10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37.642172450591382</v>
      </c>
      <c r="V10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0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114540.02819999999</v>
      </c>
      <c r="X10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32" spans="1:24" hidden="1" x14ac:dyDescent="0.35">
      <c r="A1032" s="3" t="s">
        <v>342</v>
      </c>
      <c r="B1032" s="11">
        <v>46174</v>
      </c>
      <c r="C1032" t="s">
        <v>31</v>
      </c>
      <c r="D1032" t="s">
        <v>203</v>
      </c>
      <c r="E1032" t="s">
        <v>32</v>
      </c>
      <c r="F1032" s="10" t="s">
        <v>25</v>
      </c>
      <c r="G1032" s="3" t="s">
        <v>12</v>
      </c>
      <c r="H1032" s="3" t="s">
        <v>9</v>
      </c>
      <c r="I1032" s="3" t="s">
        <v>65</v>
      </c>
      <c r="J1032" s="1">
        <v>0</v>
      </c>
      <c r="K1032" s="12">
        <v>0</v>
      </c>
      <c r="L1032" s="1"/>
      <c r="M1032" s="12"/>
      <c r="N1032"/>
      <c r="O1032"/>
      <c r="P1032" s="2" t="str">
        <f>IF(BD_Receitas[[#This Row],[TIPO DE COBRANÇA]]="Operação Normal",
_xlfn.XLOOKUP(BD_Receitas[[#This Row],[ID]],TabCondicoesComerciais[ID],TabCondicoesComerciais[Volume mínimo 
(m3)],0),"")</f>
        <v/>
      </c>
      <c r="Q1032" s="2">
        <f>_xlfn.XLOOKUP(BD_Receitas[[#This Row],[ID]],TabCondicoesComerciais[ID],TabCondicoesComerciais[Vol. 1ºGiro],0)</f>
        <v>1125</v>
      </c>
      <c r="R10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32" s="1">
        <f xml:space="preserve"> IF(BD_Receitas[[#This Row],[TIPO DE COBRANÇA]]="Operação Normal",
_xlfn.XLOOKUP(BD_Receitas[[#This Row],[ID]],TabCondicoesComerciais[ID],TabCondicoesComerciais[Tarifa 2º Giro],0),0)</f>
        <v>0</v>
      </c>
      <c r="T10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3" spans="1:24" hidden="1" x14ac:dyDescent="0.35">
      <c r="A1033" s="3" t="s">
        <v>134</v>
      </c>
      <c r="B1033" s="11">
        <v>46174</v>
      </c>
      <c r="C1033" t="s">
        <v>31</v>
      </c>
      <c r="D1033" t="s">
        <v>62</v>
      </c>
      <c r="E1033" t="s">
        <v>37</v>
      </c>
      <c r="F1033" s="10" t="s">
        <v>57</v>
      </c>
      <c r="G1033" s="3" t="s">
        <v>58</v>
      </c>
      <c r="H1033" s="3" t="s">
        <v>10</v>
      </c>
      <c r="I1033" s="3" t="s">
        <v>7</v>
      </c>
      <c r="J1033" s="1">
        <v>0</v>
      </c>
      <c r="K1033" s="12">
        <v>0</v>
      </c>
      <c r="L1033" s="1"/>
      <c r="M1033" s="12"/>
      <c r="N1033"/>
      <c r="O1033"/>
      <c r="P1033" s="2" t="str">
        <f>IF(BD_Receitas[[#This Row],[TIPO DE COBRANÇA]]="Operação Normal",
_xlfn.XLOOKUP(BD_Receitas[[#This Row],[ID]],TabCondicoesComerciais[ID],TabCondicoesComerciais[Volume mínimo 
(m3)],0),"")</f>
        <v/>
      </c>
      <c r="Q1033" s="2">
        <f>_xlfn.XLOOKUP(BD_Receitas[[#This Row],[ID]],TabCondicoesComerciais[ID],TabCondicoesComerciais[Vol. 1ºGiro],0)</f>
        <v>310</v>
      </c>
      <c r="R10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33" s="1">
        <f xml:space="preserve"> IF(BD_Receitas[[#This Row],[TIPO DE COBRANÇA]]="Operação Normal",
_xlfn.XLOOKUP(BD_Receitas[[#This Row],[ID]],TabCondicoesComerciais[ID],TabCondicoesComerciais[Tarifa 2º Giro],0),0)</f>
        <v>0</v>
      </c>
      <c r="T10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4" spans="1:24" hidden="1" x14ac:dyDescent="0.35">
      <c r="A1034" s="3" t="s">
        <v>134</v>
      </c>
      <c r="B1034" s="11">
        <v>46174</v>
      </c>
      <c r="C1034" t="s">
        <v>31</v>
      </c>
      <c r="D1034" t="s">
        <v>62</v>
      </c>
      <c r="E1034" t="s">
        <v>37</v>
      </c>
      <c r="F1034" s="10" t="s">
        <v>57</v>
      </c>
      <c r="G1034" s="3" t="s">
        <v>58</v>
      </c>
      <c r="H1034" s="3" t="s">
        <v>10</v>
      </c>
      <c r="I1034" s="3" t="s">
        <v>8</v>
      </c>
      <c r="J1034" s="1">
        <v>0</v>
      </c>
      <c r="K1034" s="12">
        <v>0</v>
      </c>
      <c r="L1034" s="1"/>
      <c r="M1034" s="12"/>
      <c r="N1034"/>
      <c r="O1034"/>
      <c r="P1034" s="2" t="str">
        <f>IF(BD_Receitas[[#This Row],[TIPO DE COBRANÇA]]="Operação Normal",
_xlfn.XLOOKUP(BD_Receitas[[#This Row],[ID]],TabCondicoesComerciais[ID],TabCondicoesComerciais[Volume mínimo 
(m3)],0),"")</f>
        <v/>
      </c>
      <c r="Q1034" s="2">
        <f>_xlfn.XLOOKUP(BD_Receitas[[#This Row],[ID]],TabCondicoesComerciais[ID],TabCondicoesComerciais[Vol. 1ºGiro],0)</f>
        <v>310</v>
      </c>
      <c r="R10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034" s="1">
        <f xml:space="preserve"> IF(BD_Receitas[[#This Row],[TIPO DE COBRANÇA]]="Operação Normal",
_xlfn.XLOOKUP(BD_Receitas[[#This Row],[ID]],TabCondicoesComerciais[ID],TabCondicoesComerciais[Tarifa 2º Giro],0),0)</f>
        <v>0</v>
      </c>
      <c r="T10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5" spans="1:24" hidden="1" x14ac:dyDescent="0.35">
      <c r="A1035" s="3" t="s">
        <v>134</v>
      </c>
      <c r="B1035" s="11">
        <v>46174</v>
      </c>
      <c r="C1035" t="s">
        <v>31</v>
      </c>
      <c r="D1035" t="s">
        <v>62</v>
      </c>
      <c r="E1035" t="s">
        <v>37</v>
      </c>
      <c r="F1035" s="10" t="s">
        <v>57</v>
      </c>
      <c r="G1035" s="3" t="s">
        <v>58</v>
      </c>
      <c r="H1035" s="3" t="s">
        <v>10</v>
      </c>
      <c r="I1035" s="3" t="s">
        <v>15</v>
      </c>
      <c r="J1035" s="1">
        <v>35019.49</v>
      </c>
      <c r="K1035" s="12">
        <v>1100</v>
      </c>
      <c r="L1035" s="1"/>
      <c r="M1035" s="12"/>
      <c r="N1035"/>
      <c r="O1035"/>
      <c r="P1035" s="2">
        <f>IF(BD_Receitas[[#This Row],[TIPO DE COBRANÇA]]="Operação Normal",
_xlfn.XLOOKUP(BD_Receitas[[#This Row],[ID]],TabCondicoesComerciais[ID],TabCondicoesComerciais[Volume mínimo 
(m3)],0),"")</f>
        <v>1100</v>
      </c>
      <c r="Q1035" s="2">
        <f>_xlfn.XLOOKUP(BD_Receitas[[#This Row],[ID]],TabCondicoesComerciais[ID],TabCondicoesComerciais[Vol. 1ºGiro],0)</f>
        <v>310</v>
      </c>
      <c r="R10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035" s="1">
        <f xml:space="preserve"> IF(BD_Receitas[[#This Row],[TIPO DE COBRANÇA]]="Operação Normal",
_xlfn.XLOOKUP(BD_Receitas[[#This Row],[ID]],TabCondicoesComerciais[ID],TabCondicoesComerciais[Tarifa 2º Giro],0),0)</f>
        <v>31.04</v>
      </c>
      <c r="T103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0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36" spans="1:24" hidden="1" x14ac:dyDescent="0.35">
      <c r="A1036" s="3" t="s">
        <v>134</v>
      </c>
      <c r="B1036" s="11">
        <v>46174</v>
      </c>
      <c r="C1036" t="s">
        <v>31</v>
      </c>
      <c r="D1036" t="s">
        <v>62</v>
      </c>
      <c r="E1036" t="s">
        <v>37</v>
      </c>
      <c r="F1036" s="10" t="s">
        <v>57</v>
      </c>
      <c r="G1036" s="3" t="s">
        <v>58</v>
      </c>
      <c r="H1036" s="3" t="s">
        <v>10</v>
      </c>
      <c r="I1036" s="3" t="s">
        <v>65</v>
      </c>
      <c r="J1036" s="1">
        <v>0</v>
      </c>
      <c r="K1036" s="12">
        <v>0</v>
      </c>
      <c r="L1036" s="1"/>
      <c r="M1036" s="12"/>
      <c r="N1036"/>
      <c r="O1036"/>
      <c r="P1036" s="2" t="str">
        <f>IF(BD_Receitas[[#This Row],[TIPO DE COBRANÇA]]="Operação Normal",
_xlfn.XLOOKUP(BD_Receitas[[#This Row],[ID]],TabCondicoesComerciais[ID],TabCondicoesComerciais[Volume mínimo 
(m3)],0),"")</f>
        <v/>
      </c>
      <c r="Q1036" s="2">
        <f>_xlfn.XLOOKUP(BD_Receitas[[#This Row],[ID]],TabCondicoesComerciais[ID],TabCondicoesComerciais[Vol. 1ºGiro],0)</f>
        <v>310</v>
      </c>
      <c r="R10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36" s="1">
        <f xml:space="preserve"> IF(BD_Receitas[[#This Row],[TIPO DE COBRANÇA]]="Operação Normal",
_xlfn.XLOOKUP(BD_Receitas[[#This Row],[ID]],TabCondicoesComerciais[ID],TabCondicoesComerciais[Tarifa 2º Giro],0),0)</f>
        <v>0</v>
      </c>
      <c r="T10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7" spans="1:24" hidden="1" x14ac:dyDescent="0.35">
      <c r="A1037" s="3" t="s">
        <v>173</v>
      </c>
      <c r="B1037" s="11">
        <v>46174</v>
      </c>
      <c r="C1037" t="s">
        <v>31</v>
      </c>
      <c r="D1037" t="s">
        <v>62</v>
      </c>
      <c r="E1037" t="s">
        <v>37</v>
      </c>
      <c r="F1037" s="10" t="s">
        <v>57</v>
      </c>
      <c r="G1037" s="3" t="s">
        <v>58</v>
      </c>
      <c r="H1037" s="3" t="s">
        <v>6</v>
      </c>
      <c r="I1037" s="3" t="s">
        <v>7</v>
      </c>
      <c r="J1037" s="1">
        <v>0</v>
      </c>
      <c r="K1037" s="12">
        <v>0</v>
      </c>
      <c r="L1037" s="1"/>
      <c r="M1037" s="12"/>
      <c r="N1037"/>
      <c r="O1037"/>
      <c r="P1037" s="2" t="str">
        <f>IF(BD_Receitas[[#This Row],[TIPO DE COBRANÇA]]="Operação Normal",
_xlfn.XLOOKUP(BD_Receitas[[#This Row],[ID]],TabCondicoesComerciais[ID],TabCondicoesComerciais[Volume mínimo 
(m3)],0),"")</f>
        <v/>
      </c>
      <c r="Q1037" s="2">
        <f>_xlfn.XLOOKUP(BD_Receitas[[#This Row],[ID]],TabCondicoesComerciais[ID],TabCondicoesComerciais[Vol. 1ºGiro],0)</f>
        <v>1070</v>
      </c>
      <c r="R10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37" s="1">
        <f xml:space="preserve"> IF(BD_Receitas[[#This Row],[TIPO DE COBRANÇA]]="Operação Normal",
_xlfn.XLOOKUP(BD_Receitas[[#This Row],[ID]],TabCondicoesComerciais[ID],TabCondicoesComerciais[Tarifa 2º Giro],0),0)</f>
        <v>0</v>
      </c>
      <c r="T10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8" spans="1:24" hidden="1" x14ac:dyDescent="0.35">
      <c r="A1038" s="3" t="s">
        <v>173</v>
      </c>
      <c r="B1038" s="11">
        <v>46174</v>
      </c>
      <c r="C1038" t="s">
        <v>31</v>
      </c>
      <c r="D1038" t="s">
        <v>62</v>
      </c>
      <c r="E1038" t="s">
        <v>37</v>
      </c>
      <c r="F1038" s="10" t="s">
        <v>57</v>
      </c>
      <c r="G1038" s="3" t="s">
        <v>58</v>
      </c>
      <c r="H1038" s="3" t="s">
        <v>6</v>
      </c>
      <c r="I1038" s="3" t="s">
        <v>8</v>
      </c>
      <c r="J1038" s="1">
        <v>0</v>
      </c>
      <c r="K1038" s="12">
        <v>0</v>
      </c>
      <c r="L1038" s="1"/>
      <c r="M1038" s="12"/>
      <c r="N1038"/>
      <c r="O1038"/>
      <c r="P1038" s="2" t="str">
        <f>IF(BD_Receitas[[#This Row],[TIPO DE COBRANÇA]]="Operação Normal",
_xlfn.XLOOKUP(BD_Receitas[[#This Row],[ID]],TabCondicoesComerciais[ID],TabCondicoesComerciais[Volume mínimo 
(m3)],0),"")</f>
        <v/>
      </c>
      <c r="Q1038" s="2">
        <f>_xlfn.XLOOKUP(BD_Receitas[[#This Row],[ID]],TabCondicoesComerciais[ID],TabCondicoesComerciais[Vol. 1ºGiro],0)</f>
        <v>1070</v>
      </c>
      <c r="R10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38" s="1">
        <f xml:space="preserve"> IF(BD_Receitas[[#This Row],[TIPO DE COBRANÇA]]="Operação Normal",
_xlfn.XLOOKUP(BD_Receitas[[#This Row],[ID]],TabCondicoesComerciais[ID],TabCondicoesComerciais[Tarifa 2º Giro],0),0)</f>
        <v>0</v>
      </c>
      <c r="T10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39" spans="1:24" hidden="1" x14ac:dyDescent="0.35">
      <c r="A1039" s="3" t="s">
        <v>173</v>
      </c>
      <c r="B1039" s="11">
        <v>46174</v>
      </c>
      <c r="C1039" t="s">
        <v>31</v>
      </c>
      <c r="D1039" t="s">
        <v>62</v>
      </c>
      <c r="E1039" t="s">
        <v>37</v>
      </c>
      <c r="F1039" s="10" t="s">
        <v>57</v>
      </c>
      <c r="G1039" s="3" t="s">
        <v>58</v>
      </c>
      <c r="H1039" s="3" t="s">
        <v>6</v>
      </c>
      <c r="I1039" s="3" t="s">
        <v>15</v>
      </c>
      <c r="J1039" s="1">
        <v>82153.039999999994</v>
      </c>
      <c r="K1039" s="12">
        <v>3300</v>
      </c>
      <c r="L1039" s="1">
        <v>106652.94</v>
      </c>
      <c r="M1039" s="12">
        <v>4554</v>
      </c>
      <c r="N1039" t="s">
        <v>335</v>
      </c>
      <c r="O1039"/>
      <c r="P1039" s="2">
        <f>IF(BD_Receitas[[#This Row],[TIPO DE COBRANÇA]]="Operação Normal",
_xlfn.XLOOKUP(BD_Receitas[[#This Row],[ID]],TabCondicoesComerciais[ID],TabCondicoesComerciais[Volume mínimo 
(m3)],0),"")</f>
        <v>3300</v>
      </c>
      <c r="Q1039" s="2">
        <f>_xlfn.XLOOKUP(BD_Receitas[[#This Row],[ID]],TabCondicoesComerciais[ID],TabCondicoesComerciais[Vol. 1ºGiro],0)</f>
        <v>1070</v>
      </c>
      <c r="R10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039" s="1">
        <f xml:space="preserve"> IF(BD_Receitas[[#This Row],[TIPO DE COBRANÇA]]="Operação Normal",
_xlfn.XLOOKUP(BD_Receitas[[#This Row],[ID]],TabCondicoesComerciais[ID],TabCondicoesComerciais[Tarifa 2º Giro],0),0)</f>
        <v>23.42</v>
      </c>
      <c r="T1039" s="5">
        <f>IFERROR(IF(BD_Receitas[[#This Row],[TIPO DE COBRANÇA]]&lt;&gt;"Operação Normal","",BD_Receitas[[#This Row],[Valor Total R$]]/ MAX(BD_Receitas[[#This Row],[Vol. Movimentado M³]],
BD_Receitas[[#This Row],[Volume Mínimo ]])
),0)</f>
        <v>23.41961791831357</v>
      </c>
      <c r="U10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23.41961791831357</v>
      </c>
      <c r="V10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0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106654.68</v>
      </c>
      <c r="X10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Verificar cobrança</v>
      </c>
    </row>
    <row r="1040" spans="1:24" hidden="1" x14ac:dyDescent="0.35">
      <c r="A1040" s="3" t="s">
        <v>173</v>
      </c>
      <c r="B1040" s="11">
        <v>46174</v>
      </c>
      <c r="C1040" t="s">
        <v>31</v>
      </c>
      <c r="D1040" t="s">
        <v>62</v>
      </c>
      <c r="E1040" t="s">
        <v>37</v>
      </c>
      <c r="F1040" s="10" t="s">
        <v>57</v>
      </c>
      <c r="G1040" s="3" t="s">
        <v>58</v>
      </c>
      <c r="H1040" s="3" t="s">
        <v>6</v>
      </c>
      <c r="I1040" s="3" t="s">
        <v>65</v>
      </c>
      <c r="J1040" s="1">
        <v>0</v>
      </c>
      <c r="K1040" s="12">
        <v>0</v>
      </c>
      <c r="L1040" s="1"/>
      <c r="M1040" s="12"/>
      <c r="N1040"/>
      <c r="O1040"/>
      <c r="P1040" s="2" t="str">
        <f>IF(BD_Receitas[[#This Row],[TIPO DE COBRANÇA]]="Operação Normal",
_xlfn.XLOOKUP(BD_Receitas[[#This Row],[ID]],TabCondicoesComerciais[ID],TabCondicoesComerciais[Volume mínimo 
(m3)],0),"")</f>
        <v/>
      </c>
      <c r="Q1040" s="2">
        <f>_xlfn.XLOOKUP(BD_Receitas[[#This Row],[ID]],TabCondicoesComerciais[ID],TabCondicoesComerciais[Vol. 1ºGiro],0)</f>
        <v>1070</v>
      </c>
      <c r="R10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0" s="1">
        <f xml:space="preserve"> IF(BD_Receitas[[#This Row],[TIPO DE COBRANÇA]]="Operação Normal",
_xlfn.XLOOKUP(BD_Receitas[[#This Row],[ID]],TabCondicoesComerciais[ID],TabCondicoesComerciais[Tarifa 2º Giro],0),0)</f>
        <v>0</v>
      </c>
      <c r="T10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1" spans="1:24" x14ac:dyDescent="0.35">
      <c r="A1041" s="3" t="s">
        <v>314</v>
      </c>
      <c r="B1041" s="11">
        <v>46174</v>
      </c>
      <c r="C1041" t="s">
        <v>31</v>
      </c>
      <c r="D1041" t="s">
        <v>203</v>
      </c>
      <c r="E1041" t="s">
        <v>34</v>
      </c>
      <c r="F1041" s="10" t="s">
        <v>26</v>
      </c>
      <c r="G1041" s="3" t="s">
        <v>19</v>
      </c>
      <c r="H1041" s="3" t="s">
        <v>13</v>
      </c>
      <c r="I1041" s="3" t="s">
        <v>7</v>
      </c>
      <c r="J1041" s="1">
        <v>0</v>
      </c>
      <c r="K1041" s="12">
        <v>0</v>
      </c>
      <c r="L1041" s="1"/>
      <c r="M1041" s="12"/>
      <c r="N1041"/>
      <c r="O1041"/>
      <c r="P1041" s="2" t="str">
        <f>IF(BD_Receitas[[#This Row],[TIPO DE COBRANÇA]]="Operação Normal",
_xlfn.XLOOKUP(BD_Receitas[[#This Row],[ID]],TabCondicoesComerciais[ID],TabCondicoesComerciais[Volume mínimo 
(m3)],0),"")</f>
        <v/>
      </c>
      <c r="Q1041" s="2">
        <f>_xlfn.XLOOKUP(BD_Receitas[[#This Row],[ID]],TabCondicoesComerciais[ID],TabCondicoesComerciais[Vol. 1ºGiro],0)</f>
        <v>340</v>
      </c>
      <c r="R10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1" s="1">
        <f xml:space="preserve"> IF(BD_Receitas[[#This Row],[TIPO DE COBRANÇA]]="Operação Normal",
_xlfn.XLOOKUP(BD_Receitas[[#This Row],[ID]],TabCondicoesComerciais[ID],TabCondicoesComerciais[Tarifa 2º Giro],0),0)</f>
        <v>0</v>
      </c>
      <c r="T10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2" spans="1:24" x14ac:dyDescent="0.35">
      <c r="A1042" s="3" t="s">
        <v>314</v>
      </c>
      <c r="B1042" s="11">
        <v>46174</v>
      </c>
      <c r="C1042" t="s">
        <v>31</v>
      </c>
      <c r="D1042" t="s">
        <v>203</v>
      </c>
      <c r="E1042" t="s">
        <v>34</v>
      </c>
      <c r="F1042" s="10" t="s">
        <v>26</v>
      </c>
      <c r="G1042" s="3" t="s">
        <v>19</v>
      </c>
      <c r="H1042" s="3" t="s">
        <v>13</v>
      </c>
      <c r="I1042" s="3" t="s">
        <v>8</v>
      </c>
      <c r="J1042" s="1">
        <v>0</v>
      </c>
      <c r="K1042" s="12">
        <v>0</v>
      </c>
      <c r="L1042" s="1"/>
      <c r="M1042" s="12"/>
      <c r="N1042"/>
      <c r="O1042"/>
      <c r="P1042" s="2" t="str">
        <f>IF(BD_Receitas[[#This Row],[TIPO DE COBRANÇA]]="Operação Normal",
_xlfn.XLOOKUP(BD_Receitas[[#This Row],[ID]],TabCondicoesComerciais[ID],TabCondicoesComerciais[Volume mínimo 
(m3)],0),"")</f>
        <v/>
      </c>
      <c r="Q1042" s="2">
        <f>_xlfn.XLOOKUP(BD_Receitas[[#This Row],[ID]],TabCondicoesComerciais[ID],TabCondicoesComerciais[Vol. 1ºGiro],0)</f>
        <v>340</v>
      </c>
      <c r="R10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042" s="1">
        <f xml:space="preserve"> IF(BD_Receitas[[#This Row],[TIPO DE COBRANÇA]]="Operação Normal",
_xlfn.XLOOKUP(BD_Receitas[[#This Row],[ID]],TabCondicoesComerciais[ID],TabCondicoesComerciais[Tarifa 2º Giro],0),0)</f>
        <v>0</v>
      </c>
      <c r="T10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3" spans="1:24" x14ac:dyDescent="0.35">
      <c r="A1043" s="3" t="s">
        <v>314</v>
      </c>
      <c r="B1043" s="11">
        <v>46174</v>
      </c>
      <c r="C1043" t="s">
        <v>31</v>
      </c>
      <c r="D1043" t="s">
        <v>203</v>
      </c>
      <c r="E1043" t="s">
        <v>34</v>
      </c>
      <c r="F1043" s="10" t="s">
        <v>26</v>
      </c>
      <c r="G1043" s="3" t="s">
        <v>19</v>
      </c>
      <c r="H1043" s="3" t="s">
        <v>13</v>
      </c>
      <c r="I1043" s="3" t="s">
        <v>15</v>
      </c>
      <c r="J1043" s="1">
        <v>15310.52</v>
      </c>
      <c r="K1043" s="12">
        <v>510</v>
      </c>
      <c r="L1043" s="1">
        <v>19870.3</v>
      </c>
      <c r="M1043" s="12">
        <v>1419.307</v>
      </c>
      <c r="N1043" t="s">
        <v>318</v>
      </c>
      <c r="O1043"/>
      <c r="P1043" s="2">
        <f>IF(BD_Receitas[[#This Row],[TIPO DE COBRANÇA]]="Operação Normal",
_xlfn.XLOOKUP(BD_Receitas[[#This Row],[ID]],TabCondicoesComerciais[ID],TabCondicoesComerciais[Volume mínimo 
(m3)],0),"")</f>
        <v>1020</v>
      </c>
      <c r="Q1043" s="2">
        <f>_xlfn.XLOOKUP(BD_Receitas[[#This Row],[ID]],TabCondicoesComerciais[ID],TabCondicoesComerciais[Vol. 1ºGiro],0)</f>
        <v>340</v>
      </c>
      <c r="R10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43" s="1">
        <f xml:space="preserve"> IF(BD_Receitas[[#This Row],[TIPO DE COBRANÇA]]="Operação Normal",
_xlfn.XLOOKUP(BD_Receitas[[#This Row],[ID]],TabCondicoesComerciais[ID],TabCondicoesComerciais[Tarifa 2º Giro],0),0)</f>
        <v>28</v>
      </c>
      <c r="T1043" s="5">
        <f>IFERROR(IF(BD_Receitas[[#This Row],[TIPO DE COBRANÇA]]&lt;&gt;"Operação Normal","",BD_Receitas[[#This Row],[Valor Total R$]]/ MAX(BD_Receitas[[#This Row],[Vol. Movimentado M³]],
BD_Receitas[[#This Row],[Volume Mínimo ]])
),0)</f>
        <v>14.000001409138402</v>
      </c>
      <c r="U10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14.000001409138402</v>
      </c>
      <c r="V10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10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39740.596000000005</v>
      </c>
      <c r="X10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44" spans="1:24" hidden="1" x14ac:dyDescent="0.35">
      <c r="A1044" s="3" t="s">
        <v>314</v>
      </c>
      <c r="B1044" s="11">
        <v>46174</v>
      </c>
      <c r="C1044" t="s">
        <v>31</v>
      </c>
      <c r="D1044" t="s">
        <v>203</v>
      </c>
      <c r="E1044" t="s">
        <v>34</v>
      </c>
      <c r="F1044" s="10" t="s">
        <v>26</v>
      </c>
      <c r="G1044" s="3" t="s">
        <v>19</v>
      </c>
      <c r="H1044" s="3" t="s">
        <v>13</v>
      </c>
      <c r="I1044" s="3" t="s">
        <v>65</v>
      </c>
      <c r="J1044" s="1">
        <v>0</v>
      </c>
      <c r="K1044" s="12">
        <v>0</v>
      </c>
      <c r="L1044" s="1"/>
      <c r="M1044" s="12"/>
      <c r="N1044"/>
      <c r="O1044"/>
      <c r="P1044" s="2" t="str">
        <f>IF(BD_Receitas[[#This Row],[TIPO DE COBRANÇA]]="Operação Normal",
_xlfn.XLOOKUP(BD_Receitas[[#This Row],[ID]],TabCondicoesComerciais[ID],TabCondicoesComerciais[Volume mínimo 
(m3)],0),"")</f>
        <v/>
      </c>
      <c r="Q1044" s="2">
        <f>_xlfn.XLOOKUP(BD_Receitas[[#This Row],[ID]],TabCondicoesComerciais[ID],TabCondicoesComerciais[Vol. 1ºGiro],0)</f>
        <v>340</v>
      </c>
      <c r="R10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4" s="1">
        <f xml:space="preserve"> IF(BD_Receitas[[#This Row],[TIPO DE COBRANÇA]]="Operação Normal",
_xlfn.XLOOKUP(BD_Receitas[[#This Row],[ID]],TabCondicoesComerciais[ID],TabCondicoesComerciais[Tarifa 2º Giro],0),0)</f>
        <v>0</v>
      </c>
      <c r="T10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5" spans="1:24" hidden="1" x14ac:dyDescent="0.35">
      <c r="A1045" s="3" t="s">
        <v>274</v>
      </c>
      <c r="B1045" s="11">
        <v>46204</v>
      </c>
      <c r="C1045" t="s">
        <v>31</v>
      </c>
      <c r="D1045" t="s">
        <v>202</v>
      </c>
      <c r="E1045" t="s">
        <v>36</v>
      </c>
      <c r="F1045" s="10" t="s">
        <v>48</v>
      </c>
      <c r="G1045" s="3" t="s">
        <v>49</v>
      </c>
      <c r="H1045" s="3" t="s">
        <v>52</v>
      </c>
      <c r="I1045" s="3" t="s">
        <v>7</v>
      </c>
      <c r="J1045" s="1">
        <v>0</v>
      </c>
      <c r="K1045" s="12">
        <v>0</v>
      </c>
      <c r="L1045" s="1"/>
      <c r="M1045" s="12"/>
      <c r="N1045"/>
      <c r="O1045"/>
      <c r="P1045" s="2" t="str">
        <f>IF(BD_Receitas[[#This Row],[TIPO DE COBRANÇA]]="Operação Normal",
_xlfn.XLOOKUP(BD_Receitas[[#This Row],[ID]],TabCondicoesComerciais[ID],TabCondicoesComerciais[Volume mínimo 
(m3)],0),"")</f>
        <v/>
      </c>
      <c r="Q1045" s="2">
        <f>_xlfn.XLOOKUP(BD_Receitas[[#This Row],[ID]],TabCondicoesComerciais[ID],TabCondicoesComerciais[Vol. 1ºGiro],0)</f>
        <v>360</v>
      </c>
      <c r="R10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045" s="1">
        <f xml:space="preserve"> IF(BD_Receitas[[#This Row],[TIPO DE COBRANÇA]]="Operação Normal",
_xlfn.XLOOKUP(BD_Receitas[[#This Row],[ID]],TabCondicoesComerciais[ID],TabCondicoesComerciais[Tarifa 2º Giro],0),0)</f>
        <v>0</v>
      </c>
      <c r="T10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6" spans="1:24" hidden="1" x14ac:dyDescent="0.35">
      <c r="A1046" s="3" t="s">
        <v>274</v>
      </c>
      <c r="B1046" s="11">
        <v>46204</v>
      </c>
      <c r="C1046" t="s">
        <v>31</v>
      </c>
      <c r="D1046" t="s">
        <v>202</v>
      </c>
      <c r="E1046" t="s">
        <v>36</v>
      </c>
      <c r="F1046" s="10" t="s">
        <v>48</v>
      </c>
      <c r="G1046" s="3" t="s">
        <v>49</v>
      </c>
      <c r="H1046" s="3" t="s">
        <v>52</v>
      </c>
      <c r="I1046" s="3" t="s">
        <v>8</v>
      </c>
      <c r="J1046" s="1">
        <v>0</v>
      </c>
      <c r="K1046" s="12">
        <v>0</v>
      </c>
      <c r="L1046" s="1"/>
      <c r="M1046" s="12"/>
      <c r="N1046"/>
      <c r="O1046"/>
      <c r="P1046" s="2" t="str">
        <f>IF(BD_Receitas[[#This Row],[TIPO DE COBRANÇA]]="Operação Normal",
_xlfn.XLOOKUP(BD_Receitas[[#This Row],[ID]],TabCondicoesComerciais[ID],TabCondicoesComerciais[Volume mínimo 
(m3)],0),"")</f>
        <v/>
      </c>
      <c r="Q1046" s="2">
        <f>_xlfn.XLOOKUP(BD_Receitas[[#This Row],[ID]],TabCondicoesComerciais[ID],TabCondicoesComerciais[Vol. 1ºGiro],0)</f>
        <v>360</v>
      </c>
      <c r="R10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046" s="1">
        <f xml:space="preserve"> IF(BD_Receitas[[#This Row],[TIPO DE COBRANÇA]]="Operação Normal",
_xlfn.XLOOKUP(BD_Receitas[[#This Row],[ID]],TabCondicoesComerciais[ID],TabCondicoesComerciais[Tarifa 2º Giro],0),0)</f>
        <v>0</v>
      </c>
      <c r="T10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7" spans="1:24" hidden="1" x14ac:dyDescent="0.35">
      <c r="A1047" s="3" t="s">
        <v>274</v>
      </c>
      <c r="B1047" s="11">
        <v>46204</v>
      </c>
      <c r="C1047" t="s">
        <v>31</v>
      </c>
      <c r="D1047" t="s">
        <v>202</v>
      </c>
      <c r="E1047" t="s">
        <v>36</v>
      </c>
      <c r="F1047" s="10" t="s">
        <v>48</v>
      </c>
      <c r="G1047" s="3" t="s">
        <v>49</v>
      </c>
      <c r="H1047" s="3" t="s">
        <v>52</v>
      </c>
      <c r="I1047" s="3" t="s">
        <v>15</v>
      </c>
      <c r="J1047" s="1">
        <v>89789.3701</v>
      </c>
      <c r="K1047" s="12">
        <v>2040</v>
      </c>
      <c r="L1047" s="1">
        <v>89596.800000000003</v>
      </c>
      <c r="M1047" s="12">
        <v>1071</v>
      </c>
      <c r="N1047" t="s">
        <v>68</v>
      </c>
      <c r="O1047"/>
      <c r="P1047" s="2">
        <f>IF(BD_Receitas[[#This Row],[TIPO DE COBRANÇA]]="Operação Normal",
_xlfn.XLOOKUP(BD_Receitas[[#This Row],[ID]],TabCondicoesComerciais[ID],TabCondicoesComerciais[Volume mínimo 
(m3)],0),"")</f>
        <v>2040</v>
      </c>
      <c r="Q1047" s="2">
        <f>_xlfn.XLOOKUP(BD_Receitas[[#This Row],[ID]],TabCondicoesComerciais[ID],TabCondicoesComerciais[Vol. 1ºGiro],0)</f>
        <v>360</v>
      </c>
      <c r="R10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047" s="1">
        <f xml:space="preserve"> IF(BD_Receitas[[#This Row],[TIPO DE COBRANÇA]]="Operação Normal",
_xlfn.XLOOKUP(BD_Receitas[[#This Row],[ID]],TabCondicoesComerciais[ID],TabCondicoesComerciais[Tarifa 2º Giro],0),0)</f>
        <v>43.92</v>
      </c>
      <c r="T1047" s="5">
        <f>IFERROR(IF(BD_Receitas[[#This Row],[TIPO DE COBRANÇA]]&lt;&gt;"Operação Normal","",BD_Receitas[[#This Row],[Valor Total R$]]/ MAX(BD_Receitas[[#This Row],[Vol. Movimentado M³]],
BD_Receitas[[#This Row],[Volume Mínimo ]])
),0)</f>
        <v>43.92</v>
      </c>
      <c r="U10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83.657142857142858</v>
      </c>
      <c r="V10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0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47038.320000000007</v>
      </c>
      <c r="X10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48" spans="1:24" hidden="1" x14ac:dyDescent="0.35">
      <c r="A1048" s="3" t="s">
        <v>274</v>
      </c>
      <c r="B1048" s="11">
        <v>46204</v>
      </c>
      <c r="C1048" t="s">
        <v>31</v>
      </c>
      <c r="D1048" t="s">
        <v>202</v>
      </c>
      <c r="E1048" t="s">
        <v>36</v>
      </c>
      <c r="F1048" s="10" t="s">
        <v>48</v>
      </c>
      <c r="G1048" s="3" t="s">
        <v>49</v>
      </c>
      <c r="H1048" s="3" t="s">
        <v>52</v>
      </c>
      <c r="I1048" s="3" t="s">
        <v>65</v>
      </c>
      <c r="J1048" s="1">
        <v>0</v>
      </c>
      <c r="K1048" s="12">
        <v>0</v>
      </c>
      <c r="L1048" s="1"/>
      <c r="M1048" s="12"/>
      <c r="N1048"/>
      <c r="O1048"/>
      <c r="P1048" s="2" t="str">
        <f>IF(BD_Receitas[[#This Row],[TIPO DE COBRANÇA]]="Operação Normal",
_xlfn.XLOOKUP(BD_Receitas[[#This Row],[ID]],TabCondicoesComerciais[ID],TabCondicoesComerciais[Volume mínimo 
(m3)],0),"")</f>
        <v/>
      </c>
      <c r="Q1048" s="2">
        <f>_xlfn.XLOOKUP(BD_Receitas[[#This Row],[ID]],TabCondicoesComerciais[ID],TabCondicoesComerciais[Vol. 1ºGiro],0)</f>
        <v>360</v>
      </c>
      <c r="R10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8" s="1">
        <f xml:space="preserve"> IF(BD_Receitas[[#This Row],[TIPO DE COBRANÇA]]="Operação Normal",
_xlfn.XLOOKUP(BD_Receitas[[#This Row],[ID]],TabCondicoesComerciais[ID],TabCondicoesComerciais[Tarifa 2º Giro],0),0)</f>
        <v>0</v>
      </c>
      <c r="T10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49" spans="1:24" hidden="1" x14ac:dyDescent="0.35">
      <c r="A1049" s="3" t="s">
        <v>275</v>
      </c>
      <c r="B1049" s="11">
        <v>46204</v>
      </c>
      <c r="C1049" t="s">
        <v>31</v>
      </c>
      <c r="D1049" t="s">
        <v>202</v>
      </c>
      <c r="E1049" t="s">
        <v>36</v>
      </c>
      <c r="F1049" s="10" t="s">
        <v>48</v>
      </c>
      <c r="G1049" s="3" t="s">
        <v>49</v>
      </c>
      <c r="H1049" s="3" t="s">
        <v>14</v>
      </c>
      <c r="I1049" s="3" t="s">
        <v>7</v>
      </c>
      <c r="J1049" s="1">
        <v>0</v>
      </c>
      <c r="K1049" s="12">
        <v>0</v>
      </c>
      <c r="L1049" s="1"/>
      <c r="M1049" s="12"/>
      <c r="N1049"/>
      <c r="O1049"/>
      <c r="P1049" s="2" t="str">
        <f>IF(BD_Receitas[[#This Row],[TIPO DE COBRANÇA]]="Operação Normal",
_xlfn.XLOOKUP(BD_Receitas[[#This Row],[ID]],TabCondicoesComerciais[ID],TabCondicoesComerciais[Volume mínimo 
(m3)],0),"")</f>
        <v/>
      </c>
      <c r="Q1049" s="2">
        <f>_xlfn.XLOOKUP(BD_Receitas[[#This Row],[ID]],TabCondicoesComerciais[ID],TabCondicoesComerciais[Vol. 1ºGiro],0)</f>
        <v>365</v>
      </c>
      <c r="R10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49" s="1">
        <f xml:space="preserve"> IF(BD_Receitas[[#This Row],[TIPO DE COBRANÇA]]="Operação Normal",
_xlfn.XLOOKUP(BD_Receitas[[#This Row],[ID]],TabCondicoesComerciais[ID],TabCondicoesComerciais[Tarifa 2º Giro],0),0)</f>
        <v>0</v>
      </c>
      <c r="T10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0" spans="1:24" hidden="1" x14ac:dyDescent="0.35">
      <c r="A1050" s="3" t="s">
        <v>275</v>
      </c>
      <c r="B1050" s="11">
        <v>46204</v>
      </c>
      <c r="C1050" t="s">
        <v>31</v>
      </c>
      <c r="D1050" t="s">
        <v>202</v>
      </c>
      <c r="E1050" t="s">
        <v>36</v>
      </c>
      <c r="F1050" s="10" t="s">
        <v>48</v>
      </c>
      <c r="G1050" s="3" t="s">
        <v>49</v>
      </c>
      <c r="H1050" s="3" t="s">
        <v>14</v>
      </c>
      <c r="I1050" s="3" t="s">
        <v>8</v>
      </c>
      <c r="J1050" s="1">
        <v>0</v>
      </c>
      <c r="K1050" s="12">
        <v>0</v>
      </c>
      <c r="L1050" s="1"/>
      <c r="M1050" s="12"/>
      <c r="N1050"/>
      <c r="O1050"/>
      <c r="P1050" s="2" t="str">
        <f>IF(BD_Receitas[[#This Row],[TIPO DE COBRANÇA]]="Operação Normal",
_xlfn.XLOOKUP(BD_Receitas[[#This Row],[ID]],TabCondicoesComerciais[ID],TabCondicoesComerciais[Volume mínimo 
(m3)],0),"")</f>
        <v/>
      </c>
      <c r="Q1050" s="2">
        <f>_xlfn.XLOOKUP(BD_Receitas[[#This Row],[ID]],TabCondicoesComerciais[ID],TabCondicoesComerciais[Vol. 1ºGiro],0)</f>
        <v>365</v>
      </c>
      <c r="R10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0" s="1">
        <f xml:space="preserve"> IF(BD_Receitas[[#This Row],[TIPO DE COBRANÇA]]="Operação Normal",
_xlfn.XLOOKUP(BD_Receitas[[#This Row],[ID]],TabCondicoesComerciais[ID],TabCondicoesComerciais[Tarifa 2º Giro],0),0)</f>
        <v>0</v>
      </c>
      <c r="T10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1" spans="1:24" hidden="1" x14ac:dyDescent="0.35">
      <c r="A1051" s="3" t="s">
        <v>275</v>
      </c>
      <c r="B1051" s="11">
        <v>46204</v>
      </c>
      <c r="C1051" t="s">
        <v>31</v>
      </c>
      <c r="D1051" t="s">
        <v>202</v>
      </c>
      <c r="E1051" t="s">
        <v>36</v>
      </c>
      <c r="F1051" s="10" t="s">
        <v>48</v>
      </c>
      <c r="G1051" s="3" t="s">
        <v>49</v>
      </c>
      <c r="H1051" s="3" t="s">
        <v>14</v>
      </c>
      <c r="I1051" s="3" t="s">
        <v>15</v>
      </c>
      <c r="J1051" s="1">
        <v>17995.57</v>
      </c>
      <c r="K1051" s="12">
        <v>936</v>
      </c>
      <c r="L1051" s="1">
        <v>17718.48</v>
      </c>
      <c r="M1051" s="12">
        <v>543</v>
      </c>
      <c r="N1051" t="s">
        <v>69</v>
      </c>
      <c r="O1051"/>
      <c r="P1051" s="2">
        <f>IF(BD_Receitas[[#This Row],[TIPO DE COBRANÇA]]="Operação Normal",
_xlfn.XLOOKUP(BD_Receitas[[#This Row],[ID]],TabCondicoesComerciais[ID],TabCondicoesComerciais[Volume mínimo 
(m3)],0),"")</f>
        <v>936</v>
      </c>
      <c r="Q1051" s="2">
        <f>_xlfn.XLOOKUP(BD_Receitas[[#This Row],[ID]],TabCondicoesComerciais[ID],TabCondicoesComerciais[Vol. 1ºGiro],0)</f>
        <v>365</v>
      </c>
      <c r="R10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051" s="1">
        <f xml:space="preserve"> IF(BD_Receitas[[#This Row],[TIPO DE COBRANÇA]]="Operação Normal",
_xlfn.XLOOKUP(BD_Receitas[[#This Row],[ID]],TabCondicoesComerciais[ID],TabCondicoesComerciais[Tarifa 2º Giro],0),0)</f>
        <v>18.93</v>
      </c>
      <c r="T1051" s="5">
        <f>IFERROR(IF(BD_Receitas[[#This Row],[TIPO DE COBRANÇA]]&lt;&gt;"Operação Normal","",BD_Receitas[[#This Row],[Valor Total R$]]/ MAX(BD_Receitas[[#This Row],[Vol. Movimentado M³]],
BD_Receitas[[#This Row],[Volume Mínimo ]])
),0)</f>
        <v>18.93</v>
      </c>
      <c r="U10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32.630718232044195</v>
      </c>
      <c r="V10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0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10278.99</v>
      </c>
      <c r="X10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52" spans="1:24" hidden="1" x14ac:dyDescent="0.35">
      <c r="A1052" s="3" t="s">
        <v>275</v>
      </c>
      <c r="B1052" s="11">
        <v>46204</v>
      </c>
      <c r="C1052" t="s">
        <v>31</v>
      </c>
      <c r="D1052" t="s">
        <v>202</v>
      </c>
      <c r="E1052" t="s">
        <v>36</v>
      </c>
      <c r="F1052" s="10" t="s">
        <v>48</v>
      </c>
      <c r="G1052" s="3" t="s">
        <v>49</v>
      </c>
      <c r="H1052" s="3" t="s">
        <v>14</v>
      </c>
      <c r="I1052" s="3" t="s">
        <v>65</v>
      </c>
      <c r="J1052" s="1">
        <v>0</v>
      </c>
      <c r="K1052" s="12">
        <v>0</v>
      </c>
      <c r="L1052" s="1"/>
      <c r="M1052" s="12"/>
      <c r="N1052"/>
      <c r="O1052"/>
      <c r="P1052" s="2" t="str">
        <f>IF(BD_Receitas[[#This Row],[TIPO DE COBRANÇA]]="Operação Normal",
_xlfn.XLOOKUP(BD_Receitas[[#This Row],[ID]],TabCondicoesComerciais[ID],TabCondicoesComerciais[Volume mínimo 
(m3)],0),"")</f>
        <v/>
      </c>
      <c r="Q1052" s="2">
        <f>_xlfn.XLOOKUP(BD_Receitas[[#This Row],[ID]],TabCondicoesComerciais[ID],TabCondicoesComerciais[Vol. 1ºGiro],0)</f>
        <v>365</v>
      </c>
      <c r="R10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2" s="1">
        <f xml:space="preserve"> IF(BD_Receitas[[#This Row],[TIPO DE COBRANÇA]]="Operação Normal",
_xlfn.XLOOKUP(BD_Receitas[[#This Row],[ID]],TabCondicoesComerciais[ID],TabCondicoesComerciais[Tarifa 2º Giro],0),0)</f>
        <v>0</v>
      </c>
      <c r="T10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3" spans="1:24" hidden="1" x14ac:dyDescent="0.35">
      <c r="A1053" s="3" t="s">
        <v>208</v>
      </c>
      <c r="B1053" s="11">
        <v>46204</v>
      </c>
      <c r="C1053" t="s">
        <v>31</v>
      </c>
      <c r="D1053" t="s">
        <v>202</v>
      </c>
      <c r="E1053" t="s">
        <v>35</v>
      </c>
      <c r="F1053" s="10" t="s">
        <v>22</v>
      </c>
      <c r="G1053" s="3" t="s">
        <v>11</v>
      </c>
      <c r="H1053" s="3" t="s">
        <v>207</v>
      </c>
      <c r="I1053" s="3" t="s">
        <v>7</v>
      </c>
      <c r="J1053" s="1">
        <v>0</v>
      </c>
      <c r="K1053" s="12">
        <v>0</v>
      </c>
      <c r="L1053" s="1">
        <v>4957.53</v>
      </c>
      <c r="M1053" s="12">
        <v>373.05799999999999</v>
      </c>
      <c r="N1053"/>
      <c r="O1053"/>
      <c r="P1053" s="2" t="str">
        <f>IF(BD_Receitas[[#This Row],[TIPO DE COBRANÇA]]="Operação Normal",
_xlfn.XLOOKUP(BD_Receitas[[#This Row],[ID]],TabCondicoesComerciais[ID],TabCondicoesComerciais[Volume mínimo 
(m3)],0),"")</f>
        <v/>
      </c>
      <c r="Q1053" s="2">
        <f>_xlfn.XLOOKUP(BD_Receitas[[#This Row],[ID]],TabCondicoesComerciais[ID],TabCondicoesComerciais[Vol. 1ºGiro],0)</f>
        <v>625</v>
      </c>
      <c r="R10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053" s="1">
        <f xml:space="preserve"> IF(BD_Receitas[[#This Row],[TIPO DE COBRANÇA]]="Operação Normal",
_xlfn.XLOOKUP(BD_Receitas[[#This Row],[ID]],TabCondicoesComerciais[ID],TabCondicoesComerciais[Tarifa 2º Giro],0),0)</f>
        <v>0</v>
      </c>
      <c r="T10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4" spans="1:24" hidden="1" x14ac:dyDescent="0.35">
      <c r="A1054" s="3" t="s">
        <v>208</v>
      </c>
      <c r="B1054" s="11">
        <v>46204</v>
      </c>
      <c r="C1054" t="s">
        <v>31</v>
      </c>
      <c r="D1054" t="s">
        <v>202</v>
      </c>
      <c r="E1054" t="s">
        <v>35</v>
      </c>
      <c r="F1054" s="10" t="s">
        <v>22</v>
      </c>
      <c r="G1054" s="3" t="s">
        <v>11</v>
      </c>
      <c r="H1054" s="3" t="s">
        <v>207</v>
      </c>
      <c r="I1054" s="3" t="s">
        <v>8</v>
      </c>
      <c r="J1054" s="1">
        <v>0</v>
      </c>
      <c r="K1054" s="12">
        <v>0</v>
      </c>
      <c r="L1054" s="1">
        <v>6328.48</v>
      </c>
      <c r="M1054" s="12">
        <v>604.91600000000005</v>
      </c>
      <c r="N1054"/>
      <c r="O1054"/>
      <c r="P1054" s="2" t="str">
        <f>IF(BD_Receitas[[#This Row],[TIPO DE COBRANÇA]]="Operação Normal",
_xlfn.XLOOKUP(BD_Receitas[[#This Row],[ID]],TabCondicoesComerciais[ID],TabCondicoesComerciais[Volume mínimo 
(m3)],0),"")</f>
        <v/>
      </c>
      <c r="Q1054" s="2">
        <f>_xlfn.XLOOKUP(BD_Receitas[[#This Row],[ID]],TabCondicoesComerciais[ID],TabCondicoesComerciais[Vol. 1ºGiro],0)</f>
        <v>625</v>
      </c>
      <c r="R10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054" s="1">
        <f xml:space="preserve"> IF(BD_Receitas[[#This Row],[TIPO DE COBRANÇA]]="Operação Normal",
_xlfn.XLOOKUP(BD_Receitas[[#This Row],[ID]],TabCondicoesComerciais[ID],TabCondicoesComerciais[Tarifa 2º Giro],0),0)</f>
        <v>0</v>
      </c>
      <c r="T10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5" spans="1:24" hidden="1" x14ac:dyDescent="0.35">
      <c r="A1055" s="3" t="s">
        <v>208</v>
      </c>
      <c r="B1055" s="11">
        <v>46204</v>
      </c>
      <c r="C1055" t="s">
        <v>31</v>
      </c>
      <c r="D1055" t="s">
        <v>202</v>
      </c>
      <c r="E1055" t="s">
        <v>35</v>
      </c>
      <c r="F1055" s="10" t="s">
        <v>22</v>
      </c>
      <c r="G1055" s="3" t="s">
        <v>11</v>
      </c>
      <c r="H1055" s="3" t="s">
        <v>207</v>
      </c>
      <c r="I1055" s="3" t="s">
        <v>15</v>
      </c>
      <c r="J1055" s="1">
        <v>47210.53</v>
      </c>
      <c r="K1055" s="12">
        <v>1875</v>
      </c>
      <c r="L1055" s="1">
        <v>77885.600000000006</v>
      </c>
      <c r="M1055" s="12">
        <v>2975.1619999999998</v>
      </c>
      <c r="N1055"/>
      <c r="O1055"/>
      <c r="P1055" s="2">
        <f>IF(BD_Receitas[[#This Row],[TIPO DE COBRANÇA]]="Operação Normal",
_xlfn.XLOOKUP(BD_Receitas[[#This Row],[ID]],TabCondicoesComerciais[ID],TabCondicoesComerciais[Volume mínimo 
(m3)],0),"")</f>
        <v>1875</v>
      </c>
      <c r="Q1055" s="2">
        <f>_xlfn.XLOOKUP(BD_Receitas[[#This Row],[ID]],TabCondicoesComerciais[ID],TabCondicoesComerciais[Vol. 1ºGiro],0)</f>
        <v>625</v>
      </c>
      <c r="R10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055" s="1">
        <f xml:space="preserve"> IF(BD_Receitas[[#This Row],[TIPO DE COBRANÇA]]="Operação Normal",
_xlfn.XLOOKUP(BD_Receitas[[#This Row],[ID]],TabCondicoesComerciais[ID],TabCondicoesComerciais[Tarifa 2º Giro],0),0)</f>
        <v>33</v>
      </c>
      <c r="T1055" s="5">
        <f>IFERROR(IF(BD_Receitas[[#This Row],[TIPO DE COBRANÇA]]&lt;&gt;"Operação Normal","",BD_Receitas[[#This Row],[Valor Total R$]]/ MAX(BD_Receitas[[#This Row],[Vol. Movimentado M³]],
BD_Receitas[[#This Row],[Volume Mínimo ]])
),0)</f>
        <v>26.178608089240186</v>
      </c>
      <c r="U10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29.972018330430412</v>
      </c>
      <c r="V10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0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98180.34599999999</v>
      </c>
      <c r="X10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56" spans="1:24" hidden="1" x14ac:dyDescent="0.35">
      <c r="A1056" s="3" t="s">
        <v>208</v>
      </c>
      <c r="B1056" s="11">
        <v>46204</v>
      </c>
      <c r="C1056" t="s">
        <v>31</v>
      </c>
      <c r="D1056" t="s">
        <v>202</v>
      </c>
      <c r="E1056" t="s">
        <v>35</v>
      </c>
      <c r="F1056" s="10" t="s">
        <v>22</v>
      </c>
      <c r="G1056" s="3" t="s">
        <v>11</v>
      </c>
      <c r="H1056" s="3" t="s">
        <v>207</v>
      </c>
      <c r="I1056" s="3" t="s">
        <v>65</v>
      </c>
      <c r="J1056" s="1">
        <v>0</v>
      </c>
      <c r="K1056" s="12">
        <v>0</v>
      </c>
      <c r="L1056" s="1"/>
      <c r="M1056" s="12"/>
      <c r="N1056"/>
      <c r="O1056"/>
      <c r="P1056" s="2" t="str">
        <f>IF(BD_Receitas[[#This Row],[TIPO DE COBRANÇA]]="Operação Normal",
_xlfn.XLOOKUP(BD_Receitas[[#This Row],[ID]],TabCondicoesComerciais[ID],TabCondicoesComerciais[Volume mínimo 
(m3)],0),"")</f>
        <v/>
      </c>
      <c r="Q1056" s="2">
        <f>_xlfn.XLOOKUP(BD_Receitas[[#This Row],[ID]],TabCondicoesComerciais[ID],TabCondicoesComerciais[Vol. 1ºGiro],0)</f>
        <v>625</v>
      </c>
      <c r="R10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6" s="1">
        <f xml:space="preserve"> IF(BD_Receitas[[#This Row],[TIPO DE COBRANÇA]]="Operação Normal",
_xlfn.XLOOKUP(BD_Receitas[[#This Row],[ID]],TabCondicoesComerciais[ID],TabCondicoesComerciais[Tarifa 2º Giro],0),0)</f>
        <v>0</v>
      </c>
      <c r="T10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7" spans="1:24" hidden="1" x14ac:dyDescent="0.35">
      <c r="A1057" s="3" t="s">
        <v>190</v>
      </c>
      <c r="B1057" s="11">
        <v>46204</v>
      </c>
      <c r="C1057" t="s">
        <v>31</v>
      </c>
      <c r="D1057" t="s">
        <v>202</v>
      </c>
      <c r="E1057" t="s">
        <v>35</v>
      </c>
      <c r="F1057" s="10" t="s">
        <v>22</v>
      </c>
      <c r="G1057" s="3" t="s">
        <v>11</v>
      </c>
      <c r="H1057" s="3" t="s">
        <v>116</v>
      </c>
      <c r="I1057" s="3" t="s">
        <v>7</v>
      </c>
      <c r="J1057" s="1">
        <v>0</v>
      </c>
      <c r="K1057" s="12">
        <v>0</v>
      </c>
      <c r="L1057" s="1"/>
      <c r="M1057" s="12"/>
      <c r="N1057"/>
      <c r="O1057"/>
      <c r="P1057" s="2" t="str">
        <f>IF(BD_Receitas[[#This Row],[TIPO DE COBRANÇA]]="Operação Normal",
_xlfn.XLOOKUP(BD_Receitas[[#This Row],[ID]],TabCondicoesComerciais[ID],TabCondicoesComerciais[Volume mínimo 
(m3)],0),"")</f>
        <v/>
      </c>
      <c r="Q1057" s="2">
        <f>_xlfn.XLOOKUP(BD_Receitas[[#This Row],[ID]],TabCondicoesComerciais[ID],TabCondicoesComerciais[Vol. 1ºGiro],0)</f>
        <v>580</v>
      </c>
      <c r="R10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7" s="1">
        <f xml:space="preserve"> IF(BD_Receitas[[#This Row],[TIPO DE COBRANÇA]]="Operação Normal",
_xlfn.XLOOKUP(BD_Receitas[[#This Row],[ID]],TabCondicoesComerciais[ID],TabCondicoesComerciais[Tarifa 2º Giro],0),0)</f>
        <v>0</v>
      </c>
      <c r="T10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8" spans="1:24" hidden="1" x14ac:dyDescent="0.35">
      <c r="A1058" s="3" t="s">
        <v>190</v>
      </c>
      <c r="B1058" s="11">
        <v>46204</v>
      </c>
      <c r="C1058" t="s">
        <v>31</v>
      </c>
      <c r="D1058" t="s">
        <v>202</v>
      </c>
      <c r="E1058" t="s">
        <v>35</v>
      </c>
      <c r="F1058" s="10" t="s">
        <v>22</v>
      </c>
      <c r="G1058" s="3" t="s">
        <v>11</v>
      </c>
      <c r="H1058" s="3" t="s">
        <v>116</v>
      </c>
      <c r="I1058" s="3" t="s">
        <v>8</v>
      </c>
      <c r="J1058" s="1">
        <v>0</v>
      </c>
      <c r="K1058" s="12">
        <v>0</v>
      </c>
      <c r="L1058" s="1"/>
      <c r="M1058" s="12"/>
      <c r="N1058"/>
      <c r="O1058"/>
      <c r="P1058" s="2" t="str">
        <f>IF(BD_Receitas[[#This Row],[TIPO DE COBRANÇA]]="Operação Normal",
_xlfn.XLOOKUP(BD_Receitas[[#This Row],[ID]],TabCondicoesComerciais[ID],TabCondicoesComerciais[Volume mínimo 
(m3)],0),"")</f>
        <v/>
      </c>
      <c r="Q1058" s="2">
        <f>_xlfn.XLOOKUP(BD_Receitas[[#This Row],[ID]],TabCondicoesComerciais[ID],TabCondicoesComerciais[Vol. 1ºGiro],0)</f>
        <v>580</v>
      </c>
      <c r="R10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58" s="1">
        <f xml:space="preserve"> IF(BD_Receitas[[#This Row],[TIPO DE COBRANÇA]]="Operação Normal",
_xlfn.XLOOKUP(BD_Receitas[[#This Row],[ID]],TabCondicoesComerciais[ID],TabCondicoesComerciais[Tarifa 2º Giro],0),0)</f>
        <v>0</v>
      </c>
      <c r="T10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59" spans="1:24" hidden="1" x14ac:dyDescent="0.35">
      <c r="A1059" s="3" t="s">
        <v>190</v>
      </c>
      <c r="B1059" s="11">
        <v>46204</v>
      </c>
      <c r="C1059" t="s">
        <v>31</v>
      </c>
      <c r="D1059" t="s">
        <v>202</v>
      </c>
      <c r="E1059" t="s">
        <v>35</v>
      </c>
      <c r="F1059" s="10" t="s">
        <v>22</v>
      </c>
      <c r="G1059" s="3" t="s">
        <v>11</v>
      </c>
      <c r="H1059" s="3" t="s">
        <v>116</v>
      </c>
      <c r="I1059" s="3" t="s">
        <v>15</v>
      </c>
      <c r="J1059" s="1">
        <v>0</v>
      </c>
      <c r="K1059" s="12">
        <v>0</v>
      </c>
      <c r="L1059" s="1"/>
      <c r="M1059" s="12"/>
      <c r="N1059"/>
      <c r="O1059"/>
      <c r="P1059" s="2">
        <f>IF(BD_Receitas[[#This Row],[TIPO DE COBRANÇA]]="Operação Normal",
_xlfn.XLOOKUP(BD_Receitas[[#This Row],[ID]],TabCondicoesComerciais[ID],TabCondicoesComerciais[Volume mínimo 
(m3)],0),"")</f>
        <v>2000</v>
      </c>
      <c r="Q1059" s="2">
        <f>_xlfn.XLOOKUP(BD_Receitas[[#This Row],[ID]],TabCondicoesComerciais[ID],TabCondicoesComerciais[Vol. 1ºGiro],0)</f>
        <v>580</v>
      </c>
      <c r="R10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059" s="1">
        <f xml:space="preserve"> IF(BD_Receitas[[#This Row],[TIPO DE COBRANÇA]]="Operação Normal",
_xlfn.XLOOKUP(BD_Receitas[[#This Row],[ID]],TabCondicoesComerciais[ID],TabCondicoesComerciais[Tarifa 2º Giro],0),0)</f>
        <v>27</v>
      </c>
      <c r="T10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0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60" spans="1:24" hidden="1" x14ac:dyDescent="0.35">
      <c r="A1060" s="3" t="s">
        <v>190</v>
      </c>
      <c r="B1060" s="11">
        <v>46204</v>
      </c>
      <c r="C1060" t="s">
        <v>31</v>
      </c>
      <c r="D1060" t="s">
        <v>202</v>
      </c>
      <c r="E1060" t="s">
        <v>35</v>
      </c>
      <c r="F1060" s="10" t="s">
        <v>22</v>
      </c>
      <c r="G1060" s="3" t="s">
        <v>11</v>
      </c>
      <c r="H1060" s="3" t="s">
        <v>116</v>
      </c>
      <c r="I1060" s="3" t="s">
        <v>65</v>
      </c>
      <c r="J1060" s="1">
        <v>0</v>
      </c>
      <c r="K1060" s="12">
        <v>0</v>
      </c>
      <c r="L1060" s="1"/>
      <c r="M1060" s="12"/>
      <c r="N1060"/>
      <c r="O1060"/>
      <c r="P1060" s="2" t="str">
        <f>IF(BD_Receitas[[#This Row],[TIPO DE COBRANÇA]]="Operação Normal",
_xlfn.XLOOKUP(BD_Receitas[[#This Row],[ID]],TabCondicoesComerciais[ID],TabCondicoesComerciais[Volume mínimo 
(m3)],0),"")</f>
        <v/>
      </c>
      <c r="Q1060" s="2">
        <f>_xlfn.XLOOKUP(BD_Receitas[[#This Row],[ID]],TabCondicoesComerciais[ID],TabCondicoesComerciais[Vol. 1ºGiro],0)</f>
        <v>580</v>
      </c>
      <c r="R10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60" s="1">
        <f xml:space="preserve"> IF(BD_Receitas[[#This Row],[TIPO DE COBRANÇA]]="Operação Normal",
_xlfn.XLOOKUP(BD_Receitas[[#This Row],[ID]],TabCondicoesComerciais[ID],TabCondicoesComerciais[Tarifa 2º Giro],0),0)</f>
        <v>0</v>
      </c>
      <c r="T10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1" spans="1:24" hidden="1" x14ac:dyDescent="0.35">
      <c r="A1061" s="3" t="s">
        <v>172</v>
      </c>
      <c r="B1061" s="11">
        <v>46204</v>
      </c>
      <c r="C1061" t="s">
        <v>31</v>
      </c>
      <c r="D1061" t="s">
        <v>202</v>
      </c>
      <c r="E1061" t="s">
        <v>35</v>
      </c>
      <c r="F1061" s="10" t="s">
        <v>22</v>
      </c>
      <c r="G1061" s="3" t="s">
        <v>11</v>
      </c>
      <c r="H1061" s="3" t="s">
        <v>13</v>
      </c>
      <c r="I1061" s="3" t="s">
        <v>7</v>
      </c>
      <c r="J1061" s="1">
        <v>0</v>
      </c>
      <c r="K1061" s="12">
        <v>0</v>
      </c>
      <c r="L1061" s="1"/>
      <c r="M1061" s="12"/>
      <c r="N1061"/>
      <c r="O1061"/>
      <c r="P1061" s="2" t="str">
        <f>IF(BD_Receitas[[#This Row],[TIPO DE COBRANÇA]]="Operação Normal",
_xlfn.XLOOKUP(BD_Receitas[[#This Row],[ID]],TabCondicoesComerciais[ID],TabCondicoesComerciais[Volume mínimo 
(m3)],0),"")</f>
        <v/>
      </c>
      <c r="Q1061" s="2">
        <f>_xlfn.XLOOKUP(BD_Receitas[[#This Row],[ID]],TabCondicoesComerciais[ID],TabCondicoesComerciais[Vol. 1ºGiro],0)</f>
        <v>750</v>
      </c>
      <c r="R10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061" s="1">
        <f xml:space="preserve"> IF(BD_Receitas[[#This Row],[TIPO DE COBRANÇA]]="Operação Normal",
_xlfn.XLOOKUP(BD_Receitas[[#This Row],[ID]],TabCondicoesComerciais[ID],TabCondicoesComerciais[Tarifa 2º Giro],0),0)</f>
        <v>0</v>
      </c>
      <c r="T10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2" spans="1:24" hidden="1" x14ac:dyDescent="0.35">
      <c r="A1062" s="3" t="s">
        <v>172</v>
      </c>
      <c r="B1062" s="11">
        <v>46204</v>
      </c>
      <c r="C1062" t="s">
        <v>31</v>
      </c>
      <c r="D1062" t="s">
        <v>202</v>
      </c>
      <c r="E1062" t="s">
        <v>35</v>
      </c>
      <c r="F1062" s="10" t="s">
        <v>22</v>
      </c>
      <c r="G1062" s="3" t="s">
        <v>11</v>
      </c>
      <c r="H1062" s="3" t="s">
        <v>13</v>
      </c>
      <c r="I1062" s="3" t="s">
        <v>8</v>
      </c>
      <c r="J1062" s="1">
        <v>0</v>
      </c>
      <c r="K1062" s="12">
        <v>0</v>
      </c>
      <c r="L1062" s="1"/>
      <c r="M1062" s="12"/>
      <c r="N1062"/>
      <c r="O1062"/>
      <c r="P1062" s="2" t="str">
        <f>IF(BD_Receitas[[#This Row],[TIPO DE COBRANÇA]]="Operação Normal",
_xlfn.XLOOKUP(BD_Receitas[[#This Row],[ID]],TabCondicoesComerciais[ID],TabCondicoesComerciais[Volume mínimo 
(m3)],0),"")</f>
        <v/>
      </c>
      <c r="Q1062" s="2">
        <f>_xlfn.XLOOKUP(BD_Receitas[[#This Row],[ID]],TabCondicoesComerciais[ID],TabCondicoesComerciais[Vol. 1ºGiro],0)</f>
        <v>750</v>
      </c>
      <c r="R10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062" s="1">
        <f xml:space="preserve"> IF(BD_Receitas[[#This Row],[TIPO DE COBRANÇA]]="Operação Normal",
_xlfn.XLOOKUP(BD_Receitas[[#This Row],[ID]],TabCondicoesComerciais[ID],TabCondicoesComerciais[Tarifa 2º Giro],0),0)</f>
        <v>0</v>
      </c>
      <c r="T10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3" spans="1:24" hidden="1" x14ac:dyDescent="0.35">
      <c r="A1063" s="3" t="s">
        <v>172</v>
      </c>
      <c r="B1063" s="11">
        <v>46204</v>
      </c>
      <c r="C1063" t="s">
        <v>31</v>
      </c>
      <c r="D1063" t="s">
        <v>202</v>
      </c>
      <c r="E1063" t="s">
        <v>35</v>
      </c>
      <c r="F1063" s="10" t="s">
        <v>22</v>
      </c>
      <c r="G1063" s="3" t="s">
        <v>11</v>
      </c>
      <c r="H1063" s="3" t="s">
        <v>13</v>
      </c>
      <c r="I1063" s="3" t="s">
        <v>15</v>
      </c>
      <c r="J1063" s="1">
        <v>0</v>
      </c>
      <c r="K1063" s="12">
        <v>0</v>
      </c>
      <c r="L1063" s="1"/>
      <c r="M1063" s="12"/>
      <c r="N1063"/>
      <c r="O1063"/>
      <c r="P1063" s="2">
        <f>IF(BD_Receitas[[#This Row],[TIPO DE COBRANÇA]]="Operação Normal",
_xlfn.XLOOKUP(BD_Receitas[[#This Row],[ID]],TabCondicoesComerciais[ID],TabCondicoesComerciais[Volume mínimo 
(m3)],0),"")</f>
        <v>0</v>
      </c>
      <c r="Q1063" s="2">
        <f>_xlfn.XLOOKUP(BD_Receitas[[#This Row],[ID]],TabCondicoesComerciais[ID],TabCondicoesComerciais[Vol. 1ºGiro],0)</f>
        <v>750</v>
      </c>
      <c r="R10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063" s="1">
        <f xml:space="preserve"> IF(BD_Receitas[[#This Row],[TIPO DE COBRANÇA]]="Operação Normal",
_xlfn.XLOOKUP(BD_Receitas[[#This Row],[ID]],TabCondicoesComerciais[ID],TabCondicoesComerciais[Tarifa 2º Giro],0),0)</f>
        <v>22.2</v>
      </c>
      <c r="T106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0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064" spans="1:24" hidden="1" x14ac:dyDescent="0.35">
      <c r="A1064" s="3" t="s">
        <v>172</v>
      </c>
      <c r="B1064" s="11">
        <v>46204</v>
      </c>
      <c r="C1064" t="s">
        <v>31</v>
      </c>
      <c r="D1064" t="s">
        <v>202</v>
      </c>
      <c r="E1064" t="s">
        <v>35</v>
      </c>
      <c r="F1064" s="10" t="s">
        <v>22</v>
      </c>
      <c r="G1064" s="3" t="s">
        <v>11</v>
      </c>
      <c r="H1064" s="3" t="s">
        <v>13</v>
      </c>
      <c r="I1064" s="3" t="s">
        <v>65</v>
      </c>
      <c r="J1064" s="1">
        <v>0</v>
      </c>
      <c r="K1064" s="12">
        <v>0</v>
      </c>
      <c r="L1064" s="1"/>
      <c r="M1064" s="12"/>
      <c r="N1064"/>
      <c r="O1064"/>
      <c r="P1064" s="2" t="str">
        <f>IF(BD_Receitas[[#This Row],[TIPO DE COBRANÇA]]="Operação Normal",
_xlfn.XLOOKUP(BD_Receitas[[#This Row],[ID]],TabCondicoesComerciais[ID],TabCondicoesComerciais[Volume mínimo 
(m3)],0),"")</f>
        <v/>
      </c>
      <c r="Q1064" s="2">
        <f>_xlfn.XLOOKUP(BD_Receitas[[#This Row],[ID]],TabCondicoesComerciais[ID],TabCondicoesComerciais[Vol. 1ºGiro],0)</f>
        <v>750</v>
      </c>
      <c r="R10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64" s="1">
        <f xml:space="preserve"> IF(BD_Receitas[[#This Row],[TIPO DE COBRANÇA]]="Operação Normal",
_xlfn.XLOOKUP(BD_Receitas[[#This Row],[ID]],TabCondicoesComerciais[ID],TabCondicoesComerciais[Tarifa 2º Giro],0),0)</f>
        <v>0</v>
      </c>
      <c r="T10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5" spans="1:24" hidden="1" x14ac:dyDescent="0.35">
      <c r="A1065" s="3" t="s">
        <v>201</v>
      </c>
      <c r="B1065" s="11">
        <v>46204</v>
      </c>
      <c r="C1065" t="s">
        <v>31</v>
      </c>
      <c r="D1065" t="s">
        <v>202</v>
      </c>
      <c r="E1065" t="s">
        <v>35</v>
      </c>
      <c r="F1065" s="10" t="s">
        <v>22</v>
      </c>
      <c r="G1065" s="3" t="s">
        <v>11</v>
      </c>
      <c r="H1065" s="3" t="s">
        <v>6</v>
      </c>
      <c r="I1065" s="3" t="s">
        <v>7</v>
      </c>
      <c r="J1065" s="1"/>
      <c r="K1065" s="12"/>
      <c r="L1065" s="1"/>
      <c r="M1065" s="12"/>
      <c r="N1065"/>
      <c r="O1065"/>
      <c r="P1065" s="2" t="str">
        <f>IF(BD_Receitas[[#This Row],[TIPO DE COBRANÇA]]="Operação Normal",
_xlfn.XLOOKUP(BD_Receitas[[#This Row],[ID]],TabCondicoesComerciais[ID],TabCondicoesComerciais[Volume mínimo 
(m3)],0),"")</f>
        <v/>
      </c>
      <c r="Q1065" s="2">
        <f>_xlfn.XLOOKUP(BD_Receitas[[#This Row],[ID]],TabCondicoesComerciais[ID],TabCondicoesComerciais[Vol. 1ºGiro],0)</f>
        <v>300</v>
      </c>
      <c r="R10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65" s="1">
        <f xml:space="preserve"> IF(BD_Receitas[[#This Row],[TIPO DE COBRANÇA]]="Operação Normal",
_xlfn.XLOOKUP(BD_Receitas[[#This Row],[ID]],TabCondicoesComerciais[ID],TabCondicoesComerciais[Tarifa 2º Giro],0),0)</f>
        <v>0</v>
      </c>
      <c r="T10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6" spans="1:24" hidden="1" x14ac:dyDescent="0.35">
      <c r="A1066" s="3" t="s">
        <v>201</v>
      </c>
      <c r="B1066" s="11">
        <v>46204</v>
      </c>
      <c r="C1066" t="s">
        <v>31</v>
      </c>
      <c r="D1066" t="s">
        <v>202</v>
      </c>
      <c r="E1066" t="s">
        <v>35</v>
      </c>
      <c r="F1066" s="10" t="s">
        <v>22</v>
      </c>
      <c r="G1066" s="3" t="s">
        <v>11</v>
      </c>
      <c r="H1066" s="3" t="s">
        <v>6</v>
      </c>
      <c r="I1066" s="3" t="s">
        <v>8</v>
      </c>
      <c r="J1066" s="1"/>
      <c r="K1066" s="12"/>
      <c r="L1066" s="1">
        <v>2572.2600000000002</v>
      </c>
      <c r="M1066" s="12">
        <v>85.742000000000004</v>
      </c>
      <c r="N1066"/>
      <c r="O1066"/>
      <c r="P1066" s="2" t="str">
        <f>IF(BD_Receitas[[#This Row],[TIPO DE COBRANÇA]]="Operação Normal",
_xlfn.XLOOKUP(BD_Receitas[[#This Row],[ID]],TabCondicoesComerciais[ID],TabCondicoesComerciais[Volume mínimo 
(m3)],0),"")</f>
        <v/>
      </c>
      <c r="Q1066" s="2">
        <f>_xlfn.XLOOKUP(BD_Receitas[[#This Row],[ID]],TabCondicoesComerciais[ID],TabCondicoesComerciais[Vol. 1ºGiro],0)</f>
        <v>300</v>
      </c>
      <c r="R10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66" s="1">
        <f xml:space="preserve"> IF(BD_Receitas[[#This Row],[TIPO DE COBRANÇA]]="Operação Normal",
_xlfn.XLOOKUP(BD_Receitas[[#This Row],[ID]],TabCondicoesComerciais[ID],TabCondicoesComerciais[Tarifa 2º Giro],0),0)</f>
        <v>0</v>
      </c>
      <c r="T10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7" spans="1:24" hidden="1" x14ac:dyDescent="0.35">
      <c r="A1067" s="3" t="s">
        <v>201</v>
      </c>
      <c r="B1067" s="11">
        <v>46204</v>
      </c>
      <c r="C1067" t="s">
        <v>31</v>
      </c>
      <c r="D1067" t="s">
        <v>202</v>
      </c>
      <c r="E1067" t="s">
        <v>35</v>
      </c>
      <c r="F1067" s="10" t="s">
        <v>22</v>
      </c>
      <c r="G1067" s="3" t="s">
        <v>11</v>
      </c>
      <c r="H1067" s="3" t="s">
        <v>6</v>
      </c>
      <c r="I1067" s="3" t="s">
        <v>15</v>
      </c>
      <c r="J1067" s="1"/>
      <c r="K1067" s="12"/>
      <c r="L1067" s="1">
        <v>11042.01</v>
      </c>
      <c r="M1067" s="12">
        <v>368.06700000000001</v>
      </c>
      <c r="N1067"/>
      <c r="O1067"/>
      <c r="P1067" s="2">
        <f>IF(BD_Receitas[[#This Row],[TIPO DE COBRANÇA]]="Operação Normal",
_xlfn.XLOOKUP(BD_Receitas[[#This Row],[ID]],TabCondicoesComerciais[ID],TabCondicoesComerciais[Volume mínimo 
(m3)],0),"")</f>
        <v>0</v>
      </c>
      <c r="Q1067" s="2">
        <f>_xlfn.XLOOKUP(BD_Receitas[[#This Row],[ID]],TabCondicoesComerciais[ID],TabCondicoesComerciais[Vol. 1ºGiro],0)</f>
        <v>300</v>
      </c>
      <c r="R10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067" s="1">
        <f xml:space="preserve"> IF(BD_Receitas[[#This Row],[TIPO DE COBRANÇA]]="Operação Normal",
_xlfn.XLOOKUP(BD_Receitas[[#This Row],[ID]],TabCondicoesComerciais[ID],TabCondicoesComerciais[Tarifa 2º Giro],0),0)</f>
        <v>30</v>
      </c>
      <c r="T1067" s="5">
        <f>IFERROR(IF(BD_Receitas[[#This Row],[TIPO DE COBRANÇA]]&lt;&gt;"Operação Normal","",BD_Receitas[[#This Row],[Valor Total R$]]/ MAX(BD_Receitas[[#This Row],[Vol. Movimentado M³]],
BD_Receitas[[#This Row],[Volume Mínimo ]])
),0)</f>
        <v>30</v>
      </c>
      <c r="U10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36.988564581991866</v>
      </c>
      <c r="V10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0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11042.01</v>
      </c>
      <c r="X10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68" spans="1:24" hidden="1" x14ac:dyDescent="0.35">
      <c r="A1068" s="3" t="s">
        <v>201</v>
      </c>
      <c r="B1068" s="11">
        <v>46204</v>
      </c>
      <c r="C1068" t="s">
        <v>31</v>
      </c>
      <c r="D1068" t="s">
        <v>202</v>
      </c>
      <c r="E1068" t="s">
        <v>35</v>
      </c>
      <c r="F1068" s="10" t="s">
        <v>22</v>
      </c>
      <c r="G1068" s="3" t="s">
        <v>11</v>
      </c>
      <c r="H1068" s="3" t="s">
        <v>6</v>
      </c>
      <c r="I1068" s="3" t="s">
        <v>65</v>
      </c>
      <c r="J1068" s="1"/>
      <c r="K1068" s="12"/>
      <c r="L1068" s="1"/>
      <c r="M1068" s="12"/>
      <c r="N1068"/>
      <c r="O1068"/>
      <c r="P1068" s="2" t="str">
        <f>IF(BD_Receitas[[#This Row],[TIPO DE COBRANÇA]]="Operação Normal",
_xlfn.XLOOKUP(BD_Receitas[[#This Row],[ID]],TabCondicoesComerciais[ID],TabCondicoesComerciais[Volume mínimo 
(m3)],0),"")</f>
        <v/>
      </c>
      <c r="Q1068" s="2">
        <f>_xlfn.XLOOKUP(BD_Receitas[[#This Row],[ID]],TabCondicoesComerciais[ID],TabCondicoesComerciais[Vol. 1ºGiro],0)</f>
        <v>300</v>
      </c>
      <c r="R10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68" s="1">
        <f xml:space="preserve"> IF(BD_Receitas[[#This Row],[TIPO DE COBRANÇA]]="Operação Normal",
_xlfn.XLOOKUP(BD_Receitas[[#This Row],[ID]],TabCondicoesComerciais[ID],TabCondicoesComerciais[Tarifa 2º Giro],0),0)</f>
        <v>0</v>
      </c>
      <c r="T10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69" spans="1:24" hidden="1" x14ac:dyDescent="0.35">
      <c r="A1069" s="3" t="s">
        <v>177</v>
      </c>
      <c r="B1069" s="11">
        <v>46204</v>
      </c>
      <c r="C1069" t="s">
        <v>31</v>
      </c>
      <c r="D1069" t="s">
        <v>62</v>
      </c>
      <c r="E1069" t="s">
        <v>33</v>
      </c>
      <c r="F1069" s="10" t="s">
        <v>46</v>
      </c>
      <c r="G1069" s="3" t="s">
        <v>87</v>
      </c>
      <c r="H1069" s="3" t="s">
        <v>9</v>
      </c>
      <c r="I1069" s="3" t="s">
        <v>7</v>
      </c>
      <c r="J1069" s="1">
        <v>0</v>
      </c>
      <c r="K1069" s="12">
        <v>0</v>
      </c>
      <c r="L1069" s="1"/>
      <c r="M1069" s="12"/>
      <c r="N1069"/>
      <c r="O1069"/>
      <c r="P1069" s="2" t="str">
        <f>IF(BD_Receitas[[#This Row],[TIPO DE COBRANÇA]]="Operação Normal",
_xlfn.XLOOKUP(BD_Receitas[[#This Row],[ID]],TabCondicoesComerciais[ID],TabCondicoesComerciais[Volume mínimo 
(m3)],0),"")</f>
        <v/>
      </c>
      <c r="Q1069" s="2">
        <f>_xlfn.XLOOKUP(BD_Receitas[[#This Row],[ID]],TabCondicoesComerciais[ID],TabCondicoesComerciais[Vol. 1ºGiro],0)</f>
        <v>1070</v>
      </c>
      <c r="R10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069" s="1">
        <f xml:space="preserve"> IF(BD_Receitas[[#This Row],[TIPO DE COBRANÇA]]="Operação Normal",
_xlfn.XLOOKUP(BD_Receitas[[#This Row],[ID]],TabCondicoesComerciais[ID],TabCondicoesComerciais[Tarifa 2º Giro],0),0)</f>
        <v>0</v>
      </c>
      <c r="T10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0" spans="1:24" hidden="1" x14ac:dyDescent="0.35">
      <c r="A1070" s="3" t="s">
        <v>177</v>
      </c>
      <c r="B1070" s="11">
        <v>46204</v>
      </c>
      <c r="C1070" t="s">
        <v>31</v>
      </c>
      <c r="D1070" t="s">
        <v>62</v>
      </c>
      <c r="E1070" t="s">
        <v>33</v>
      </c>
      <c r="F1070" s="10" t="s">
        <v>46</v>
      </c>
      <c r="G1070" s="3" t="s">
        <v>87</v>
      </c>
      <c r="H1070" s="3" t="s">
        <v>9</v>
      </c>
      <c r="I1070" s="3" t="s">
        <v>8</v>
      </c>
      <c r="J1070" s="1">
        <v>0</v>
      </c>
      <c r="K1070" s="12">
        <v>0</v>
      </c>
      <c r="L1070" s="1"/>
      <c r="M1070" s="12"/>
      <c r="N1070"/>
      <c r="O1070"/>
      <c r="P1070" s="2" t="str">
        <f>IF(BD_Receitas[[#This Row],[TIPO DE COBRANÇA]]="Operação Normal",
_xlfn.XLOOKUP(BD_Receitas[[#This Row],[ID]],TabCondicoesComerciais[ID],TabCondicoesComerciais[Volume mínimo 
(m3)],0),"")</f>
        <v/>
      </c>
      <c r="Q1070" s="2">
        <f>_xlfn.XLOOKUP(BD_Receitas[[#This Row],[ID]],TabCondicoesComerciais[ID],TabCondicoesComerciais[Vol. 1ºGiro],0)</f>
        <v>1070</v>
      </c>
      <c r="R10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070" s="1">
        <f xml:space="preserve"> IF(BD_Receitas[[#This Row],[TIPO DE COBRANÇA]]="Operação Normal",
_xlfn.XLOOKUP(BD_Receitas[[#This Row],[ID]],TabCondicoesComerciais[ID],TabCondicoesComerciais[Tarifa 2º Giro],0),0)</f>
        <v>0</v>
      </c>
      <c r="T10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1" spans="1:24" hidden="1" x14ac:dyDescent="0.35">
      <c r="A1071" s="3" t="s">
        <v>177</v>
      </c>
      <c r="B1071" s="11">
        <v>46204</v>
      </c>
      <c r="C1071" t="s">
        <v>31</v>
      </c>
      <c r="D1071" t="s">
        <v>62</v>
      </c>
      <c r="E1071" t="s">
        <v>33</v>
      </c>
      <c r="F1071" s="10" t="s">
        <v>46</v>
      </c>
      <c r="G1071" s="3" t="s">
        <v>87</v>
      </c>
      <c r="H1071" s="3" t="s">
        <v>9</v>
      </c>
      <c r="I1071" s="3" t="s">
        <v>15</v>
      </c>
      <c r="J1071" s="1">
        <v>65348.32</v>
      </c>
      <c r="K1071" s="12">
        <v>1926</v>
      </c>
      <c r="L1071" s="1"/>
      <c r="M1071" s="12"/>
      <c r="N1071"/>
      <c r="O1071"/>
      <c r="P1071" s="2">
        <f>IF(BD_Receitas[[#This Row],[TIPO DE COBRANÇA]]="Operação Normal",
_xlfn.XLOOKUP(BD_Receitas[[#This Row],[ID]],TabCondicoesComerciais[ID],TabCondicoesComerciais[Volume mínimo 
(m3)],0),"")</f>
        <v>3210</v>
      </c>
      <c r="Q1071" s="2">
        <f>_xlfn.XLOOKUP(BD_Receitas[[#This Row],[ID]],TabCondicoesComerciais[ID],TabCondicoesComerciais[Vol. 1ºGiro],0)</f>
        <v>1070</v>
      </c>
      <c r="R10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071" s="1">
        <f xml:space="preserve"> IF(BD_Receitas[[#This Row],[TIPO DE COBRANÇA]]="Operação Normal",
_xlfn.XLOOKUP(BD_Receitas[[#This Row],[ID]],TabCondicoesComerciais[ID],TabCondicoesComerciais[Tarifa 2º Giro],0),0)</f>
        <v>32.64</v>
      </c>
      <c r="T107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0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72" spans="1:24" hidden="1" x14ac:dyDescent="0.35">
      <c r="A1072" s="3" t="s">
        <v>177</v>
      </c>
      <c r="B1072" s="11">
        <v>46204</v>
      </c>
      <c r="C1072" t="s">
        <v>31</v>
      </c>
      <c r="D1072" t="s">
        <v>62</v>
      </c>
      <c r="E1072" t="s">
        <v>33</v>
      </c>
      <c r="F1072" s="10" t="s">
        <v>46</v>
      </c>
      <c r="G1072" s="3" t="s">
        <v>87</v>
      </c>
      <c r="H1072" s="3" t="s">
        <v>9</v>
      </c>
      <c r="I1072" s="3" t="s">
        <v>65</v>
      </c>
      <c r="J1072" s="1">
        <v>0</v>
      </c>
      <c r="K1072" s="12">
        <v>0</v>
      </c>
      <c r="L1072" s="1"/>
      <c r="M1072" s="12"/>
      <c r="N1072"/>
      <c r="O1072"/>
      <c r="P1072" s="2" t="str">
        <f>IF(BD_Receitas[[#This Row],[TIPO DE COBRANÇA]]="Operação Normal",
_xlfn.XLOOKUP(BD_Receitas[[#This Row],[ID]],TabCondicoesComerciais[ID],TabCondicoesComerciais[Volume mínimo 
(m3)],0),"")</f>
        <v/>
      </c>
      <c r="Q1072" s="2">
        <f>_xlfn.XLOOKUP(BD_Receitas[[#This Row],[ID]],TabCondicoesComerciais[ID],TabCondicoesComerciais[Vol. 1ºGiro],0)</f>
        <v>1070</v>
      </c>
      <c r="R10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72" s="1">
        <f xml:space="preserve"> IF(BD_Receitas[[#This Row],[TIPO DE COBRANÇA]]="Operação Normal",
_xlfn.XLOOKUP(BD_Receitas[[#This Row],[ID]],TabCondicoesComerciais[ID],TabCondicoesComerciais[Tarifa 2º Giro],0),0)</f>
        <v>0</v>
      </c>
      <c r="T10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3" spans="1:24" hidden="1" x14ac:dyDescent="0.35">
      <c r="A1073" s="3" t="s">
        <v>200</v>
      </c>
      <c r="B1073" s="11">
        <v>46204</v>
      </c>
      <c r="C1073" t="s">
        <v>31</v>
      </c>
      <c r="D1073" t="s">
        <v>203</v>
      </c>
      <c r="E1073" t="s">
        <v>32</v>
      </c>
      <c r="F1073" s="10" t="s">
        <v>25</v>
      </c>
      <c r="G1073" s="3" t="s">
        <v>12</v>
      </c>
      <c r="H1073" s="3" t="s">
        <v>10</v>
      </c>
      <c r="I1073" s="3" t="s">
        <v>7</v>
      </c>
      <c r="J1073" s="1">
        <v>0</v>
      </c>
      <c r="K1073" s="12">
        <v>0</v>
      </c>
      <c r="L1073" s="1"/>
      <c r="M1073" s="12"/>
      <c r="N1073"/>
      <c r="O1073"/>
      <c r="P1073" s="2" t="str">
        <f>IF(BD_Receitas[[#This Row],[TIPO DE COBRANÇA]]="Operação Normal",
_xlfn.XLOOKUP(BD_Receitas[[#This Row],[ID]],TabCondicoesComerciais[ID],TabCondicoesComerciais[Volume mínimo 
(m3)],0),"")</f>
        <v/>
      </c>
      <c r="Q1073" s="2">
        <f>_xlfn.XLOOKUP(BD_Receitas[[#This Row],[ID]],TabCondicoesComerciais[ID],TabCondicoesComerciais[Vol. 1ºGiro],0)</f>
        <v>2000</v>
      </c>
      <c r="R10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73" s="1">
        <f xml:space="preserve"> IF(BD_Receitas[[#This Row],[TIPO DE COBRANÇA]]="Operação Normal",
_xlfn.XLOOKUP(BD_Receitas[[#This Row],[ID]],TabCondicoesComerciais[ID],TabCondicoesComerciais[Tarifa 2º Giro],0),0)</f>
        <v>0</v>
      </c>
      <c r="T10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4" spans="1:24" hidden="1" x14ac:dyDescent="0.35">
      <c r="A1074" s="3" t="s">
        <v>200</v>
      </c>
      <c r="B1074" s="11">
        <v>46204</v>
      </c>
      <c r="C1074" t="s">
        <v>31</v>
      </c>
      <c r="D1074" t="s">
        <v>203</v>
      </c>
      <c r="E1074" t="s">
        <v>32</v>
      </c>
      <c r="F1074" s="10" t="s">
        <v>25</v>
      </c>
      <c r="G1074" s="3" t="s">
        <v>12</v>
      </c>
      <c r="H1074" s="3" t="s">
        <v>10</v>
      </c>
      <c r="I1074" s="3" t="s">
        <v>8</v>
      </c>
      <c r="J1074" s="1">
        <v>0</v>
      </c>
      <c r="K1074" s="12">
        <v>0</v>
      </c>
      <c r="L1074" s="1"/>
      <c r="M1074" s="12"/>
      <c r="N1074"/>
      <c r="O1074"/>
      <c r="P1074" s="2" t="str">
        <f>IF(BD_Receitas[[#This Row],[TIPO DE COBRANÇA]]="Operação Normal",
_xlfn.XLOOKUP(BD_Receitas[[#This Row],[ID]],TabCondicoesComerciais[ID],TabCondicoesComerciais[Volume mínimo 
(m3)],0),"")</f>
        <v/>
      </c>
      <c r="Q1074" s="2">
        <f>_xlfn.XLOOKUP(BD_Receitas[[#This Row],[ID]],TabCondicoesComerciais[ID],TabCondicoesComerciais[Vol. 1ºGiro],0)</f>
        <v>2000</v>
      </c>
      <c r="R10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74" s="1">
        <f xml:space="preserve"> IF(BD_Receitas[[#This Row],[TIPO DE COBRANÇA]]="Operação Normal",
_xlfn.XLOOKUP(BD_Receitas[[#This Row],[ID]],TabCondicoesComerciais[ID],TabCondicoesComerciais[Tarifa 2º Giro],0),0)</f>
        <v>0</v>
      </c>
      <c r="T10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5" spans="1:24" hidden="1" x14ac:dyDescent="0.35">
      <c r="A1075" s="3" t="s">
        <v>200</v>
      </c>
      <c r="B1075" s="11">
        <v>46204</v>
      </c>
      <c r="C1075" t="s">
        <v>31</v>
      </c>
      <c r="D1075" t="s">
        <v>203</v>
      </c>
      <c r="E1075" t="s">
        <v>32</v>
      </c>
      <c r="F1075" s="10" t="s">
        <v>25</v>
      </c>
      <c r="G1075" s="3" t="s">
        <v>12</v>
      </c>
      <c r="H1075" s="3" t="s">
        <v>10</v>
      </c>
      <c r="I1075" s="3" t="s">
        <v>15</v>
      </c>
      <c r="J1075" s="1">
        <v>0</v>
      </c>
      <c r="K1075" s="12">
        <v>0</v>
      </c>
      <c r="L1075" s="1">
        <v>236192.54</v>
      </c>
      <c r="M1075" s="12">
        <v>10246.965</v>
      </c>
      <c r="N1075" t="s">
        <v>340</v>
      </c>
      <c r="O1075" t="s">
        <v>155</v>
      </c>
      <c r="P1075" s="2">
        <f>IF(BD_Receitas[[#This Row],[TIPO DE COBRANÇA]]="Operação Normal",
_xlfn.XLOOKUP(BD_Receitas[[#This Row],[ID]],TabCondicoesComerciais[ID],TabCondicoesComerciais[Volume mínimo 
(m3)],0),"")</f>
        <v>8000</v>
      </c>
      <c r="Q1075" s="2">
        <f>_xlfn.XLOOKUP(BD_Receitas[[#This Row],[ID]],TabCondicoesComerciais[ID],TabCondicoesComerciais[Vol. 1ºGiro],0)</f>
        <v>2000</v>
      </c>
      <c r="R10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075" s="1">
        <f xml:space="preserve"> IF(BD_Receitas[[#This Row],[TIPO DE COBRANÇA]]="Operação Normal",
_xlfn.XLOOKUP(BD_Receitas[[#This Row],[ID]],TabCondicoesComerciais[ID],TabCondicoesComerciais[Tarifa 2º Giro],0),0)</f>
        <v>20</v>
      </c>
      <c r="T1075" s="5">
        <f>IFERROR(IF(BD_Receitas[[#This Row],[TIPO DE COBRANÇA]]&lt;&gt;"Operação Normal","",BD_Receitas[[#This Row],[Valor Total R$]]/ MAX(BD_Receitas[[#This Row],[Vol. Movimentado M³]],
BD_Receitas[[#This Row],[Volume Mínimo ]])
),0)</f>
        <v>23.049999682832919</v>
      </c>
      <c r="U10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23.049999682832919</v>
      </c>
      <c r="V10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0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204939.3</v>
      </c>
      <c r="X10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76" spans="1:24" hidden="1" x14ac:dyDescent="0.35">
      <c r="A1076" s="3" t="s">
        <v>200</v>
      </c>
      <c r="B1076" s="11">
        <v>46204</v>
      </c>
      <c r="C1076" t="s">
        <v>31</v>
      </c>
      <c r="D1076" t="s">
        <v>203</v>
      </c>
      <c r="E1076" t="s">
        <v>32</v>
      </c>
      <c r="F1076" s="10" t="s">
        <v>25</v>
      </c>
      <c r="G1076" s="3" t="s">
        <v>12</v>
      </c>
      <c r="H1076" s="3" t="s">
        <v>10</v>
      </c>
      <c r="I1076" s="3" t="s">
        <v>65</v>
      </c>
      <c r="J1076" s="1">
        <v>0</v>
      </c>
      <c r="K1076" s="12">
        <v>0</v>
      </c>
      <c r="L1076" s="1"/>
      <c r="M1076" s="12"/>
      <c r="N1076"/>
      <c r="O1076"/>
      <c r="P1076" s="2" t="str">
        <f>IF(BD_Receitas[[#This Row],[TIPO DE COBRANÇA]]="Operação Normal",
_xlfn.XLOOKUP(BD_Receitas[[#This Row],[ID]],TabCondicoesComerciais[ID],TabCondicoesComerciais[Volume mínimo 
(m3)],0),"")</f>
        <v/>
      </c>
      <c r="Q1076" s="2">
        <f>_xlfn.XLOOKUP(BD_Receitas[[#This Row],[ID]],TabCondicoesComerciais[ID],TabCondicoesComerciais[Vol. 1ºGiro],0)</f>
        <v>2000</v>
      </c>
      <c r="R10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76" s="1">
        <f xml:space="preserve"> IF(BD_Receitas[[#This Row],[TIPO DE COBRANÇA]]="Operação Normal",
_xlfn.XLOOKUP(BD_Receitas[[#This Row],[ID]],TabCondicoesComerciais[ID],TabCondicoesComerciais[Tarifa 2º Giro],0),0)</f>
        <v>0</v>
      </c>
      <c r="T10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7" spans="1:24" hidden="1" x14ac:dyDescent="0.35">
      <c r="A1077" s="3" t="s">
        <v>342</v>
      </c>
      <c r="B1077" s="11">
        <v>46204</v>
      </c>
      <c r="C1077" t="s">
        <v>31</v>
      </c>
      <c r="D1077" t="s">
        <v>203</v>
      </c>
      <c r="E1077" t="s">
        <v>32</v>
      </c>
      <c r="F1077" s="10" t="s">
        <v>25</v>
      </c>
      <c r="G1077" s="3" t="s">
        <v>12</v>
      </c>
      <c r="H1077" s="3" t="s">
        <v>9</v>
      </c>
      <c r="I1077" s="3" t="s">
        <v>7</v>
      </c>
      <c r="J1077" s="1">
        <v>0</v>
      </c>
      <c r="K1077" s="12">
        <v>0</v>
      </c>
      <c r="L1077" s="1">
        <v>10200.27</v>
      </c>
      <c r="M1077" s="12">
        <v>930.68200000000002</v>
      </c>
      <c r="N1077" t="s">
        <v>341</v>
      </c>
      <c r="O1077" t="s">
        <v>129</v>
      </c>
      <c r="P1077" s="2" t="str">
        <f>IF(BD_Receitas[[#This Row],[TIPO DE COBRANÇA]]="Operação Normal",
_xlfn.XLOOKUP(BD_Receitas[[#This Row],[ID]],TabCondicoesComerciais[ID],TabCondicoesComerciais[Volume mínimo 
(m3)],0),"")</f>
        <v/>
      </c>
      <c r="Q1077" s="2">
        <f>_xlfn.XLOOKUP(BD_Receitas[[#This Row],[ID]],TabCondicoesComerciais[ID],TabCondicoesComerciais[Vol. 1ºGiro],0)</f>
        <v>1125</v>
      </c>
      <c r="R10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077" s="1">
        <f xml:space="preserve"> IF(BD_Receitas[[#This Row],[TIPO DE COBRANÇA]]="Operação Normal",
_xlfn.XLOOKUP(BD_Receitas[[#This Row],[ID]],TabCondicoesComerciais[ID],TabCondicoesComerciais[Tarifa 2º Giro],0),0)</f>
        <v>0</v>
      </c>
      <c r="T10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8" spans="1:24" hidden="1" x14ac:dyDescent="0.35">
      <c r="A1078" s="3" t="s">
        <v>342</v>
      </c>
      <c r="B1078" s="11">
        <v>46204</v>
      </c>
      <c r="C1078" t="s">
        <v>31</v>
      </c>
      <c r="D1078" t="s">
        <v>203</v>
      </c>
      <c r="E1078" t="s">
        <v>32</v>
      </c>
      <c r="F1078" s="10" t="s">
        <v>25</v>
      </c>
      <c r="G1078" s="3" t="s">
        <v>12</v>
      </c>
      <c r="H1078" s="3" t="s">
        <v>9</v>
      </c>
      <c r="I1078" s="3" t="s">
        <v>8</v>
      </c>
      <c r="J1078" s="1">
        <v>0</v>
      </c>
      <c r="K1078" s="12">
        <v>0</v>
      </c>
      <c r="L1078" s="1"/>
      <c r="M1078" s="12"/>
      <c r="N1078"/>
      <c r="O1078"/>
      <c r="P1078" s="2" t="str">
        <f>IF(BD_Receitas[[#This Row],[TIPO DE COBRANÇA]]="Operação Normal",
_xlfn.XLOOKUP(BD_Receitas[[#This Row],[ID]],TabCondicoesComerciais[ID],TabCondicoesComerciais[Volume mínimo 
(m3)],0),"")</f>
        <v/>
      </c>
      <c r="Q1078" s="2">
        <f>_xlfn.XLOOKUP(BD_Receitas[[#This Row],[ID]],TabCondicoesComerciais[ID],TabCondicoesComerciais[Vol. 1ºGiro],0)</f>
        <v>1125</v>
      </c>
      <c r="R10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078" s="1">
        <f xml:space="preserve"> IF(BD_Receitas[[#This Row],[TIPO DE COBRANÇA]]="Operação Normal",
_xlfn.XLOOKUP(BD_Receitas[[#This Row],[ID]],TabCondicoesComerciais[ID],TabCondicoesComerciais[Tarifa 2º Giro],0),0)</f>
        <v>0</v>
      </c>
      <c r="T10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79" spans="1:24" hidden="1" x14ac:dyDescent="0.35">
      <c r="A1079" s="3" t="s">
        <v>342</v>
      </c>
      <c r="B1079" s="11">
        <v>46204</v>
      </c>
      <c r="C1079" t="s">
        <v>31</v>
      </c>
      <c r="D1079" t="s">
        <v>203</v>
      </c>
      <c r="E1079" t="s">
        <v>32</v>
      </c>
      <c r="F1079" s="10" t="s">
        <v>25</v>
      </c>
      <c r="G1079" s="3" t="s">
        <v>12</v>
      </c>
      <c r="H1079" s="3" t="s">
        <v>9</v>
      </c>
      <c r="I1079" s="3" t="s">
        <v>15</v>
      </c>
      <c r="J1079" s="1">
        <v>165115.51999999999</v>
      </c>
      <c r="K1079" s="12">
        <v>5625</v>
      </c>
      <c r="L1079" s="1">
        <v>154125</v>
      </c>
      <c r="M1079" s="12">
        <v>4629.3649999999998</v>
      </c>
      <c r="N1079" t="s">
        <v>341</v>
      </c>
      <c r="O1079" t="s">
        <v>155</v>
      </c>
      <c r="P1079" s="2">
        <f>IF(BD_Receitas[[#This Row],[TIPO DE COBRANÇA]]="Operação Normal",
_xlfn.XLOOKUP(BD_Receitas[[#This Row],[ID]],TabCondicoesComerciais[ID],TabCondicoesComerciais[Volume mínimo 
(m3)],0),"")</f>
        <v>5625</v>
      </c>
      <c r="Q1079" s="2">
        <f>_xlfn.XLOOKUP(BD_Receitas[[#This Row],[ID]],TabCondicoesComerciais[ID],TabCondicoesComerciais[Vol. 1ºGiro],0)</f>
        <v>1125</v>
      </c>
      <c r="R10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079" s="1">
        <f xml:space="preserve"> IF(BD_Receitas[[#This Row],[TIPO DE COBRANÇA]]="Operação Normal",
_xlfn.XLOOKUP(BD_Receitas[[#This Row],[ID]],TabCondicoesComerciais[ID],TabCondicoesComerciais[Tarifa 2º Giro],0),0)</f>
        <v>27.4</v>
      </c>
      <c r="T1079" s="5">
        <f>IFERROR(IF(BD_Receitas[[#This Row],[TIPO DE COBRANÇA]]&lt;&gt;"Operação Normal","",BD_Receitas[[#This Row],[Valor Total R$]]/ MAX(BD_Receitas[[#This Row],[Vol. Movimentado M³]],
BD_Receitas[[#This Row],[Volume Mínimo ]])
),0)</f>
        <v>27.4</v>
      </c>
      <c r="U10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35.496287287781371</v>
      </c>
      <c r="V10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0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126844.601</v>
      </c>
      <c r="X10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Ok</v>
      </c>
    </row>
    <row r="1080" spans="1:24" hidden="1" x14ac:dyDescent="0.35">
      <c r="A1080" s="3" t="s">
        <v>342</v>
      </c>
      <c r="B1080" s="11">
        <v>46204</v>
      </c>
      <c r="C1080" t="s">
        <v>31</v>
      </c>
      <c r="D1080" t="s">
        <v>203</v>
      </c>
      <c r="E1080" t="s">
        <v>32</v>
      </c>
      <c r="F1080" s="10" t="s">
        <v>25</v>
      </c>
      <c r="G1080" s="3" t="s">
        <v>12</v>
      </c>
      <c r="H1080" s="3" t="s">
        <v>9</v>
      </c>
      <c r="I1080" s="3" t="s">
        <v>65</v>
      </c>
      <c r="J1080" s="1">
        <v>0</v>
      </c>
      <c r="K1080" s="12">
        <v>0</v>
      </c>
      <c r="L1080" s="1"/>
      <c r="M1080" s="12"/>
      <c r="N1080"/>
      <c r="O1080"/>
      <c r="P1080" s="2" t="str">
        <f>IF(BD_Receitas[[#This Row],[TIPO DE COBRANÇA]]="Operação Normal",
_xlfn.XLOOKUP(BD_Receitas[[#This Row],[ID]],TabCondicoesComerciais[ID],TabCondicoesComerciais[Volume mínimo 
(m3)],0),"")</f>
        <v/>
      </c>
      <c r="Q1080" s="2">
        <f>_xlfn.XLOOKUP(BD_Receitas[[#This Row],[ID]],TabCondicoesComerciais[ID],TabCondicoesComerciais[Vol. 1ºGiro],0)</f>
        <v>1125</v>
      </c>
      <c r="R10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0" s="1">
        <f xml:space="preserve"> IF(BD_Receitas[[#This Row],[TIPO DE COBRANÇA]]="Operação Normal",
_xlfn.XLOOKUP(BD_Receitas[[#This Row],[ID]],TabCondicoesComerciais[ID],TabCondicoesComerciais[Tarifa 2º Giro],0),0)</f>
        <v>0</v>
      </c>
      <c r="T10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1" spans="1:24" hidden="1" x14ac:dyDescent="0.35">
      <c r="A1081" s="3" t="s">
        <v>134</v>
      </c>
      <c r="B1081" s="11">
        <v>46204</v>
      </c>
      <c r="C1081" t="s">
        <v>31</v>
      </c>
      <c r="D1081" t="s">
        <v>62</v>
      </c>
      <c r="E1081" t="s">
        <v>37</v>
      </c>
      <c r="F1081" s="10" t="s">
        <v>57</v>
      </c>
      <c r="G1081" s="3" t="s">
        <v>58</v>
      </c>
      <c r="H1081" s="3" t="s">
        <v>10</v>
      </c>
      <c r="I1081" s="3" t="s">
        <v>7</v>
      </c>
      <c r="J1081" s="1">
        <v>0</v>
      </c>
      <c r="K1081" s="12">
        <v>0</v>
      </c>
      <c r="L1081" s="1"/>
      <c r="M1081" s="12"/>
      <c r="N1081"/>
      <c r="O1081"/>
      <c r="P1081" s="2" t="str">
        <f>IF(BD_Receitas[[#This Row],[TIPO DE COBRANÇA]]="Operação Normal",
_xlfn.XLOOKUP(BD_Receitas[[#This Row],[ID]],TabCondicoesComerciais[ID],TabCondicoesComerciais[Volume mínimo 
(m3)],0),"")</f>
        <v/>
      </c>
      <c r="Q1081" s="2">
        <f>_xlfn.XLOOKUP(BD_Receitas[[#This Row],[ID]],TabCondicoesComerciais[ID],TabCondicoesComerciais[Vol. 1ºGiro],0)</f>
        <v>310</v>
      </c>
      <c r="R10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1" s="1">
        <f xml:space="preserve"> IF(BD_Receitas[[#This Row],[TIPO DE COBRANÇA]]="Operação Normal",
_xlfn.XLOOKUP(BD_Receitas[[#This Row],[ID]],TabCondicoesComerciais[ID],TabCondicoesComerciais[Tarifa 2º Giro],0),0)</f>
        <v>0</v>
      </c>
      <c r="T10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2" spans="1:24" hidden="1" x14ac:dyDescent="0.35">
      <c r="A1082" s="3" t="s">
        <v>134</v>
      </c>
      <c r="B1082" s="11">
        <v>46204</v>
      </c>
      <c r="C1082" t="s">
        <v>31</v>
      </c>
      <c r="D1082" t="s">
        <v>62</v>
      </c>
      <c r="E1082" t="s">
        <v>37</v>
      </c>
      <c r="F1082" s="10" t="s">
        <v>57</v>
      </c>
      <c r="G1082" s="3" t="s">
        <v>58</v>
      </c>
      <c r="H1082" s="3" t="s">
        <v>10</v>
      </c>
      <c r="I1082" s="3" t="s">
        <v>8</v>
      </c>
      <c r="J1082" s="1">
        <v>0</v>
      </c>
      <c r="K1082" s="12">
        <v>0</v>
      </c>
      <c r="L1082" s="1"/>
      <c r="M1082" s="12"/>
      <c r="N1082"/>
      <c r="O1082"/>
      <c r="P1082" s="2" t="str">
        <f>IF(BD_Receitas[[#This Row],[TIPO DE COBRANÇA]]="Operação Normal",
_xlfn.XLOOKUP(BD_Receitas[[#This Row],[ID]],TabCondicoesComerciais[ID],TabCondicoesComerciais[Volume mínimo 
(m3)],0),"")</f>
        <v/>
      </c>
      <c r="Q1082" s="2">
        <f>_xlfn.XLOOKUP(BD_Receitas[[#This Row],[ID]],TabCondicoesComerciais[ID],TabCondicoesComerciais[Vol. 1ºGiro],0)</f>
        <v>310</v>
      </c>
      <c r="R10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082" s="1">
        <f xml:space="preserve"> IF(BD_Receitas[[#This Row],[TIPO DE COBRANÇA]]="Operação Normal",
_xlfn.XLOOKUP(BD_Receitas[[#This Row],[ID]],TabCondicoesComerciais[ID],TabCondicoesComerciais[Tarifa 2º Giro],0),0)</f>
        <v>0</v>
      </c>
      <c r="T10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3" spans="1:24" hidden="1" x14ac:dyDescent="0.35">
      <c r="A1083" s="3" t="s">
        <v>134</v>
      </c>
      <c r="B1083" s="11">
        <v>46204</v>
      </c>
      <c r="C1083" t="s">
        <v>31</v>
      </c>
      <c r="D1083" t="s">
        <v>62</v>
      </c>
      <c r="E1083" t="s">
        <v>37</v>
      </c>
      <c r="F1083" s="10" t="s">
        <v>57</v>
      </c>
      <c r="G1083" s="3" t="s">
        <v>58</v>
      </c>
      <c r="H1083" s="3" t="s">
        <v>10</v>
      </c>
      <c r="I1083" s="3" t="s">
        <v>15</v>
      </c>
      <c r="J1083" s="1">
        <v>35019.49</v>
      </c>
      <c r="K1083" s="12">
        <v>1100</v>
      </c>
      <c r="L1083" s="1"/>
      <c r="M1083" s="12"/>
      <c r="N1083"/>
      <c r="O1083"/>
      <c r="P1083" s="2">
        <f>IF(BD_Receitas[[#This Row],[TIPO DE COBRANÇA]]="Operação Normal",
_xlfn.XLOOKUP(BD_Receitas[[#This Row],[ID]],TabCondicoesComerciais[ID],TabCondicoesComerciais[Volume mínimo 
(m3)],0),"")</f>
        <v>1100</v>
      </c>
      <c r="Q1083" s="2">
        <f>_xlfn.XLOOKUP(BD_Receitas[[#This Row],[ID]],TabCondicoesComerciais[ID],TabCondicoesComerciais[Vol. 1ºGiro],0)</f>
        <v>310</v>
      </c>
      <c r="R10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083" s="1">
        <f xml:space="preserve"> IF(BD_Receitas[[#This Row],[TIPO DE COBRANÇA]]="Operação Normal",
_xlfn.XLOOKUP(BD_Receitas[[#This Row],[ID]],TabCondicoesComerciais[ID],TabCondicoesComerciais[Tarifa 2º Giro],0),0)</f>
        <v>31.04</v>
      </c>
      <c r="T108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0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84" spans="1:24" hidden="1" x14ac:dyDescent="0.35">
      <c r="A1084" s="3" t="s">
        <v>134</v>
      </c>
      <c r="B1084" s="11">
        <v>46204</v>
      </c>
      <c r="C1084" t="s">
        <v>31</v>
      </c>
      <c r="D1084" t="s">
        <v>62</v>
      </c>
      <c r="E1084" t="s">
        <v>37</v>
      </c>
      <c r="F1084" s="10" t="s">
        <v>57</v>
      </c>
      <c r="G1084" s="3" t="s">
        <v>58</v>
      </c>
      <c r="H1084" s="3" t="s">
        <v>10</v>
      </c>
      <c r="I1084" s="3" t="s">
        <v>65</v>
      </c>
      <c r="J1084" s="1">
        <v>0</v>
      </c>
      <c r="K1084" s="12">
        <v>0</v>
      </c>
      <c r="L1084" s="1"/>
      <c r="M1084" s="12"/>
      <c r="N1084"/>
      <c r="O1084"/>
      <c r="P1084" s="2" t="str">
        <f>IF(BD_Receitas[[#This Row],[TIPO DE COBRANÇA]]="Operação Normal",
_xlfn.XLOOKUP(BD_Receitas[[#This Row],[ID]],TabCondicoesComerciais[ID],TabCondicoesComerciais[Volume mínimo 
(m3)],0),"")</f>
        <v/>
      </c>
      <c r="Q1084" s="2">
        <f>_xlfn.XLOOKUP(BD_Receitas[[#This Row],[ID]],TabCondicoesComerciais[ID],TabCondicoesComerciais[Vol. 1ºGiro],0)</f>
        <v>310</v>
      </c>
      <c r="R10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4" s="1">
        <f xml:space="preserve"> IF(BD_Receitas[[#This Row],[TIPO DE COBRANÇA]]="Operação Normal",
_xlfn.XLOOKUP(BD_Receitas[[#This Row],[ID]],TabCondicoesComerciais[ID],TabCondicoesComerciais[Tarifa 2º Giro],0),0)</f>
        <v>0</v>
      </c>
      <c r="T10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5" spans="1:24" hidden="1" x14ac:dyDescent="0.35">
      <c r="A1085" s="3" t="s">
        <v>173</v>
      </c>
      <c r="B1085" s="11">
        <v>46204</v>
      </c>
      <c r="C1085" t="s">
        <v>31</v>
      </c>
      <c r="D1085" t="s">
        <v>62</v>
      </c>
      <c r="E1085" t="s">
        <v>37</v>
      </c>
      <c r="F1085" s="10" t="s">
        <v>57</v>
      </c>
      <c r="G1085" s="3" t="s">
        <v>58</v>
      </c>
      <c r="H1085" s="3" t="s">
        <v>6</v>
      </c>
      <c r="I1085" s="3" t="s">
        <v>7</v>
      </c>
      <c r="J1085" s="1">
        <v>0</v>
      </c>
      <c r="K1085" s="12">
        <v>0</v>
      </c>
      <c r="L1085" s="1"/>
      <c r="M1085" s="12"/>
      <c r="N1085"/>
      <c r="O1085"/>
      <c r="P1085" s="2" t="str">
        <f>IF(BD_Receitas[[#This Row],[TIPO DE COBRANÇA]]="Operação Normal",
_xlfn.XLOOKUP(BD_Receitas[[#This Row],[ID]],TabCondicoesComerciais[ID],TabCondicoesComerciais[Volume mínimo 
(m3)],0),"")</f>
        <v/>
      </c>
      <c r="Q1085" s="2">
        <f>_xlfn.XLOOKUP(BD_Receitas[[#This Row],[ID]],TabCondicoesComerciais[ID],TabCondicoesComerciais[Vol. 1ºGiro],0)</f>
        <v>1070</v>
      </c>
      <c r="R10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5" s="1">
        <f xml:space="preserve"> IF(BD_Receitas[[#This Row],[TIPO DE COBRANÇA]]="Operação Normal",
_xlfn.XLOOKUP(BD_Receitas[[#This Row],[ID]],TabCondicoesComerciais[ID],TabCondicoesComerciais[Tarifa 2º Giro],0),0)</f>
        <v>0</v>
      </c>
      <c r="T10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6" spans="1:24" hidden="1" x14ac:dyDescent="0.35">
      <c r="A1086" s="3" t="s">
        <v>173</v>
      </c>
      <c r="B1086" s="11">
        <v>46204</v>
      </c>
      <c r="C1086" t="s">
        <v>31</v>
      </c>
      <c r="D1086" t="s">
        <v>62</v>
      </c>
      <c r="E1086" t="s">
        <v>37</v>
      </c>
      <c r="F1086" s="10" t="s">
        <v>57</v>
      </c>
      <c r="G1086" s="3" t="s">
        <v>58</v>
      </c>
      <c r="H1086" s="3" t="s">
        <v>6</v>
      </c>
      <c r="I1086" s="3" t="s">
        <v>8</v>
      </c>
      <c r="J1086" s="1">
        <v>0</v>
      </c>
      <c r="K1086" s="12">
        <v>0</v>
      </c>
      <c r="L1086" s="1"/>
      <c r="M1086" s="12"/>
      <c r="N1086"/>
      <c r="O1086"/>
      <c r="P1086" s="2" t="str">
        <f>IF(BD_Receitas[[#This Row],[TIPO DE COBRANÇA]]="Operação Normal",
_xlfn.XLOOKUP(BD_Receitas[[#This Row],[ID]],TabCondicoesComerciais[ID],TabCondicoesComerciais[Volume mínimo 
(m3)],0),"")</f>
        <v/>
      </c>
      <c r="Q1086" s="2">
        <f>_xlfn.XLOOKUP(BD_Receitas[[#This Row],[ID]],TabCondicoesComerciais[ID],TabCondicoesComerciais[Vol. 1ºGiro],0)</f>
        <v>1070</v>
      </c>
      <c r="R10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6" s="1">
        <f xml:space="preserve"> IF(BD_Receitas[[#This Row],[TIPO DE COBRANÇA]]="Operação Normal",
_xlfn.XLOOKUP(BD_Receitas[[#This Row],[ID]],TabCondicoesComerciais[ID],TabCondicoesComerciais[Tarifa 2º Giro],0),0)</f>
        <v>0</v>
      </c>
      <c r="T10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7" spans="1:24" hidden="1" x14ac:dyDescent="0.35">
      <c r="A1087" s="3" t="s">
        <v>173</v>
      </c>
      <c r="B1087" s="11">
        <v>46204</v>
      </c>
      <c r="C1087" t="s">
        <v>31</v>
      </c>
      <c r="D1087" t="s">
        <v>62</v>
      </c>
      <c r="E1087" t="s">
        <v>37</v>
      </c>
      <c r="F1087" s="10" t="s">
        <v>57</v>
      </c>
      <c r="G1087" s="3" t="s">
        <v>58</v>
      </c>
      <c r="H1087" s="3" t="s">
        <v>6</v>
      </c>
      <c r="I1087" s="3" t="s">
        <v>15</v>
      </c>
      <c r="J1087" s="1">
        <v>82153.039999999994</v>
      </c>
      <c r="K1087" s="12">
        <v>3300</v>
      </c>
      <c r="L1087" s="1">
        <v>134553.74</v>
      </c>
      <c r="M1087" s="12">
        <v>5745</v>
      </c>
      <c r="N1087" t="s">
        <v>335</v>
      </c>
      <c r="O1087"/>
      <c r="P1087" s="2">
        <f>IF(BD_Receitas[[#This Row],[TIPO DE COBRANÇA]]="Operação Normal",
_xlfn.XLOOKUP(BD_Receitas[[#This Row],[ID]],TabCondicoesComerciais[ID],TabCondicoesComerciais[Volume mínimo 
(m3)],0),"")</f>
        <v>3300</v>
      </c>
      <c r="Q1087" s="2">
        <f>_xlfn.XLOOKUP(BD_Receitas[[#This Row],[ID]],TabCondicoesComerciais[ID],TabCondicoesComerciais[Vol. 1ºGiro],0)</f>
        <v>1070</v>
      </c>
      <c r="R10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087" s="1">
        <f xml:space="preserve"> IF(BD_Receitas[[#This Row],[TIPO DE COBRANÇA]]="Operação Normal",
_xlfn.XLOOKUP(BD_Receitas[[#This Row],[ID]],TabCondicoesComerciais[ID],TabCondicoesComerciais[Tarifa 2º Giro],0),0)</f>
        <v>23.42</v>
      </c>
      <c r="T1087" s="5">
        <f>IFERROR(IF(BD_Receitas[[#This Row],[TIPO DE COBRANÇA]]&lt;&gt;"Operação Normal","",BD_Receitas[[#This Row],[Valor Total R$]]/ MAX(BD_Receitas[[#This Row],[Vol. Movimentado M³]],
BD_Receitas[[#This Row],[Volume Mínimo ]])
),0)</f>
        <v>23.421016536118362</v>
      </c>
      <c r="U10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23.421016536118362</v>
      </c>
      <c r="V10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0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134547.90000000002</v>
      </c>
      <c r="X10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88" spans="1:24" hidden="1" x14ac:dyDescent="0.35">
      <c r="A1088" s="3" t="s">
        <v>173</v>
      </c>
      <c r="B1088" s="11">
        <v>46204</v>
      </c>
      <c r="C1088" t="s">
        <v>31</v>
      </c>
      <c r="D1088" t="s">
        <v>62</v>
      </c>
      <c r="E1088" t="s">
        <v>37</v>
      </c>
      <c r="F1088" s="10" t="s">
        <v>57</v>
      </c>
      <c r="G1088" s="3" t="s">
        <v>58</v>
      </c>
      <c r="H1088" s="3" t="s">
        <v>6</v>
      </c>
      <c r="I1088" s="3" t="s">
        <v>65</v>
      </c>
      <c r="J1088" s="1">
        <v>0</v>
      </c>
      <c r="K1088" s="12">
        <v>0</v>
      </c>
      <c r="L1088" s="1"/>
      <c r="M1088" s="12"/>
      <c r="N1088"/>
      <c r="O1088"/>
      <c r="P1088" s="2" t="str">
        <f>IF(BD_Receitas[[#This Row],[TIPO DE COBRANÇA]]="Operação Normal",
_xlfn.XLOOKUP(BD_Receitas[[#This Row],[ID]],TabCondicoesComerciais[ID],TabCondicoesComerciais[Volume mínimo 
(m3)],0),"")</f>
        <v/>
      </c>
      <c r="Q1088" s="2">
        <f>_xlfn.XLOOKUP(BD_Receitas[[#This Row],[ID]],TabCondicoesComerciais[ID],TabCondicoesComerciais[Vol. 1ºGiro],0)</f>
        <v>1070</v>
      </c>
      <c r="R10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8" s="1">
        <f xml:space="preserve"> IF(BD_Receitas[[#This Row],[TIPO DE COBRANÇA]]="Operação Normal",
_xlfn.XLOOKUP(BD_Receitas[[#This Row],[ID]],TabCondicoesComerciais[ID],TabCondicoesComerciais[Tarifa 2º Giro],0),0)</f>
        <v>0</v>
      </c>
      <c r="T10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89" spans="1:24" x14ac:dyDescent="0.35">
      <c r="A1089" s="3" t="s">
        <v>184</v>
      </c>
      <c r="B1089" s="11">
        <v>46204</v>
      </c>
      <c r="C1089" t="s">
        <v>31</v>
      </c>
      <c r="D1089" t="s">
        <v>203</v>
      </c>
      <c r="E1089" t="s">
        <v>34</v>
      </c>
      <c r="F1089" s="10" t="s">
        <v>26</v>
      </c>
      <c r="G1089" s="3" t="s">
        <v>19</v>
      </c>
      <c r="H1089" s="3" t="s">
        <v>13</v>
      </c>
      <c r="I1089" s="3" t="s">
        <v>7</v>
      </c>
      <c r="J1089" s="1">
        <v>0</v>
      </c>
      <c r="K1089" s="12">
        <v>0</v>
      </c>
      <c r="L1089" s="1"/>
      <c r="M1089" s="12"/>
      <c r="N1089"/>
      <c r="O1089"/>
      <c r="P1089" s="2" t="str">
        <f>IF(BD_Receitas[[#This Row],[TIPO DE COBRANÇA]]="Operação Normal",
_xlfn.XLOOKUP(BD_Receitas[[#This Row],[ID]],TabCondicoesComerciais[ID],TabCondicoesComerciais[Volume mínimo 
(m3)],0),"")</f>
        <v/>
      </c>
      <c r="Q1089" s="2">
        <f>_xlfn.XLOOKUP(BD_Receitas[[#This Row],[ID]],TabCondicoesComerciais[ID],TabCondicoesComerciais[Vol. 1ºGiro],0)</f>
        <v>340</v>
      </c>
      <c r="R10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89" s="1">
        <f xml:space="preserve"> IF(BD_Receitas[[#This Row],[TIPO DE COBRANÇA]]="Operação Normal",
_xlfn.XLOOKUP(BD_Receitas[[#This Row],[ID]],TabCondicoesComerciais[ID],TabCondicoesComerciais[Tarifa 2º Giro],0),0)</f>
        <v>0</v>
      </c>
      <c r="T10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0" spans="1:24" x14ac:dyDescent="0.35">
      <c r="A1090" s="3" t="s">
        <v>184</v>
      </c>
      <c r="B1090" s="11">
        <v>46204</v>
      </c>
      <c r="C1090" t="s">
        <v>31</v>
      </c>
      <c r="D1090" t="s">
        <v>203</v>
      </c>
      <c r="E1090" t="s">
        <v>34</v>
      </c>
      <c r="F1090" s="10" t="s">
        <v>26</v>
      </c>
      <c r="G1090" s="3" t="s">
        <v>19</v>
      </c>
      <c r="H1090" s="3" t="s">
        <v>13</v>
      </c>
      <c r="I1090" s="3" t="s">
        <v>8</v>
      </c>
      <c r="J1090" s="1">
        <v>0</v>
      </c>
      <c r="K1090" s="12">
        <v>0</v>
      </c>
      <c r="L1090" s="1"/>
      <c r="M1090" s="12"/>
      <c r="N1090"/>
      <c r="O1090"/>
      <c r="P1090" s="2" t="str">
        <f>IF(BD_Receitas[[#This Row],[TIPO DE COBRANÇA]]="Operação Normal",
_xlfn.XLOOKUP(BD_Receitas[[#This Row],[ID]],TabCondicoesComerciais[ID],TabCondicoesComerciais[Volume mínimo 
(m3)],0),"")</f>
        <v/>
      </c>
      <c r="Q1090" s="2">
        <f>_xlfn.XLOOKUP(BD_Receitas[[#This Row],[ID]],TabCondicoesComerciais[ID],TabCondicoesComerciais[Vol. 1ºGiro],0)</f>
        <v>340</v>
      </c>
      <c r="R10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090" s="1">
        <f xml:space="preserve"> IF(BD_Receitas[[#This Row],[TIPO DE COBRANÇA]]="Operação Normal",
_xlfn.XLOOKUP(BD_Receitas[[#This Row],[ID]],TabCondicoesComerciais[ID],TabCondicoesComerciais[Tarifa 2º Giro],0),0)</f>
        <v>0</v>
      </c>
      <c r="T10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1" spans="1:24" x14ac:dyDescent="0.35">
      <c r="A1091" s="3" t="s">
        <v>184</v>
      </c>
      <c r="B1091" s="11">
        <v>46204</v>
      </c>
      <c r="C1091" t="s">
        <v>31</v>
      </c>
      <c r="D1091" t="s">
        <v>203</v>
      </c>
      <c r="E1091" t="s">
        <v>34</v>
      </c>
      <c r="F1091" s="10" t="s">
        <v>26</v>
      </c>
      <c r="G1091" s="3" t="s">
        <v>19</v>
      </c>
      <c r="H1091" s="3" t="s">
        <v>13</v>
      </c>
      <c r="I1091" s="3" t="s">
        <v>15</v>
      </c>
      <c r="J1091" s="1">
        <v>15310.52</v>
      </c>
      <c r="K1091" s="12">
        <v>510</v>
      </c>
      <c r="L1091" s="1">
        <v>14386.445</v>
      </c>
      <c r="M1091" s="12">
        <v>1027.6030000000001</v>
      </c>
      <c r="N1091" t="s">
        <v>339</v>
      </c>
      <c r="O1091"/>
      <c r="P1091" s="2">
        <f>IF(BD_Receitas[[#This Row],[TIPO DE COBRANÇA]]="Operação Normal",
_xlfn.XLOOKUP(BD_Receitas[[#This Row],[ID]],TabCondicoesComerciais[ID],TabCondicoesComerciais[Volume mínimo 
(m3)],0),"")</f>
        <v>1020</v>
      </c>
      <c r="Q1091" s="2">
        <f>_xlfn.XLOOKUP(BD_Receitas[[#This Row],[ID]],TabCondicoesComerciais[ID],TabCondicoesComerciais[Vol. 1ºGiro],0)</f>
        <v>340</v>
      </c>
      <c r="R10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091" s="1">
        <f xml:space="preserve"> IF(BD_Receitas[[#This Row],[TIPO DE COBRANÇA]]="Operação Normal",
_xlfn.XLOOKUP(BD_Receitas[[#This Row],[ID]],TabCondicoesComerciais[ID],TabCondicoesComerciais[Tarifa 2º Giro],0),0)</f>
        <v>28</v>
      </c>
      <c r="T1091" s="5">
        <f>IFERROR(IF(BD_Receitas[[#This Row],[TIPO DE COBRANÇA]]&lt;&gt;"Operação Normal","",BD_Receitas[[#This Row],[Valor Total R$]]/ MAX(BD_Receitas[[#This Row],[Vol. Movimentado M³]],
BD_Receitas[[#This Row],[Volume Mínimo ]])
),0)</f>
        <v>14.000002919415376</v>
      </c>
      <c r="U10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14.000002919415376</v>
      </c>
      <c r="V10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28560</v>
      </c>
      <c r="W10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28772.884000000002</v>
      </c>
      <c r="X10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92" spans="1:24" hidden="1" x14ac:dyDescent="0.35">
      <c r="A1092" s="3" t="s">
        <v>184</v>
      </c>
      <c r="B1092" s="11">
        <v>46204</v>
      </c>
      <c r="C1092" t="s">
        <v>31</v>
      </c>
      <c r="D1092" t="s">
        <v>203</v>
      </c>
      <c r="E1092" t="s">
        <v>34</v>
      </c>
      <c r="F1092" s="10" t="s">
        <v>26</v>
      </c>
      <c r="G1092" s="3" t="s">
        <v>19</v>
      </c>
      <c r="H1092" s="3" t="s">
        <v>13</v>
      </c>
      <c r="I1092" s="3" t="s">
        <v>65</v>
      </c>
      <c r="J1092" s="1">
        <v>0</v>
      </c>
      <c r="K1092" s="12">
        <v>0</v>
      </c>
      <c r="L1092" s="1"/>
      <c r="M1092" s="12"/>
      <c r="N1092"/>
      <c r="O1092"/>
      <c r="P1092" s="2" t="str">
        <f>IF(BD_Receitas[[#This Row],[TIPO DE COBRANÇA]]="Operação Normal",
_xlfn.XLOOKUP(BD_Receitas[[#This Row],[ID]],TabCondicoesComerciais[ID],TabCondicoesComerciais[Volume mínimo 
(m3)],0),"")</f>
        <v/>
      </c>
      <c r="Q1092" s="2">
        <f>_xlfn.XLOOKUP(BD_Receitas[[#This Row],[ID]],TabCondicoesComerciais[ID],TabCondicoesComerciais[Vol. 1ºGiro],0)</f>
        <v>340</v>
      </c>
      <c r="R10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92" s="1">
        <f xml:space="preserve"> IF(BD_Receitas[[#This Row],[TIPO DE COBRANÇA]]="Operação Normal",
_xlfn.XLOOKUP(BD_Receitas[[#This Row],[ID]],TabCondicoesComerciais[ID],TabCondicoesComerciais[Tarifa 2º Giro],0),0)</f>
        <v>0</v>
      </c>
      <c r="T10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3" spans="1:24" hidden="1" x14ac:dyDescent="0.35">
      <c r="A1093" s="3" t="s">
        <v>274</v>
      </c>
      <c r="B1093" s="11">
        <v>46235</v>
      </c>
      <c r="C1093" t="s">
        <v>31</v>
      </c>
      <c r="D1093" t="s">
        <v>202</v>
      </c>
      <c r="E1093" t="s">
        <v>36</v>
      </c>
      <c r="F1093" s="10" t="s">
        <v>48</v>
      </c>
      <c r="G1093" s="3" t="s">
        <v>49</v>
      </c>
      <c r="H1093" s="3" t="s">
        <v>52</v>
      </c>
      <c r="I1093" s="3" t="s">
        <v>7</v>
      </c>
      <c r="J1093" s="1">
        <v>0</v>
      </c>
      <c r="K1093" s="12">
        <v>0</v>
      </c>
      <c r="L1093" s="1"/>
      <c r="M1093" s="12"/>
      <c r="N1093"/>
      <c r="O1093"/>
      <c r="P1093" s="2" t="str">
        <f>IF(BD_Receitas[[#This Row],[TIPO DE COBRANÇA]]="Operação Normal",
_xlfn.XLOOKUP(BD_Receitas[[#This Row],[ID]],TabCondicoesComerciais[ID],TabCondicoesComerciais[Volume mínimo 
(m3)],0),"")</f>
        <v/>
      </c>
      <c r="Q1093" s="2">
        <f>_xlfn.XLOOKUP(BD_Receitas[[#This Row],[ID]],TabCondicoesComerciais[ID],TabCondicoesComerciais[Vol. 1ºGiro],0)</f>
        <v>360</v>
      </c>
      <c r="R10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093" s="1">
        <f xml:space="preserve"> IF(BD_Receitas[[#This Row],[TIPO DE COBRANÇA]]="Operação Normal",
_xlfn.XLOOKUP(BD_Receitas[[#This Row],[ID]],TabCondicoesComerciais[ID],TabCondicoesComerciais[Tarifa 2º Giro],0),0)</f>
        <v>0</v>
      </c>
      <c r="T10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4" spans="1:24" hidden="1" x14ac:dyDescent="0.35">
      <c r="A1094" s="3" t="s">
        <v>274</v>
      </c>
      <c r="B1094" s="11">
        <v>46235</v>
      </c>
      <c r="C1094" t="s">
        <v>31</v>
      </c>
      <c r="D1094" t="s">
        <v>202</v>
      </c>
      <c r="E1094" t="s">
        <v>36</v>
      </c>
      <c r="F1094" s="10" t="s">
        <v>48</v>
      </c>
      <c r="G1094" s="3" t="s">
        <v>49</v>
      </c>
      <c r="H1094" s="3" t="s">
        <v>52</v>
      </c>
      <c r="I1094" s="3" t="s">
        <v>8</v>
      </c>
      <c r="J1094" s="1">
        <v>0</v>
      </c>
      <c r="K1094" s="12">
        <v>0</v>
      </c>
      <c r="L1094" s="1"/>
      <c r="M1094" s="12"/>
      <c r="N1094"/>
      <c r="O1094"/>
      <c r="P1094" s="2" t="str">
        <f>IF(BD_Receitas[[#This Row],[TIPO DE COBRANÇA]]="Operação Normal",
_xlfn.XLOOKUP(BD_Receitas[[#This Row],[ID]],TabCondicoesComerciais[ID],TabCondicoesComerciais[Volume mínimo 
(m3)],0),"")</f>
        <v/>
      </c>
      <c r="Q1094" s="2">
        <f>_xlfn.XLOOKUP(BD_Receitas[[#This Row],[ID]],TabCondicoesComerciais[ID],TabCondicoesComerciais[Vol. 1ºGiro],0)</f>
        <v>360</v>
      </c>
      <c r="R10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094" s="1">
        <f xml:space="preserve"> IF(BD_Receitas[[#This Row],[TIPO DE COBRANÇA]]="Operação Normal",
_xlfn.XLOOKUP(BD_Receitas[[#This Row],[ID]],TabCondicoesComerciais[ID],TabCondicoesComerciais[Tarifa 2º Giro],0),0)</f>
        <v>0</v>
      </c>
      <c r="T10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5" spans="1:24" hidden="1" x14ac:dyDescent="0.35">
      <c r="A1095" s="3" t="s">
        <v>274</v>
      </c>
      <c r="B1095" s="11">
        <v>46235</v>
      </c>
      <c r="C1095" t="s">
        <v>31</v>
      </c>
      <c r="D1095" t="s">
        <v>202</v>
      </c>
      <c r="E1095" t="s">
        <v>36</v>
      </c>
      <c r="F1095" s="10" t="s">
        <v>48</v>
      </c>
      <c r="G1095" s="3" t="s">
        <v>49</v>
      </c>
      <c r="H1095" s="3" t="s">
        <v>52</v>
      </c>
      <c r="I1095" s="3" t="s">
        <v>15</v>
      </c>
      <c r="J1095" s="1">
        <v>89789.3701</v>
      </c>
      <c r="K1095" s="12">
        <v>2040</v>
      </c>
      <c r="L1095" s="1"/>
      <c r="M1095" s="12"/>
      <c r="N1095"/>
      <c r="O1095"/>
      <c r="P1095" s="2">
        <f>IF(BD_Receitas[[#This Row],[TIPO DE COBRANÇA]]="Operação Normal",
_xlfn.XLOOKUP(BD_Receitas[[#This Row],[ID]],TabCondicoesComerciais[ID],TabCondicoesComerciais[Volume mínimo 
(m3)],0),"")</f>
        <v>2040</v>
      </c>
      <c r="Q1095" s="2">
        <f>_xlfn.XLOOKUP(BD_Receitas[[#This Row],[ID]],TabCondicoesComerciais[ID],TabCondicoesComerciais[Vol. 1ºGiro],0)</f>
        <v>360</v>
      </c>
      <c r="R10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095" s="1">
        <f xml:space="preserve"> IF(BD_Receitas[[#This Row],[TIPO DE COBRANÇA]]="Operação Normal",
_xlfn.XLOOKUP(BD_Receitas[[#This Row],[ID]],TabCondicoesComerciais[ID],TabCondicoesComerciais[Tarifa 2º Giro],0),0)</f>
        <v>43.92</v>
      </c>
      <c r="T109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0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096" spans="1:24" hidden="1" x14ac:dyDescent="0.35">
      <c r="A1096" s="3" t="s">
        <v>274</v>
      </c>
      <c r="B1096" s="11">
        <v>46235</v>
      </c>
      <c r="C1096" t="s">
        <v>31</v>
      </c>
      <c r="D1096" t="s">
        <v>202</v>
      </c>
      <c r="E1096" t="s">
        <v>36</v>
      </c>
      <c r="F1096" s="10" t="s">
        <v>48</v>
      </c>
      <c r="G1096" s="3" t="s">
        <v>49</v>
      </c>
      <c r="H1096" s="3" t="s">
        <v>52</v>
      </c>
      <c r="I1096" s="3" t="s">
        <v>65</v>
      </c>
      <c r="J1096" s="1">
        <v>0</v>
      </c>
      <c r="K1096" s="12">
        <v>0</v>
      </c>
      <c r="L1096" s="1"/>
      <c r="M1096" s="12"/>
      <c r="N1096"/>
      <c r="O1096"/>
      <c r="P1096" s="2" t="str">
        <f>IF(BD_Receitas[[#This Row],[TIPO DE COBRANÇA]]="Operação Normal",
_xlfn.XLOOKUP(BD_Receitas[[#This Row],[ID]],TabCondicoesComerciais[ID],TabCondicoesComerciais[Volume mínimo 
(m3)],0),"")</f>
        <v/>
      </c>
      <c r="Q1096" s="2">
        <f>_xlfn.XLOOKUP(BD_Receitas[[#This Row],[ID]],TabCondicoesComerciais[ID],TabCondicoesComerciais[Vol. 1ºGiro],0)</f>
        <v>360</v>
      </c>
      <c r="R10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96" s="1">
        <f xml:space="preserve"> IF(BD_Receitas[[#This Row],[TIPO DE COBRANÇA]]="Operação Normal",
_xlfn.XLOOKUP(BD_Receitas[[#This Row],[ID]],TabCondicoesComerciais[ID],TabCondicoesComerciais[Tarifa 2º Giro],0),0)</f>
        <v>0</v>
      </c>
      <c r="T10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7" spans="1:24" hidden="1" x14ac:dyDescent="0.35">
      <c r="A1097" s="3" t="s">
        <v>275</v>
      </c>
      <c r="B1097" s="11">
        <v>46235</v>
      </c>
      <c r="C1097" t="s">
        <v>31</v>
      </c>
      <c r="D1097" t="s">
        <v>202</v>
      </c>
      <c r="E1097" t="s">
        <v>36</v>
      </c>
      <c r="F1097" s="10" t="s">
        <v>48</v>
      </c>
      <c r="G1097" s="3" t="s">
        <v>49</v>
      </c>
      <c r="H1097" s="3" t="s">
        <v>14</v>
      </c>
      <c r="I1097" s="3" t="s">
        <v>7</v>
      </c>
      <c r="J1097" s="1">
        <v>0</v>
      </c>
      <c r="K1097" s="12">
        <v>0</v>
      </c>
      <c r="L1097" s="1"/>
      <c r="M1097" s="12"/>
      <c r="N1097"/>
      <c r="O1097"/>
      <c r="P1097" s="2" t="str">
        <f>IF(BD_Receitas[[#This Row],[TIPO DE COBRANÇA]]="Operação Normal",
_xlfn.XLOOKUP(BD_Receitas[[#This Row],[ID]],TabCondicoesComerciais[ID],TabCondicoesComerciais[Volume mínimo 
(m3)],0),"")</f>
        <v/>
      </c>
      <c r="Q1097" s="2">
        <f>_xlfn.XLOOKUP(BD_Receitas[[#This Row],[ID]],TabCondicoesComerciais[ID],TabCondicoesComerciais[Vol. 1ºGiro],0)</f>
        <v>365</v>
      </c>
      <c r="R10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97" s="1">
        <f xml:space="preserve"> IF(BD_Receitas[[#This Row],[TIPO DE COBRANÇA]]="Operação Normal",
_xlfn.XLOOKUP(BD_Receitas[[#This Row],[ID]],TabCondicoesComerciais[ID],TabCondicoesComerciais[Tarifa 2º Giro],0),0)</f>
        <v>0</v>
      </c>
      <c r="T10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8" spans="1:24" hidden="1" x14ac:dyDescent="0.35">
      <c r="A1098" s="3" t="s">
        <v>275</v>
      </c>
      <c r="B1098" s="11">
        <v>46235</v>
      </c>
      <c r="C1098" t="s">
        <v>31</v>
      </c>
      <c r="D1098" t="s">
        <v>202</v>
      </c>
      <c r="E1098" t="s">
        <v>36</v>
      </c>
      <c r="F1098" s="10" t="s">
        <v>48</v>
      </c>
      <c r="G1098" s="3" t="s">
        <v>49</v>
      </c>
      <c r="H1098" s="3" t="s">
        <v>14</v>
      </c>
      <c r="I1098" s="3" t="s">
        <v>8</v>
      </c>
      <c r="J1098" s="1">
        <v>0</v>
      </c>
      <c r="K1098" s="12">
        <v>0</v>
      </c>
      <c r="L1098" s="1"/>
      <c r="M1098" s="12"/>
      <c r="N1098"/>
      <c r="O1098"/>
      <c r="P1098" s="2" t="str">
        <f>IF(BD_Receitas[[#This Row],[TIPO DE COBRANÇA]]="Operação Normal",
_xlfn.XLOOKUP(BD_Receitas[[#This Row],[ID]],TabCondicoesComerciais[ID],TabCondicoesComerciais[Volume mínimo 
(m3)],0),"")</f>
        <v/>
      </c>
      <c r="Q1098" s="2">
        <f>_xlfn.XLOOKUP(BD_Receitas[[#This Row],[ID]],TabCondicoesComerciais[ID],TabCondicoesComerciais[Vol. 1ºGiro],0)</f>
        <v>365</v>
      </c>
      <c r="R10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098" s="1">
        <f xml:space="preserve"> IF(BD_Receitas[[#This Row],[TIPO DE COBRANÇA]]="Operação Normal",
_xlfn.XLOOKUP(BD_Receitas[[#This Row],[ID]],TabCondicoesComerciais[ID],TabCondicoesComerciais[Tarifa 2º Giro],0),0)</f>
        <v>0</v>
      </c>
      <c r="T10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0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0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0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0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099" spans="1:24" hidden="1" x14ac:dyDescent="0.35">
      <c r="A1099" s="3" t="s">
        <v>275</v>
      </c>
      <c r="B1099" s="11">
        <v>46235</v>
      </c>
      <c r="C1099" t="s">
        <v>31</v>
      </c>
      <c r="D1099" t="s">
        <v>202</v>
      </c>
      <c r="E1099" t="s">
        <v>36</v>
      </c>
      <c r="F1099" s="10" t="s">
        <v>48</v>
      </c>
      <c r="G1099" s="3" t="s">
        <v>49</v>
      </c>
      <c r="H1099" s="3" t="s">
        <v>14</v>
      </c>
      <c r="I1099" s="3" t="s">
        <v>15</v>
      </c>
      <c r="J1099" s="1">
        <v>17995.57</v>
      </c>
      <c r="K1099" s="12">
        <v>936</v>
      </c>
      <c r="L1099" s="1"/>
      <c r="M1099" s="12"/>
      <c r="N1099"/>
      <c r="O1099"/>
      <c r="P1099" s="2">
        <f>IF(BD_Receitas[[#This Row],[TIPO DE COBRANÇA]]="Operação Normal",
_xlfn.XLOOKUP(BD_Receitas[[#This Row],[ID]],TabCondicoesComerciais[ID],TabCondicoesComerciais[Volume mínimo 
(m3)],0),"")</f>
        <v>936</v>
      </c>
      <c r="Q1099" s="2">
        <f>_xlfn.XLOOKUP(BD_Receitas[[#This Row],[ID]],TabCondicoesComerciais[ID],TabCondicoesComerciais[Vol. 1ºGiro],0)</f>
        <v>365</v>
      </c>
      <c r="R10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099" s="1">
        <f xml:space="preserve"> IF(BD_Receitas[[#This Row],[TIPO DE COBRANÇA]]="Operação Normal",
_xlfn.XLOOKUP(BD_Receitas[[#This Row],[ID]],TabCondicoesComerciais[ID],TabCondicoesComerciais[Tarifa 2º Giro],0),0)</f>
        <v>18.93</v>
      </c>
      <c r="T109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0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0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0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0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00" spans="1:24" hidden="1" x14ac:dyDescent="0.35">
      <c r="A1100" s="3" t="s">
        <v>275</v>
      </c>
      <c r="B1100" s="11">
        <v>46235</v>
      </c>
      <c r="C1100" t="s">
        <v>31</v>
      </c>
      <c r="D1100" t="s">
        <v>202</v>
      </c>
      <c r="E1100" t="s">
        <v>36</v>
      </c>
      <c r="F1100" s="10" t="s">
        <v>48</v>
      </c>
      <c r="G1100" s="3" t="s">
        <v>49</v>
      </c>
      <c r="H1100" s="3" t="s">
        <v>14</v>
      </c>
      <c r="I1100" s="3" t="s">
        <v>65</v>
      </c>
      <c r="J1100" s="1">
        <v>0</v>
      </c>
      <c r="K1100" s="12">
        <v>0</v>
      </c>
      <c r="L1100" s="1"/>
      <c r="M1100" s="12"/>
      <c r="N1100"/>
      <c r="O1100"/>
      <c r="P1100" s="2" t="str">
        <f>IF(BD_Receitas[[#This Row],[TIPO DE COBRANÇA]]="Operação Normal",
_xlfn.XLOOKUP(BD_Receitas[[#This Row],[ID]],TabCondicoesComerciais[ID],TabCondicoesComerciais[Volume mínimo 
(m3)],0),"")</f>
        <v/>
      </c>
      <c r="Q1100" s="2">
        <f>_xlfn.XLOOKUP(BD_Receitas[[#This Row],[ID]],TabCondicoesComerciais[ID],TabCondicoesComerciais[Vol. 1ºGiro],0)</f>
        <v>365</v>
      </c>
      <c r="R11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0" s="1">
        <f xml:space="preserve"> IF(BD_Receitas[[#This Row],[TIPO DE COBRANÇA]]="Operação Normal",
_xlfn.XLOOKUP(BD_Receitas[[#This Row],[ID]],TabCondicoesComerciais[ID],TabCondicoesComerciais[Tarifa 2º Giro],0),0)</f>
        <v>0</v>
      </c>
      <c r="T11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1" spans="1:24" hidden="1" x14ac:dyDescent="0.35">
      <c r="A1101" s="3" t="s">
        <v>208</v>
      </c>
      <c r="B1101" s="11">
        <v>46235</v>
      </c>
      <c r="C1101" t="s">
        <v>31</v>
      </c>
      <c r="D1101" t="s">
        <v>202</v>
      </c>
      <c r="E1101" t="s">
        <v>35</v>
      </c>
      <c r="F1101" s="10" t="s">
        <v>22</v>
      </c>
      <c r="G1101" s="3" t="s">
        <v>11</v>
      </c>
      <c r="H1101" s="3" t="s">
        <v>207</v>
      </c>
      <c r="I1101" s="3" t="s">
        <v>7</v>
      </c>
      <c r="J1101" s="1">
        <v>0</v>
      </c>
      <c r="K1101" s="12">
        <v>0</v>
      </c>
      <c r="L1101" s="1"/>
      <c r="M1101" s="12"/>
      <c r="N1101"/>
      <c r="O1101"/>
      <c r="P1101" s="2" t="str">
        <f>IF(BD_Receitas[[#This Row],[TIPO DE COBRANÇA]]="Operação Normal",
_xlfn.XLOOKUP(BD_Receitas[[#This Row],[ID]],TabCondicoesComerciais[ID],TabCondicoesComerciais[Volume mínimo 
(m3)],0),"")</f>
        <v/>
      </c>
      <c r="Q1101" s="2">
        <f>_xlfn.XLOOKUP(BD_Receitas[[#This Row],[ID]],TabCondicoesComerciais[ID],TabCondicoesComerciais[Vol. 1ºGiro],0)</f>
        <v>625</v>
      </c>
      <c r="R11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01" s="1">
        <f xml:space="preserve"> IF(BD_Receitas[[#This Row],[TIPO DE COBRANÇA]]="Operação Normal",
_xlfn.XLOOKUP(BD_Receitas[[#This Row],[ID]],TabCondicoesComerciais[ID],TabCondicoesComerciais[Tarifa 2º Giro],0),0)</f>
        <v>0</v>
      </c>
      <c r="T11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2" spans="1:24" hidden="1" x14ac:dyDescent="0.35">
      <c r="A1102" s="3" t="s">
        <v>208</v>
      </c>
      <c r="B1102" s="11">
        <v>46235</v>
      </c>
      <c r="C1102" t="s">
        <v>31</v>
      </c>
      <c r="D1102" t="s">
        <v>202</v>
      </c>
      <c r="E1102" t="s">
        <v>35</v>
      </c>
      <c r="F1102" s="10" t="s">
        <v>22</v>
      </c>
      <c r="G1102" s="3" t="s">
        <v>11</v>
      </c>
      <c r="H1102" s="3" t="s">
        <v>207</v>
      </c>
      <c r="I1102" s="3" t="s">
        <v>8</v>
      </c>
      <c r="J1102" s="1">
        <v>0</v>
      </c>
      <c r="K1102" s="12">
        <v>0</v>
      </c>
      <c r="L1102" s="1"/>
      <c r="M1102" s="12"/>
      <c r="N1102"/>
      <c r="O1102"/>
      <c r="P1102" s="2" t="str">
        <f>IF(BD_Receitas[[#This Row],[TIPO DE COBRANÇA]]="Operação Normal",
_xlfn.XLOOKUP(BD_Receitas[[#This Row],[ID]],TabCondicoesComerciais[ID],TabCondicoesComerciais[Volume mínimo 
(m3)],0),"")</f>
        <v/>
      </c>
      <c r="Q1102" s="2">
        <f>_xlfn.XLOOKUP(BD_Receitas[[#This Row],[ID]],TabCondicoesComerciais[ID],TabCondicoesComerciais[Vol. 1ºGiro],0)</f>
        <v>625</v>
      </c>
      <c r="R11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02" s="1">
        <f xml:space="preserve"> IF(BD_Receitas[[#This Row],[TIPO DE COBRANÇA]]="Operação Normal",
_xlfn.XLOOKUP(BD_Receitas[[#This Row],[ID]],TabCondicoesComerciais[ID],TabCondicoesComerciais[Tarifa 2º Giro],0),0)</f>
        <v>0</v>
      </c>
      <c r="T11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3" spans="1:24" hidden="1" x14ac:dyDescent="0.35">
      <c r="A1103" s="3" t="s">
        <v>208</v>
      </c>
      <c r="B1103" s="11">
        <v>46235</v>
      </c>
      <c r="C1103" t="s">
        <v>31</v>
      </c>
      <c r="D1103" t="s">
        <v>202</v>
      </c>
      <c r="E1103" t="s">
        <v>35</v>
      </c>
      <c r="F1103" s="10" t="s">
        <v>22</v>
      </c>
      <c r="G1103" s="3" t="s">
        <v>11</v>
      </c>
      <c r="H1103" s="3" t="s">
        <v>207</v>
      </c>
      <c r="I1103" s="3" t="s">
        <v>15</v>
      </c>
      <c r="J1103" s="1">
        <v>47210.53</v>
      </c>
      <c r="K1103" s="12">
        <v>1875</v>
      </c>
      <c r="L1103" s="1"/>
      <c r="M1103" s="12"/>
      <c r="N1103"/>
      <c r="O1103"/>
      <c r="P1103" s="2">
        <f>IF(BD_Receitas[[#This Row],[TIPO DE COBRANÇA]]="Operação Normal",
_xlfn.XLOOKUP(BD_Receitas[[#This Row],[ID]],TabCondicoesComerciais[ID],TabCondicoesComerciais[Volume mínimo 
(m3)],0),"")</f>
        <v>1875</v>
      </c>
      <c r="Q1103" s="2">
        <f>_xlfn.XLOOKUP(BD_Receitas[[#This Row],[ID]],TabCondicoesComerciais[ID],TabCondicoesComerciais[Vol. 1ºGiro],0)</f>
        <v>625</v>
      </c>
      <c r="R11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103" s="1">
        <f xml:space="preserve"> IF(BD_Receitas[[#This Row],[TIPO DE COBRANÇA]]="Operação Normal",
_xlfn.XLOOKUP(BD_Receitas[[#This Row],[ID]],TabCondicoesComerciais[ID],TabCondicoesComerciais[Tarifa 2º Giro],0),0)</f>
        <v>33</v>
      </c>
      <c r="T110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1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04" spans="1:24" hidden="1" x14ac:dyDescent="0.35">
      <c r="A1104" s="3" t="s">
        <v>208</v>
      </c>
      <c r="B1104" s="11">
        <v>46235</v>
      </c>
      <c r="C1104" t="s">
        <v>31</v>
      </c>
      <c r="D1104" t="s">
        <v>202</v>
      </c>
      <c r="E1104" t="s">
        <v>35</v>
      </c>
      <c r="F1104" s="10" t="s">
        <v>22</v>
      </c>
      <c r="G1104" s="3" t="s">
        <v>11</v>
      </c>
      <c r="H1104" s="3" t="s">
        <v>207</v>
      </c>
      <c r="I1104" s="3" t="s">
        <v>65</v>
      </c>
      <c r="J1104" s="1">
        <v>0</v>
      </c>
      <c r="K1104" s="12">
        <v>0</v>
      </c>
      <c r="L1104" s="1"/>
      <c r="M1104" s="12"/>
      <c r="N1104"/>
      <c r="O1104"/>
      <c r="P1104" s="2" t="str">
        <f>IF(BD_Receitas[[#This Row],[TIPO DE COBRANÇA]]="Operação Normal",
_xlfn.XLOOKUP(BD_Receitas[[#This Row],[ID]],TabCondicoesComerciais[ID],TabCondicoesComerciais[Volume mínimo 
(m3)],0),"")</f>
        <v/>
      </c>
      <c r="Q1104" s="2">
        <f>_xlfn.XLOOKUP(BD_Receitas[[#This Row],[ID]],TabCondicoesComerciais[ID],TabCondicoesComerciais[Vol. 1ºGiro],0)</f>
        <v>625</v>
      </c>
      <c r="R11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4" s="1">
        <f xml:space="preserve"> IF(BD_Receitas[[#This Row],[TIPO DE COBRANÇA]]="Operação Normal",
_xlfn.XLOOKUP(BD_Receitas[[#This Row],[ID]],TabCondicoesComerciais[ID],TabCondicoesComerciais[Tarifa 2º Giro],0),0)</f>
        <v>0</v>
      </c>
      <c r="T11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5" spans="1:24" hidden="1" x14ac:dyDescent="0.35">
      <c r="A1105" s="3" t="s">
        <v>190</v>
      </c>
      <c r="B1105" s="11">
        <v>46235</v>
      </c>
      <c r="C1105" t="s">
        <v>31</v>
      </c>
      <c r="D1105" t="s">
        <v>202</v>
      </c>
      <c r="E1105" t="s">
        <v>35</v>
      </c>
      <c r="F1105" s="10" t="s">
        <v>22</v>
      </c>
      <c r="G1105" s="3" t="s">
        <v>11</v>
      </c>
      <c r="H1105" s="3" t="s">
        <v>116</v>
      </c>
      <c r="I1105" s="3" t="s">
        <v>7</v>
      </c>
      <c r="J1105" s="1">
        <v>0</v>
      </c>
      <c r="K1105" s="12">
        <v>0</v>
      </c>
      <c r="L1105" s="1"/>
      <c r="M1105" s="12"/>
      <c r="N1105"/>
      <c r="O1105"/>
      <c r="P1105" s="2" t="str">
        <f>IF(BD_Receitas[[#This Row],[TIPO DE COBRANÇA]]="Operação Normal",
_xlfn.XLOOKUP(BD_Receitas[[#This Row],[ID]],TabCondicoesComerciais[ID],TabCondicoesComerciais[Volume mínimo 
(m3)],0),"")</f>
        <v/>
      </c>
      <c r="Q1105" s="2">
        <f>_xlfn.XLOOKUP(BD_Receitas[[#This Row],[ID]],TabCondicoesComerciais[ID],TabCondicoesComerciais[Vol. 1ºGiro],0)</f>
        <v>580</v>
      </c>
      <c r="R11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5" s="1">
        <f xml:space="preserve"> IF(BD_Receitas[[#This Row],[TIPO DE COBRANÇA]]="Operação Normal",
_xlfn.XLOOKUP(BD_Receitas[[#This Row],[ID]],TabCondicoesComerciais[ID],TabCondicoesComerciais[Tarifa 2º Giro],0),0)</f>
        <v>0</v>
      </c>
      <c r="T11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6" spans="1:24" hidden="1" x14ac:dyDescent="0.35">
      <c r="A1106" s="3" t="s">
        <v>190</v>
      </c>
      <c r="B1106" s="11">
        <v>46235</v>
      </c>
      <c r="C1106" t="s">
        <v>31</v>
      </c>
      <c r="D1106" t="s">
        <v>202</v>
      </c>
      <c r="E1106" t="s">
        <v>35</v>
      </c>
      <c r="F1106" s="10" t="s">
        <v>22</v>
      </c>
      <c r="G1106" s="3" t="s">
        <v>11</v>
      </c>
      <c r="H1106" s="3" t="s">
        <v>116</v>
      </c>
      <c r="I1106" s="3" t="s">
        <v>8</v>
      </c>
      <c r="J1106" s="1">
        <v>0</v>
      </c>
      <c r="K1106" s="12">
        <v>0</v>
      </c>
      <c r="L1106" s="1"/>
      <c r="M1106" s="12"/>
      <c r="N1106"/>
      <c r="O1106"/>
      <c r="P1106" s="2" t="str">
        <f>IF(BD_Receitas[[#This Row],[TIPO DE COBRANÇA]]="Operação Normal",
_xlfn.XLOOKUP(BD_Receitas[[#This Row],[ID]],TabCondicoesComerciais[ID],TabCondicoesComerciais[Volume mínimo 
(m3)],0),"")</f>
        <v/>
      </c>
      <c r="Q1106" s="2">
        <f>_xlfn.XLOOKUP(BD_Receitas[[#This Row],[ID]],TabCondicoesComerciais[ID],TabCondicoesComerciais[Vol. 1ºGiro],0)</f>
        <v>580</v>
      </c>
      <c r="R11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6" s="1">
        <f xml:space="preserve"> IF(BD_Receitas[[#This Row],[TIPO DE COBRANÇA]]="Operação Normal",
_xlfn.XLOOKUP(BD_Receitas[[#This Row],[ID]],TabCondicoesComerciais[ID],TabCondicoesComerciais[Tarifa 2º Giro],0),0)</f>
        <v>0</v>
      </c>
      <c r="T11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7" spans="1:24" hidden="1" x14ac:dyDescent="0.35">
      <c r="A1107" s="3" t="s">
        <v>190</v>
      </c>
      <c r="B1107" s="11">
        <v>46235</v>
      </c>
      <c r="C1107" t="s">
        <v>31</v>
      </c>
      <c r="D1107" t="s">
        <v>202</v>
      </c>
      <c r="E1107" t="s">
        <v>35</v>
      </c>
      <c r="F1107" s="10" t="s">
        <v>22</v>
      </c>
      <c r="G1107" s="3" t="s">
        <v>11</v>
      </c>
      <c r="H1107" s="3" t="s">
        <v>116</v>
      </c>
      <c r="I1107" s="3" t="s">
        <v>15</v>
      </c>
      <c r="J1107" s="1">
        <v>0</v>
      </c>
      <c r="K1107" s="12">
        <v>0</v>
      </c>
      <c r="L1107" s="1"/>
      <c r="M1107" s="12"/>
      <c r="N1107"/>
      <c r="O1107"/>
      <c r="P1107" s="2">
        <f>IF(BD_Receitas[[#This Row],[TIPO DE COBRANÇA]]="Operação Normal",
_xlfn.XLOOKUP(BD_Receitas[[#This Row],[ID]],TabCondicoesComerciais[ID],TabCondicoesComerciais[Volume mínimo 
(m3)],0),"")</f>
        <v>2000</v>
      </c>
      <c r="Q1107" s="2">
        <f>_xlfn.XLOOKUP(BD_Receitas[[#This Row],[ID]],TabCondicoesComerciais[ID],TabCondicoesComerciais[Vol. 1ºGiro],0)</f>
        <v>580</v>
      </c>
      <c r="R11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107" s="1">
        <f xml:space="preserve"> IF(BD_Receitas[[#This Row],[TIPO DE COBRANÇA]]="Operação Normal",
_xlfn.XLOOKUP(BD_Receitas[[#This Row],[ID]],TabCondicoesComerciais[ID],TabCondicoesComerciais[Tarifa 2º Giro],0),0)</f>
        <v>27</v>
      </c>
      <c r="T110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1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08" spans="1:24" hidden="1" x14ac:dyDescent="0.35">
      <c r="A1108" s="3" t="s">
        <v>190</v>
      </c>
      <c r="B1108" s="11">
        <v>46235</v>
      </c>
      <c r="C1108" t="s">
        <v>31</v>
      </c>
      <c r="D1108" t="s">
        <v>202</v>
      </c>
      <c r="E1108" t="s">
        <v>35</v>
      </c>
      <c r="F1108" s="10" t="s">
        <v>22</v>
      </c>
      <c r="G1108" s="3" t="s">
        <v>11</v>
      </c>
      <c r="H1108" s="3" t="s">
        <v>116</v>
      </c>
      <c r="I1108" s="3" t="s">
        <v>65</v>
      </c>
      <c r="J1108" s="1">
        <v>0</v>
      </c>
      <c r="K1108" s="12">
        <v>0</v>
      </c>
      <c r="L1108" s="1"/>
      <c r="M1108" s="12"/>
      <c r="N1108"/>
      <c r="O1108"/>
      <c r="P1108" s="2" t="str">
        <f>IF(BD_Receitas[[#This Row],[TIPO DE COBRANÇA]]="Operação Normal",
_xlfn.XLOOKUP(BD_Receitas[[#This Row],[ID]],TabCondicoesComerciais[ID],TabCondicoesComerciais[Volume mínimo 
(m3)],0),"")</f>
        <v/>
      </c>
      <c r="Q1108" s="2">
        <f>_xlfn.XLOOKUP(BD_Receitas[[#This Row],[ID]],TabCondicoesComerciais[ID],TabCondicoesComerciais[Vol. 1ºGiro],0)</f>
        <v>580</v>
      </c>
      <c r="R11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08" s="1">
        <f xml:space="preserve"> IF(BD_Receitas[[#This Row],[TIPO DE COBRANÇA]]="Operação Normal",
_xlfn.XLOOKUP(BD_Receitas[[#This Row],[ID]],TabCondicoesComerciais[ID],TabCondicoesComerciais[Tarifa 2º Giro],0),0)</f>
        <v>0</v>
      </c>
      <c r="T11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09" spans="1:24" hidden="1" x14ac:dyDescent="0.35">
      <c r="A1109" s="3" t="s">
        <v>172</v>
      </c>
      <c r="B1109" s="11">
        <v>46235</v>
      </c>
      <c r="C1109" t="s">
        <v>31</v>
      </c>
      <c r="D1109" t="s">
        <v>202</v>
      </c>
      <c r="E1109" t="s">
        <v>35</v>
      </c>
      <c r="F1109" s="10" t="s">
        <v>22</v>
      </c>
      <c r="G1109" s="3" t="s">
        <v>11</v>
      </c>
      <c r="H1109" s="3" t="s">
        <v>13</v>
      </c>
      <c r="I1109" s="3" t="s">
        <v>7</v>
      </c>
      <c r="J1109" s="1">
        <v>0</v>
      </c>
      <c r="K1109" s="12">
        <v>0</v>
      </c>
      <c r="L1109" s="1"/>
      <c r="M1109" s="12"/>
      <c r="N1109"/>
      <c r="O1109"/>
      <c r="P1109" s="2" t="str">
        <f>IF(BD_Receitas[[#This Row],[TIPO DE COBRANÇA]]="Operação Normal",
_xlfn.XLOOKUP(BD_Receitas[[#This Row],[ID]],TabCondicoesComerciais[ID],TabCondicoesComerciais[Volume mínimo 
(m3)],0),"")</f>
        <v/>
      </c>
      <c r="Q1109" s="2">
        <f>_xlfn.XLOOKUP(BD_Receitas[[#This Row],[ID]],TabCondicoesComerciais[ID],TabCondicoesComerciais[Vol. 1ºGiro],0)</f>
        <v>750</v>
      </c>
      <c r="R11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109" s="1">
        <f xml:space="preserve"> IF(BD_Receitas[[#This Row],[TIPO DE COBRANÇA]]="Operação Normal",
_xlfn.XLOOKUP(BD_Receitas[[#This Row],[ID]],TabCondicoesComerciais[ID],TabCondicoesComerciais[Tarifa 2º Giro],0),0)</f>
        <v>0</v>
      </c>
      <c r="T11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0" spans="1:24" hidden="1" x14ac:dyDescent="0.35">
      <c r="A1110" s="3" t="s">
        <v>172</v>
      </c>
      <c r="B1110" s="11">
        <v>46235</v>
      </c>
      <c r="C1110" t="s">
        <v>31</v>
      </c>
      <c r="D1110" t="s">
        <v>202</v>
      </c>
      <c r="E1110" t="s">
        <v>35</v>
      </c>
      <c r="F1110" s="10" t="s">
        <v>22</v>
      </c>
      <c r="G1110" s="3" t="s">
        <v>11</v>
      </c>
      <c r="H1110" s="3" t="s">
        <v>13</v>
      </c>
      <c r="I1110" s="3" t="s">
        <v>8</v>
      </c>
      <c r="J1110" s="1">
        <v>0</v>
      </c>
      <c r="K1110" s="12">
        <v>0</v>
      </c>
      <c r="L1110" s="1"/>
      <c r="M1110" s="12"/>
      <c r="N1110"/>
      <c r="O1110"/>
      <c r="P1110" s="2" t="str">
        <f>IF(BD_Receitas[[#This Row],[TIPO DE COBRANÇA]]="Operação Normal",
_xlfn.XLOOKUP(BD_Receitas[[#This Row],[ID]],TabCondicoesComerciais[ID],TabCondicoesComerciais[Volume mínimo 
(m3)],0),"")</f>
        <v/>
      </c>
      <c r="Q1110" s="2">
        <f>_xlfn.XLOOKUP(BD_Receitas[[#This Row],[ID]],TabCondicoesComerciais[ID],TabCondicoesComerciais[Vol. 1ºGiro],0)</f>
        <v>750</v>
      </c>
      <c r="R11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110" s="1">
        <f xml:space="preserve"> IF(BD_Receitas[[#This Row],[TIPO DE COBRANÇA]]="Operação Normal",
_xlfn.XLOOKUP(BD_Receitas[[#This Row],[ID]],TabCondicoesComerciais[ID],TabCondicoesComerciais[Tarifa 2º Giro],0),0)</f>
        <v>0</v>
      </c>
      <c r="T11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1" spans="1:24" hidden="1" x14ac:dyDescent="0.35">
      <c r="A1111" s="3" t="s">
        <v>172</v>
      </c>
      <c r="B1111" s="11">
        <v>46235</v>
      </c>
      <c r="C1111" t="s">
        <v>31</v>
      </c>
      <c r="D1111" t="s">
        <v>202</v>
      </c>
      <c r="E1111" t="s">
        <v>35</v>
      </c>
      <c r="F1111" s="10" t="s">
        <v>22</v>
      </c>
      <c r="G1111" s="3" t="s">
        <v>11</v>
      </c>
      <c r="H1111" s="3" t="s">
        <v>13</v>
      </c>
      <c r="I1111" s="3" t="s">
        <v>15</v>
      </c>
      <c r="J1111" s="1">
        <v>0</v>
      </c>
      <c r="K1111" s="12">
        <v>0</v>
      </c>
      <c r="L1111" s="1"/>
      <c r="M1111" s="12"/>
      <c r="N1111"/>
      <c r="O1111"/>
      <c r="P1111" s="2">
        <f>IF(BD_Receitas[[#This Row],[TIPO DE COBRANÇA]]="Operação Normal",
_xlfn.XLOOKUP(BD_Receitas[[#This Row],[ID]],TabCondicoesComerciais[ID],TabCondicoesComerciais[Volume mínimo 
(m3)],0),"")</f>
        <v>0</v>
      </c>
      <c r="Q1111" s="2">
        <f>_xlfn.XLOOKUP(BD_Receitas[[#This Row],[ID]],TabCondicoesComerciais[ID],TabCondicoesComerciais[Vol. 1ºGiro],0)</f>
        <v>750</v>
      </c>
      <c r="R11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111" s="1">
        <f xml:space="preserve"> IF(BD_Receitas[[#This Row],[TIPO DE COBRANÇA]]="Operação Normal",
_xlfn.XLOOKUP(BD_Receitas[[#This Row],[ID]],TabCondicoesComerciais[ID],TabCondicoesComerciais[Tarifa 2º Giro],0),0)</f>
        <v>22.2</v>
      </c>
      <c r="T111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12" spans="1:24" hidden="1" x14ac:dyDescent="0.35">
      <c r="A1112" s="3" t="s">
        <v>172</v>
      </c>
      <c r="B1112" s="11">
        <v>46235</v>
      </c>
      <c r="C1112" t="s">
        <v>31</v>
      </c>
      <c r="D1112" t="s">
        <v>202</v>
      </c>
      <c r="E1112" t="s">
        <v>35</v>
      </c>
      <c r="F1112" s="10" t="s">
        <v>22</v>
      </c>
      <c r="G1112" s="3" t="s">
        <v>11</v>
      </c>
      <c r="H1112" s="3" t="s">
        <v>13</v>
      </c>
      <c r="I1112" s="3" t="s">
        <v>65</v>
      </c>
      <c r="J1112" s="1">
        <v>0</v>
      </c>
      <c r="K1112" s="12">
        <v>0</v>
      </c>
      <c r="L1112" s="1"/>
      <c r="M1112" s="12"/>
      <c r="N1112"/>
      <c r="O1112"/>
      <c r="P1112" s="2" t="str">
        <f>IF(BD_Receitas[[#This Row],[TIPO DE COBRANÇA]]="Operação Normal",
_xlfn.XLOOKUP(BD_Receitas[[#This Row],[ID]],TabCondicoesComerciais[ID],TabCondicoesComerciais[Volume mínimo 
(m3)],0),"")</f>
        <v/>
      </c>
      <c r="Q1112" s="2">
        <f>_xlfn.XLOOKUP(BD_Receitas[[#This Row],[ID]],TabCondicoesComerciais[ID],TabCondicoesComerciais[Vol. 1ºGiro],0)</f>
        <v>750</v>
      </c>
      <c r="R11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12" s="1">
        <f xml:space="preserve"> IF(BD_Receitas[[#This Row],[TIPO DE COBRANÇA]]="Operação Normal",
_xlfn.XLOOKUP(BD_Receitas[[#This Row],[ID]],TabCondicoesComerciais[ID],TabCondicoesComerciais[Tarifa 2º Giro],0),0)</f>
        <v>0</v>
      </c>
      <c r="T11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3" spans="1:24" hidden="1" x14ac:dyDescent="0.35">
      <c r="A1113" s="3" t="s">
        <v>201</v>
      </c>
      <c r="B1113" s="11">
        <v>46235</v>
      </c>
      <c r="C1113" t="s">
        <v>31</v>
      </c>
      <c r="D1113" t="s">
        <v>202</v>
      </c>
      <c r="E1113" t="s">
        <v>35</v>
      </c>
      <c r="F1113" s="10" t="s">
        <v>22</v>
      </c>
      <c r="G1113" s="3" t="s">
        <v>11</v>
      </c>
      <c r="H1113" s="3" t="s">
        <v>6</v>
      </c>
      <c r="I1113" s="3" t="s">
        <v>7</v>
      </c>
      <c r="J1113" s="1"/>
      <c r="K1113" s="12"/>
      <c r="L1113" s="1"/>
      <c r="M1113" s="12"/>
      <c r="N1113"/>
      <c r="O1113"/>
      <c r="P1113" s="2" t="str">
        <f>IF(BD_Receitas[[#This Row],[TIPO DE COBRANÇA]]="Operação Normal",
_xlfn.XLOOKUP(BD_Receitas[[#This Row],[ID]],TabCondicoesComerciais[ID],TabCondicoesComerciais[Volume mínimo 
(m3)],0),"")</f>
        <v/>
      </c>
      <c r="Q1113" s="2">
        <f>_xlfn.XLOOKUP(BD_Receitas[[#This Row],[ID]],TabCondicoesComerciais[ID],TabCondicoesComerciais[Vol. 1ºGiro],0)</f>
        <v>300</v>
      </c>
      <c r="R11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13" s="1">
        <f xml:space="preserve"> IF(BD_Receitas[[#This Row],[TIPO DE COBRANÇA]]="Operação Normal",
_xlfn.XLOOKUP(BD_Receitas[[#This Row],[ID]],TabCondicoesComerciais[ID],TabCondicoesComerciais[Tarifa 2º Giro],0),0)</f>
        <v>0</v>
      </c>
      <c r="T11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4" spans="1:24" hidden="1" x14ac:dyDescent="0.35">
      <c r="A1114" s="3" t="s">
        <v>201</v>
      </c>
      <c r="B1114" s="11">
        <v>46235</v>
      </c>
      <c r="C1114" t="s">
        <v>31</v>
      </c>
      <c r="D1114" t="s">
        <v>202</v>
      </c>
      <c r="E1114" t="s">
        <v>35</v>
      </c>
      <c r="F1114" s="10" t="s">
        <v>22</v>
      </c>
      <c r="G1114" s="3" t="s">
        <v>11</v>
      </c>
      <c r="H1114" s="3" t="s">
        <v>6</v>
      </c>
      <c r="I1114" s="3" t="s">
        <v>8</v>
      </c>
      <c r="J1114" s="1"/>
      <c r="K1114" s="12"/>
      <c r="L1114" s="1"/>
      <c r="M1114" s="12"/>
      <c r="N1114"/>
      <c r="O1114"/>
      <c r="P1114" s="2" t="str">
        <f>IF(BD_Receitas[[#This Row],[TIPO DE COBRANÇA]]="Operação Normal",
_xlfn.XLOOKUP(BD_Receitas[[#This Row],[ID]],TabCondicoesComerciais[ID],TabCondicoesComerciais[Volume mínimo 
(m3)],0),"")</f>
        <v/>
      </c>
      <c r="Q1114" s="2">
        <f>_xlfn.XLOOKUP(BD_Receitas[[#This Row],[ID]],TabCondicoesComerciais[ID],TabCondicoesComerciais[Vol. 1ºGiro],0)</f>
        <v>300</v>
      </c>
      <c r="R11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14" s="1">
        <f xml:space="preserve"> IF(BD_Receitas[[#This Row],[TIPO DE COBRANÇA]]="Operação Normal",
_xlfn.XLOOKUP(BD_Receitas[[#This Row],[ID]],TabCondicoesComerciais[ID],TabCondicoesComerciais[Tarifa 2º Giro],0),0)</f>
        <v>0</v>
      </c>
      <c r="T11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5" spans="1:24" hidden="1" x14ac:dyDescent="0.35">
      <c r="A1115" s="3" t="s">
        <v>201</v>
      </c>
      <c r="B1115" s="11">
        <v>46235</v>
      </c>
      <c r="C1115" t="s">
        <v>31</v>
      </c>
      <c r="D1115" t="s">
        <v>202</v>
      </c>
      <c r="E1115" t="s">
        <v>35</v>
      </c>
      <c r="F1115" s="10" t="s">
        <v>22</v>
      </c>
      <c r="G1115" s="3" t="s">
        <v>11</v>
      </c>
      <c r="H1115" s="3" t="s">
        <v>6</v>
      </c>
      <c r="I1115" s="3" t="s">
        <v>15</v>
      </c>
      <c r="J1115" s="1"/>
      <c r="K1115" s="12"/>
      <c r="L1115" s="1"/>
      <c r="M1115" s="12"/>
      <c r="N1115"/>
      <c r="O1115"/>
      <c r="P1115" s="2">
        <f>IF(BD_Receitas[[#This Row],[TIPO DE COBRANÇA]]="Operação Normal",
_xlfn.XLOOKUP(BD_Receitas[[#This Row],[ID]],TabCondicoesComerciais[ID],TabCondicoesComerciais[Volume mínimo 
(m3)],0),"")</f>
        <v>0</v>
      </c>
      <c r="Q1115" s="2">
        <f>_xlfn.XLOOKUP(BD_Receitas[[#This Row],[ID]],TabCondicoesComerciais[ID],TabCondicoesComerciais[Vol. 1ºGiro],0)</f>
        <v>300</v>
      </c>
      <c r="R11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115" s="1">
        <f xml:space="preserve"> IF(BD_Receitas[[#This Row],[TIPO DE COBRANÇA]]="Operação Normal",
_xlfn.XLOOKUP(BD_Receitas[[#This Row],[ID]],TabCondicoesComerciais[ID],TabCondicoesComerciais[Tarifa 2º Giro],0),0)</f>
        <v>30</v>
      </c>
      <c r="T111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16" spans="1:24" hidden="1" x14ac:dyDescent="0.35">
      <c r="A1116" s="3" t="s">
        <v>201</v>
      </c>
      <c r="B1116" s="11">
        <v>46235</v>
      </c>
      <c r="C1116" t="s">
        <v>31</v>
      </c>
      <c r="D1116" t="s">
        <v>202</v>
      </c>
      <c r="E1116" t="s">
        <v>35</v>
      </c>
      <c r="F1116" s="10" t="s">
        <v>22</v>
      </c>
      <c r="G1116" s="3" t="s">
        <v>11</v>
      </c>
      <c r="H1116" s="3" t="s">
        <v>6</v>
      </c>
      <c r="I1116" s="3" t="s">
        <v>65</v>
      </c>
      <c r="J1116" s="1"/>
      <c r="K1116" s="12"/>
      <c r="L1116" s="1"/>
      <c r="M1116" s="12"/>
      <c r="N1116"/>
      <c r="O1116"/>
      <c r="P1116" s="2" t="str">
        <f>IF(BD_Receitas[[#This Row],[TIPO DE COBRANÇA]]="Operação Normal",
_xlfn.XLOOKUP(BD_Receitas[[#This Row],[ID]],TabCondicoesComerciais[ID],TabCondicoesComerciais[Volume mínimo 
(m3)],0),"")</f>
        <v/>
      </c>
      <c r="Q1116" s="2">
        <f>_xlfn.XLOOKUP(BD_Receitas[[#This Row],[ID]],TabCondicoesComerciais[ID],TabCondicoesComerciais[Vol. 1ºGiro],0)</f>
        <v>300</v>
      </c>
      <c r="R11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16" s="1">
        <f xml:space="preserve"> IF(BD_Receitas[[#This Row],[TIPO DE COBRANÇA]]="Operação Normal",
_xlfn.XLOOKUP(BD_Receitas[[#This Row],[ID]],TabCondicoesComerciais[ID],TabCondicoesComerciais[Tarifa 2º Giro],0),0)</f>
        <v>0</v>
      </c>
      <c r="T11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7" spans="1:24" hidden="1" x14ac:dyDescent="0.35">
      <c r="A1117" s="3" t="s">
        <v>177</v>
      </c>
      <c r="B1117" s="11">
        <v>46235</v>
      </c>
      <c r="C1117" t="s">
        <v>31</v>
      </c>
      <c r="D1117" t="s">
        <v>62</v>
      </c>
      <c r="E1117" t="s">
        <v>33</v>
      </c>
      <c r="F1117" s="10" t="s">
        <v>46</v>
      </c>
      <c r="G1117" s="3" t="s">
        <v>87</v>
      </c>
      <c r="H1117" s="3" t="s">
        <v>9</v>
      </c>
      <c r="I1117" s="3" t="s">
        <v>7</v>
      </c>
      <c r="J1117" s="1">
        <v>0</v>
      </c>
      <c r="K1117" s="12">
        <v>0</v>
      </c>
      <c r="L1117" s="1"/>
      <c r="M1117" s="12"/>
      <c r="N1117"/>
      <c r="O1117"/>
      <c r="P1117" s="2" t="str">
        <f>IF(BD_Receitas[[#This Row],[TIPO DE COBRANÇA]]="Operação Normal",
_xlfn.XLOOKUP(BD_Receitas[[#This Row],[ID]],TabCondicoesComerciais[ID],TabCondicoesComerciais[Volume mínimo 
(m3)],0),"")</f>
        <v/>
      </c>
      <c r="Q1117" s="2">
        <f>_xlfn.XLOOKUP(BD_Receitas[[#This Row],[ID]],TabCondicoesComerciais[ID],TabCondicoesComerciais[Vol. 1ºGiro],0)</f>
        <v>1070</v>
      </c>
      <c r="R11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117" s="1">
        <f xml:space="preserve"> IF(BD_Receitas[[#This Row],[TIPO DE COBRANÇA]]="Operação Normal",
_xlfn.XLOOKUP(BD_Receitas[[#This Row],[ID]],TabCondicoesComerciais[ID],TabCondicoesComerciais[Tarifa 2º Giro],0),0)</f>
        <v>0</v>
      </c>
      <c r="T11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8" spans="1:24" hidden="1" x14ac:dyDescent="0.35">
      <c r="A1118" s="3" t="s">
        <v>177</v>
      </c>
      <c r="B1118" s="11">
        <v>46235</v>
      </c>
      <c r="C1118" t="s">
        <v>31</v>
      </c>
      <c r="D1118" t="s">
        <v>62</v>
      </c>
      <c r="E1118" t="s">
        <v>33</v>
      </c>
      <c r="F1118" s="10" t="s">
        <v>46</v>
      </c>
      <c r="G1118" s="3" t="s">
        <v>87</v>
      </c>
      <c r="H1118" s="3" t="s">
        <v>9</v>
      </c>
      <c r="I1118" s="3" t="s">
        <v>8</v>
      </c>
      <c r="J1118" s="1">
        <v>0</v>
      </c>
      <c r="K1118" s="12">
        <v>0</v>
      </c>
      <c r="L1118" s="1"/>
      <c r="M1118" s="12"/>
      <c r="N1118"/>
      <c r="O1118"/>
      <c r="P1118" s="2" t="str">
        <f>IF(BD_Receitas[[#This Row],[TIPO DE COBRANÇA]]="Operação Normal",
_xlfn.XLOOKUP(BD_Receitas[[#This Row],[ID]],TabCondicoesComerciais[ID],TabCondicoesComerciais[Volume mínimo 
(m3)],0),"")</f>
        <v/>
      </c>
      <c r="Q1118" s="2">
        <f>_xlfn.XLOOKUP(BD_Receitas[[#This Row],[ID]],TabCondicoesComerciais[ID],TabCondicoesComerciais[Vol. 1ºGiro],0)</f>
        <v>1070</v>
      </c>
      <c r="R11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118" s="1">
        <f xml:space="preserve"> IF(BD_Receitas[[#This Row],[TIPO DE COBRANÇA]]="Operação Normal",
_xlfn.XLOOKUP(BD_Receitas[[#This Row],[ID]],TabCondicoesComerciais[ID],TabCondicoesComerciais[Tarifa 2º Giro],0),0)</f>
        <v>0</v>
      </c>
      <c r="T11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19" spans="1:24" hidden="1" x14ac:dyDescent="0.35">
      <c r="A1119" s="3" t="s">
        <v>177</v>
      </c>
      <c r="B1119" s="11">
        <v>46235</v>
      </c>
      <c r="C1119" t="s">
        <v>31</v>
      </c>
      <c r="D1119" t="s">
        <v>62</v>
      </c>
      <c r="E1119" t="s">
        <v>33</v>
      </c>
      <c r="F1119" s="10" t="s">
        <v>46</v>
      </c>
      <c r="G1119" s="3" t="s">
        <v>87</v>
      </c>
      <c r="H1119" s="3" t="s">
        <v>9</v>
      </c>
      <c r="I1119" s="3" t="s">
        <v>15</v>
      </c>
      <c r="J1119" s="1">
        <v>65348.32</v>
      </c>
      <c r="K1119" s="12">
        <v>1926</v>
      </c>
      <c r="L1119" s="1"/>
      <c r="M1119" s="12"/>
      <c r="N1119"/>
      <c r="O1119"/>
      <c r="P1119" s="2">
        <f>IF(BD_Receitas[[#This Row],[TIPO DE COBRANÇA]]="Operação Normal",
_xlfn.XLOOKUP(BD_Receitas[[#This Row],[ID]],TabCondicoesComerciais[ID],TabCondicoesComerciais[Volume mínimo 
(m3)],0),"")</f>
        <v>3210</v>
      </c>
      <c r="Q1119" s="2">
        <f>_xlfn.XLOOKUP(BD_Receitas[[#This Row],[ID]],TabCondicoesComerciais[ID],TabCondicoesComerciais[Vol. 1ºGiro],0)</f>
        <v>1070</v>
      </c>
      <c r="R11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119" s="1">
        <f xml:space="preserve"> IF(BD_Receitas[[#This Row],[TIPO DE COBRANÇA]]="Operação Normal",
_xlfn.XLOOKUP(BD_Receitas[[#This Row],[ID]],TabCondicoesComerciais[ID],TabCondicoesComerciais[Tarifa 2º Giro],0),0)</f>
        <v>32.64</v>
      </c>
      <c r="T111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1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20" spans="1:24" hidden="1" x14ac:dyDescent="0.35">
      <c r="A1120" s="3" t="s">
        <v>177</v>
      </c>
      <c r="B1120" s="11">
        <v>46235</v>
      </c>
      <c r="C1120" t="s">
        <v>31</v>
      </c>
      <c r="D1120" t="s">
        <v>62</v>
      </c>
      <c r="E1120" t="s">
        <v>33</v>
      </c>
      <c r="F1120" s="10" t="s">
        <v>46</v>
      </c>
      <c r="G1120" s="3" t="s">
        <v>87</v>
      </c>
      <c r="H1120" s="3" t="s">
        <v>9</v>
      </c>
      <c r="I1120" s="3" t="s">
        <v>65</v>
      </c>
      <c r="J1120" s="1">
        <v>0</v>
      </c>
      <c r="K1120" s="12">
        <v>0</v>
      </c>
      <c r="L1120" s="1"/>
      <c r="M1120" s="12"/>
      <c r="N1120"/>
      <c r="O1120"/>
      <c r="P1120" s="2" t="str">
        <f>IF(BD_Receitas[[#This Row],[TIPO DE COBRANÇA]]="Operação Normal",
_xlfn.XLOOKUP(BD_Receitas[[#This Row],[ID]],TabCondicoesComerciais[ID],TabCondicoesComerciais[Volume mínimo 
(m3)],0),"")</f>
        <v/>
      </c>
      <c r="Q1120" s="2">
        <f>_xlfn.XLOOKUP(BD_Receitas[[#This Row],[ID]],TabCondicoesComerciais[ID],TabCondicoesComerciais[Vol. 1ºGiro],0)</f>
        <v>1070</v>
      </c>
      <c r="R11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20" s="1">
        <f xml:space="preserve"> IF(BD_Receitas[[#This Row],[TIPO DE COBRANÇA]]="Operação Normal",
_xlfn.XLOOKUP(BD_Receitas[[#This Row],[ID]],TabCondicoesComerciais[ID],TabCondicoesComerciais[Tarifa 2º Giro],0),0)</f>
        <v>0</v>
      </c>
      <c r="T11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1" spans="1:24" hidden="1" x14ac:dyDescent="0.35">
      <c r="A1121" s="3" t="s">
        <v>200</v>
      </c>
      <c r="B1121" s="11">
        <v>46235</v>
      </c>
      <c r="C1121" t="s">
        <v>31</v>
      </c>
      <c r="D1121" t="s">
        <v>203</v>
      </c>
      <c r="E1121" t="s">
        <v>32</v>
      </c>
      <c r="F1121" s="10" t="s">
        <v>25</v>
      </c>
      <c r="G1121" s="3" t="s">
        <v>12</v>
      </c>
      <c r="H1121" s="3" t="s">
        <v>10</v>
      </c>
      <c r="I1121" s="3" t="s">
        <v>7</v>
      </c>
      <c r="J1121" s="1">
        <v>0</v>
      </c>
      <c r="K1121" s="12">
        <v>0</v>
      </c>
      <c r="L1121" s="1"/>
      <c r="M1121" s="12"/>
      <c r="N1121"/>
      <c r="O1121"/>
      <c r="P1121" s="2" t="str">
        <f>IF(BD_Receitas[[#This Row],[TIPO DE COBRANÇA]]="Operação Normal",
_xlfn.XLOOKUP(BD_Receitas[[#This Row],[ID]],TabCondicoesComerciais[ID],TabCondicoesComerciais[Volume mínimo 
(m3)],0),"")</f>
        <v/>
      </c>
      <c r="Q1121" s="2">
        <f>_xlfn.XLOOKUP(BD_Receitas[[#This Row],[ID]],TabCondicoesComerciais[ID],TabCondicoesComerciais[Vol. 1ºGiro],0)</f>
        <v>2000</v>
      </c>
      <c r="R11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21" s="1">
        <f xml:space="preserve"> IF(BD_Receitas[[#This Row],[TIPO DE COBRANÇA]]="Operação Normal",
_xlfn.XLOOKUP(BD_Receitas[[#This Row],[ID]],TabCondicoesComerciais[ID],TabCondicoesComerciais[Tarifa 2º Giro],0),0)</f>
        <v>0</v>
      </c>
      <c r="T11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2" spans="1:24" hidden="1" x14ac:dyDescent="0.35">
      <c r="A1122" s="3" t="s">
        <v>200</v>
      </c>
      <c r="B1122" s="11">
        <v>46235</v>
      </c>
      <c r="C1122" t="s">
        <v>31</v>
      </c>
      <c r="D1122" t="s">
        <v>203</v>
      </c>
      <c r="E1122" t="s">
        <v>32</v>
      </c>
      <c r="F1122" s="10" t="s">
        <v>25</v>
      </c>
      <c r="G1122" s="3" t="s">
        <v>12</v>
      </c>
      <c r="H1122" s="3" t="s">
        <v>10</v>
      </c>
      <c r="I1122" s="3" t="s">
        <v>8</v>
      </c>
      <c r="J1122" s="1">
        <v>0</v>
      </c>
      <c r="K1122" s="12">
        <v>0</v>
      </c>
      <c r="L1122" s="1"/>
      <c r="M1122" s="12"/>
      <c r="N1122"/>
      <c r="O1122"/>
      <c r="P1122" s="2" t="str">
        <f>IF(BD_Receitas[[#This Row],[TIPO DE COBRANÇA]]="Operação Normal",
_xlfn.XLOOKUP(BD_Receitas[[#This Row],[ID]],TabCondicoesComerciais[ID],TabCondicoesComerciais[Volume mínimo 
(m3)],0),"")</f>
        <v/>
      </c>
      <c r="Q1122" s="2">
        <f>_xlfn.XLOOKUP(BD_Receitas[[#This Row],[ID]],TabCondicoesComerciais[ID],TabCondicoesComerciais[Vol. 1ºGiro],0)</f>
        <v>2000</v>
      </c>
      <c r="R11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22" s="1">
        <f xml:space="preserve"> IF(BD_Receitas[[#This Row],[TIPO DE COBRANÇA]]="Operação Normal",
_xlfn.XLOOKUP(BD_Receitas[[#This Row],[ID]],TabCondicoesComerciais[ID],TabCondicoesComerciais[Tarifa 2º Giro],0),0)</f>
        <v>0</v>
      </c>
      <c r="T11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3" spans="1:24" hidden="1" x14ac:dyDescent="0.35">
      <c r="A1123" s="3" t="s">
        <v>200</v>
      </c>
      <c r="B1123" s="11">
        <v>46235</v>
      </c>
      <c r="C1123" t="s">
        <v>31</v>
      </c>
      <c r="D1123" t="s">
        <v>203</v>
      </c>
      <c r="E1123" t="s">
        <v>32</v>
      </c>
      <c r="F1123" s="10" t="s">
        <v>25</v>
      </c>
      <c r="G1123" s="3" t="s">
        <v>12</v>
      </c>
      <c r="H1123" s="3" t="s">
        <v>10</v>
      </c>
      <c r="I1123" s="3" t="s">
        <v>15</v>
      </c>
      <c r="J1123" s="1">
        <v>0</v>
      </c>
      <c r="K1123" s="12">
        <v>0</v>
      </c>
      <c r="L1123" s="1"/>
      <c r="M1123" s="12"/>
      <c r="N1123"/>
      <c r="O1123"/>
      <c r="P1123" s="2">
        <f>IF(BD_Receitas[[#This Row],[TIPO DE COBRANÇA]]="Operação Normal",
_xlfn.XLOOKUP(BD_Receitas[[#This Row],[ID]],TabCondicoesComerciais[ID],TabCondicoesComerciais[Volume mínimo 
(m3)],0),"")</f>
        <v>8000</v>
      </c>
      <c r="Q1123" s="2">
        <f>_xlfn.XLOOKUP(BD_Receitas[[#This Row],[ID]],TabCondicoesComerciais[ID],TabCondicoesComerciais[Vol. 1ºGiro],0)</f>
        <v>2000</v>
      </c>
      <c r="R11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123" s="1">
        <f xml:space="preserve"> IF(BD_Receitas[[#This Row],[TIPO DE COBRANÇA]]="Operação Normal",
_xlfn.XLOOKUP(BD_Receitas[[#This Row],[ID]],TabCondicoesComerciais[ID],TabCondicoesComerciais[Tarifa 2º Giro],0),0)</f>
        <v>20</v>
      </c>
      <c r="T112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1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24" spans="1:24" hidden="1" x14ac:dyDescent="0.35">
      <c r="A1124" s="3" t="s">
        <v>200</v>
      </c>
      <c r="B1124" s="11">
        <v>46235</v>
      </c>
      <c r="C1124" t="s">
        <v>31</v>
      </c>
      <c r="D1124" t="s">
        <v>203</v>
      </c>
      <c r="E1124" t="s">
        <v>32</v>
      </c>
      <c r="F1124" s="10" t="s">
        <v>25</v>
      </c>
      <c r="G1124" s="3" t="s">
        <v>12</v>
      </c>
      <c r="H1124" s="3" t="s">
        <v>10</v>
      </c>
      <c r="I1124" s="3" t="s">
        <v>65</v>
      </c>
      <c r="J1124" s="1">
        <v>0</v>
      </c>
      <c r="K1124" s="12">
        <v>0</v>
      </c>
      <c r="L1124" s="1"/>
      <c r="M1124" s="12"/>
      <c r="N1124"/>
      <c r="O1124"/>
      <c r="P1124" s="2" t="str">
        <f>IF(BD_Receitas[[#This Row],[TIPO DE COBRANÇA]]="Operação Normal",
_xlfn.XLOOKUP(BD_Receitas[[#This Row],[ID]],TabCondicoesComerciais[ID],TabCondicoesComerciais[Volume mínimo 
(m3)],0),"")</f>
        <v/>
      </c>
      <c r="Q1124" s="2">
        <f>_xlfn.XLOOKUP(BD_Receitas[[#This Row],[ID]],TabCondicoesComerciais[ID],TabCondicoesComerciais[Vol. 1ºGiro],0)</f>
        <v>2000</v>
      </c>
      <c r="R11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24" s="1">
        <f xml:space="preserve"> IF(BD_Receitas[[#This Row],[TIPO DE COBRANÇA]]="Operação Normal",
_xlfn.XLOOKUP(BD_Receitas[[#This Row],[ID]],TabCondicoesComerciais[ID],TabCondicoesComerciais[Tarifa 2º Giro],0),0)</f>
        <v>0</v>
      </c>
      <c r="T11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5" spans="1:24" hidden="1" x14ac:dyDescent="0.35">
      <c r="A1125" s="3" t="s">
        <v>342</v>
      </c>
      <c r="B1125" s="11">
        <v>46235</v>
      </c>
      <c r="C1125" t="s">
        <v>31</v>
      </c>
      <c r="D1125" t="s">
        <v>203</v>
      </c>
      <c r="E1125" t="s">
        <v>32</v>
      </c>
      <c r="F1125" s="10" t="s">
        <v>25</v>
      </c>
      <c r="G1125" s="3" t="s">
        <v>12</v>
      </c>
      <c r="H1125" s="3" t="s">
        <v>9</v>
      </c>
      <c r="I1125" s="3" t="s">
        <v>7</v>
      </c>
      <c r="J1125" s="1">
        <v>0</v>
      </c>
      <c r="K1125" s="12">
        <v>0</v>
      </c>
      <c r="L1125" s="1"/>
      <c r="M1125" s="12"/>
      <c r="N1125"/>
      <c r="O1125"/>
      <c r="P1125" s="2" t="str">
        <f>IF(BD_Receitas[[#This Row],[TIPO DE COBRANÇA]]="Operação Normal",
_xlfn.XLOOKUP(BD_Receitas[[#This Row],[ID]],TabCondicoesComerciais[ID],TabCondicoesComerciais[Volume mínimo 
(m3)],0),"")</f>
        <v/>
      </c>
      <c r="Q1125" s="2">
        <f>_xlfn.XLOOKUP(BD_Receitas[[#This Row],[ID]],TabCondicoesComerciais[ID],TabCondicoesComerciais[Vol. 1ºGiro],0)</f>
        <v>1125</v>
      </c>
      <c r="R11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125" s="1">
        <f xml:space="preserve"> IF(BD_Receitas[[#This Row],[TIPO DE COBRANÇA]]="Operação Normal",
_xlfn.XLOOKUP(BD_Receitas[[#This Row],[ID]],TabCondicoesComerciais[ID],TabCondicoesComerciais[Tarifa 2º Giro],0),0)</f>
        <v>0</v>
      </c>
      <c r="T11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6" spans="1:24" hidden="1" x14ac:dyDescent="0.35">
      <c r="A1126" s="3" t="s">
        <v>342</v>
      </c>
      <c r="B1126" s="11">
        <v>46235</v>
      </c>
      <c r="C1126" t="s">
        <v>31</v>
      </c>
      <c r="D1126" t="s">
        <v>203</v>
      </c>
      <c r="E1126" t="s">
        <v>32</v>
      </c>
      <c r="F1126" s="10" t="s">
        <v>25</v>
      </c>
      <c r="G1126" s="3" t="s">
        <v>12</v>
      </c>
      <c r="H1126" s="3" t="s">
        <v>9</v>
      </c>
      <c r="I1126" s="3" t="s">
        <v>8</v>
      </c>
      <c r="J1126" s="1">
        <v>0</v>
      </c>
      <c r="K1126" s="12">
        <v>0</v>
      </c>
      <c r="L1126" s="1"/>
      <c r="M1126" s="12"/>
      <c r="N1126"/>
      <c r="O1126"/>
      <c r="P1126" s="2" t="str">
        <f>IF(BD_Receitas[[#This Row],[TIPO DE COBRANÇA]]="Operação Normal",
_xlfn.XLOOKUP(BD_Receitas[[#This Row],[ID]],TabCondicoesComerciais[ID],TabCondicoesComerciais[Volume mínimo 
(m3)],0),"")</f>
        <v/>
      </c>
      <c r="Q1126" s="2">
        <f>_xlfn.XLOOKUP(BD_Receitas[[#This Row],[ID]],TabCondicoesComerciais[ID],TabCondicoesComerciais[Vol. 1ºGiro],0)</f>
        <v>1125</v>
      </c>
      <c r="R11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126" s="1">
        <f xml:space="preserve"> IF(BD_Receitas[[#This Row],[TIPO DE COBRANÇA]]="Operação Normal",
_xlfn.XLOOKUP(BD_Receitas[[#This Row],[ID]],TabCondicoesComerciais[ID],TabCondicoesComerciais[Tarifa 2º Giro],0),0)</f>
        <v>0</v>
      </c>
      <c r="T11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7" spans="1:24" hidden="1" x14ac:dyDescent="0.35">
      <c r="A1127" s="3" t="s">
        <v>342</v>
      </c>
      <c r="B1127" s="11">
        <v>46235</v>
      </c>
      <c r="C1127" t="s">
        <v>31</v>
      </c>
      <c r="D1127" t="s">
        <v>203</v>
      </c>
      <c r="E1127" t="s">
        <v>32</v>
      </c>
      <c r="F1127" s="10" t="s">
        <v>25</v>
      </c>
      <c r="G1127" s="3" t="s">
        <v>12</v>
      </c>
      <c r="H1127" s="3" t="s">
        <v>9</v>
      </c>
      <c r="I1127" s="3" t="s">
        <v>15</v>
      </c>
      <c r="J1127" s="1">
        <v>165115.51999999999</v>
      </c>
      <c r="K1127" s="12">
        <v>5625</v>
      </c>
      <c r="L1127" s="1"/>
      <c r="M1127" s="12"/>
      <c r="N1127"/>
      <c r="O1127"/>
      <c r="P1127" s="2">
        <f>IF(BD_Receitas[[#This Row],[TIPO DE COBRANÇA]]="Operação Normal",
_xlfn.XLOOKUP(BD_Receitas[[#This Row],[ID]],TabCondicoesComerciais[ID],TabCondicoesComerciais[Volume mínimo 
(m3)],0),"")</f>
        <v>5625</v>
      </c>
      <c r="Q1127" s="2">
        <f>_xlfn.XLOOKUP(BD_Receitas[[#This Row],[ID]],TabCondicoesComerciais[ID],TabCondicoesComerciais[Vol. 1ºGiro],0)</f>
        <v>1125</v>
      </c>
      <c r="R11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127" s="1">
        <f xml:space="preserve"> IF(BD_Receitas[[#This Row],[TIPO DE COBRANÇA]]="Operação Normal",
_xlfn.XLOOKUP(BD_Receitas[[#This Row],[ID]],TabCondicoesComerciais[ID],TabCondicoesComerciais[Tarifa 2º Giro],0),0)</f>
        <v>27.4</v>
      </c>
      <c r="T112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1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28" spans="1:24" hidden="1" x14ac:dyDescent="0.35">
      <c r="A1128" s="3" t="s">
        <v>342</v>
      </c>
      <c r="B1128" s="11">
        <v>46235</v>
      </c>
      <c r="C1128" t="s">
        <v>31</v>
      </c>
      <c r="D1128" t="s">
        <v>203</v>
      </c>
      <c r="E1128" t="s">
        <v>32</v>
      </c>
      <c r="F1128" s="10" t="s">
        <v>25</v>
      </c>
      <c r="G1128" s="3" t="s">
        <v>12</v>
      </c>
      <c r="H1128" s="3" t="s">
        <v>9</v>
      </c>
      <c r="I1128" s="3" t="s">
        <v>65</v>
      </c>
      <c r="J1128" s="1">
        <v>0</v>
      </c>
      <c r="K1128" s="12">
        <v>0</v>
      </c>
      <c r="L1128" s="1"/>
      <c r="M1128" s="12"/>
      <c r="N1128"/>
      <c r="O1128"/>
      <c r="P1128" s="2" t="str">
        <f>IF(BD_Receitas[[#This Row],[TIPO DE COBRANÇA]]="Operação Normal",
_xlfn.XLOOKUP(BD_Receitas[[#This Row],[ID]],TabCondicoesComerciais[ID],TabCondicoesComerciais[Volume mínimo 
(m3)],0),"")</f>
        <v/>
      </c>
      <c r="Q1128" s="2">
        <f>_xlfn.XLOOKUP(BD_Receitas[[#This Row],[ID]],TabCondicoesComerciais[ID],TabCondicoesComerciais[Vol. 1ºGiro],0)</f>
        <v>1125</v>
      </c>
      <c r="R11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28" s="1">
        <f xml:space="preserve"> IF(BD_Receitas[[#This Row],[TIPO DE COBRANÇA]]="Operação Normal",
_xlfn.XLOOKUP(BD_Receitas[[#This Row],[ID]],TabCondicoesComerciais[ID],TabCondicoesComerciais[Tarifa 2º Giro],0),0)</f>
        <v>0</v>
      </c>
      <c r="T11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29" spans="1:24" hidden="1" x14ac:dyDescent="0.35">
      <c r="A1129" s="3" t="s">
        <v>173</v>
      </c>
      <c r="B1129" s="11">
        <v>46235</v>
      </c>
      <c r="C1129" t="s">
        <v>31</v>
      </c>
      <c r="D1129" t="s">
        <v>62</v>
      </c>
      <c r="E1129" t="s">
        <v>37</v>
      </c>
      <c r="F1129" s="10" t="s">
        <v>57</v>
      </c>
      <c r="G1129" s="3" t="s">
        <v>58</v>
      </c>
      <c r="H1129" s="3" t="s">
        <v>6</v>
      </c>
      <c r="I1129" s="3" t="s">
        <v>7</v>
      </c>
      <c r="J1129" s="1">
        <v>0</v>
      </c>
      <c r="K1129" s="12">
        <v>0</v>
      </c>
      <c r="L1129" s="1"/>
      <c r="M1129" s="12"/>
      <c r="N1129"/>
      <c r="O1129"/>
      <c r="P1129" s="2" t="str">
        <f>IF(BD_Receitas[[#This Row],[TIPO DE COBRANÇA]]="Operação Normal",
_xlfn.XLOOKUP(BD_Receitas[[#This Row],[ID]],TabCondicoesComerciais[ID],TabCondicoesComerciais[Volume mínimo 
(m3)],0),"")</f>
        <v/>
      </c>
      <c r="Q1129" s="2">
        <f>_xlfn.XLOOKUP(BD_Receitas[[#This Row],[ID]],TabCondicoesComerciais[ID],TabCondicoesComerciais[Vol. 1ºGiro],0)</f>
        <v>1070</v>
      </c>
      <c r="R11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29" s="1">
        <f xml:space="preserve"> IF(BD_Receitas[[#This Row],[TIPO DE COBRANÇA]]="Operação Normal",
_xlfn.XLOOKUP(BD_Receitas[[#This Row],[ID]],TabCondicoesComerciais[ID],TabCondicoesComerciais[Tarifa 2º Giro],0),0)</f>
        <v>0</v>
      </c>
      <c r="T11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0" spans="1:24" hidden="1" x14ac:dyDescent="0.35">
      <c r="A1130" s="3" t="s">
        <v>173</v>
      </c>
      <c r="B1130" s="11">
        <v>46235</v>
      </c>
      <c r="C1130" t="s">
        <v>31</v>
      </c>
      <c r="D1130" t="s">
        <v>62</v>
      </c>
      <c r="E1130" t="s">
        <v>37</v>
      </c>
      <c r="F1130" s="10" t="s">
        <v>57</v>
      </c>
      <c r="G1130" s="3" t="s">
        <v>58</v>
      </c>
      <c r="H1130" s="3" t="s">
        <v>6</v>
      </c>
      <c r="I1130" s="3" t="s">
        <v>8</v>
      </c>
      <c r="J1130" s="1">
        <v>0</v>
      </c>
      <c r="K1130" s="12">
        <v>0</v>
      </c>
      <c r="L1130" s="1"/>
      <c r="M1130" s="12"/>
      <c r="N1130"/>
      <c r="O1130"/>
      <c r="P1130" s="2" t="str">
        <f>IF(BD_Receitas[[#This Row],[TIPO DE COBRANÇA]]="Operação Normal",
_xlfn.XLOOKUP(BD_Receitas[[#This Row],[ID]],TabCondicoesComerciais[ID],TabCondicoesComerciais[Volume mínimo 
(m3)],0),"")</f>
        <v/>
      </c>
      <c r="Q1130" s="2">
        <f>_xlfn.XLOOKUP(BD_Receitas[[#This Row],[ID]],TabCondicoesComerciais[ID],TabCondicoesComerciais[Vol. 1ºGiro],0)</f>
        <v>1070</v>
      </c>
      <c r="R11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30" s="1">
        <f xml:space="preserve"> IF(BD_Receitas[[#This Row],[TIPO DE COBRANÇA]]="Operação Normal",
_xlfn.XLOOKUP(BD_Receitas[[#This Row],[ID]],TabCondicoesComerciais[ID],TabCondicoesComerciais[Tarifa 2º Giro],0),0)</f>
        <v>0</v>
      </c>
      <c r="T11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1" spans="1:24" hidden="1" x14ac:dyDescent="0.35">
      <c r="A1131" s="3" t="s">
        <v>173</v>
      </c>
      <c r="B1131" s="11">
        <v>46235</v>
      </c>
      <c r="C1131" t="s">
        <v>31</v>
      </c>
      <c r="D1131" t="s">
        <v>62</v>
      </c>
      <c r="E1131" t="s">
        <v>37</v>
      </c>
      <c r="F1131" s="10" t="s">
        <v>57</v>
      </c>
      <c r="G1131" s="3" t="s">
        <v>58</v>
      </c>
      <c r="H1131" s="3" t="s">
        <v>6</v>
      </c>
      <c r="I1131" s="3" t="s">
        <v>15</v>
      </c>
      <c r="J1131" s="1">
        <v>82153.039999999994</v>
      </c>
      <c r="K1131" s="12">
        <v>3300</v>
      </c>
      <c r="L1131" s="1"/>
      <c r="M1131" s="12"/>
      <c r="N1131"/>
      <c r="O1131"/>
      <c r="P1131" s="2">
        <f>IF(BD_Receitas[[#This Row],[TIPO DE COBRANÇA]]="Operação Normal",
_xlfn.XLOOKUP(BD_Receitas[[#This Row],[ID]],TabCondicoesComerciais[ID],TabCondicoesComerciais[Volume mínimo 
(m3)],0),"")</f>
        <v>3300</v>
      </c>
      <c r="Q1131" s="2">
        <f>_xlfn.XLOOKUP(BD_Receitas[[#This Row],[ID]],TabCondicoesComerciais[ID],TabCondicoesComerciais[Vol. 1ºGiro],0)</f>
        <v>1070</v>
      </c>
      <c r="R11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131" s="1">
        <f xml:space="preserve"> IF(BD_Receitas[[#This Row],[TIPO DE COBRANÇA]]="Operação Normal",
_xlfn.XLOOKUP(BD_Receitas[[#This Row],[ID]],TabCondicoesComerciais[ID],TabCondicoesComerciais[Tarifa 2º Giro],0),0)</f>
        <v>23.42</v>
      </c>
      <c r="T113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1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32" spans="1:24" hidden="1" x14ac:dyDescent="0.35">
      <c r="A1132" s="3" t="s">
        <v>173</v>
      </c>
      <c r="B1132" s="11">
        <v>46235</v>
      </c>
      <c r="C1132" t="s">
        <v>31</v>
      </c>
      <c r="D1132" t="s">
        <v>62</v>
      </c>
      <c r="E1132" t="s">
        <v>37</v>
      </c>
      <c r="F1132" s="10" t="s">
        <v>57</v>
      </c>
      <c r="G1132" s="3" t="s">
        <v>58</v>
      </c>
      <c r="H1132" s="3" t="s">
        <v>6</v>
      </c>
      <c r="I1132" s="3" t="s">
        <v>65</v>
      </c>
      <c r="J1132" s="1">
        <v>0</v>
      </c>
      <c r="K1132" s="12">
        <v>0</v>
      </c>
      <c r="L1132" s="1"/>
      <c r="M1132" s="12"/>
      <c r="N1132"/>
      <c r="O1132"/>
      <c r="P1132" s="2" t="str">
        <f>IF(BD_Receitas[[#This Row],[TIPO DE COBRANÇA]]="Operação Normal",
_xlfn.XLOOKUP(BD_Receitas[[#This Row],[ID]],TabCondicoesComerciais[ID],TabCondicoesComerciais[Volume mínimo 
(m3)],0),"")</f>
        <v/>
      </c>
      <c r="Q1132" s="2">
        <f>_xlfn.XLOOKUP(BD_Receitas[[#This Row],[ID]],TabCondicoesComerciais[ID],TabCondicoesComerciais[Vol. 1ºGiro],0)</f>
        <v>1070</v>
      </c>
      <c r="R11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32" s="1">
        <f xml:space="preserve"> IF(BD_Receitas[[#This Row],[TIPO DE COBRANÇA]]="Operação Normal",
_xlfn.XLOOKUP(BD_Receitas[[#This Row],[ID]],TabCondicoesComerciais[ID],TabCondicoesComerciais[Tarifa 2º Giro],0),0)</f>
        <v>0</v>
      </c>
      <c r="T11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3" spans="1:24" x14ac:dyDescent="0.35">
      <c r="A1133" s="3" t="s">
        <v>343</v>
      </c>
      <c r="B1133" s="11">
        <v>46235</v>
      </c>
      <c r="C1133" t="s">
        <v>31</v>
      </c>
      <c r="D1133" t="s">
        <v>203</v>
      </c>
      <c r="E1133" t="s">
        <v>34</v>
      </c>
      <c r="F1133" s="10" t="s">
        <v>26</v>
      </c>
      <c r="G1133" s="3" t="s">
        <v>19</v>
      </c>
      <c r="H1133" s="3" t="s">
        <v>13</v>
      </c>
      <c r="I1133" s="3" t="s">
        <v>7</v>
      </c>
      <c r="J1133" s="1"/>
      <c r="K1133" s="12"/>
      <c r="L1133" s="1"/>
      <c r="M1133" s="12"/>
      <c r="N1133"/>
      <c r="O1133"/>
      <c r="P1133" s="2" t="str">
        <f>IF(BD_Receitas[[#This Row],[TIPO DE COBRANÇA]]="Operação Normal",
_xlfn.XLOOKUP(BD_Receitas[[#This Row],[ID]],TabCondicoesComerciais[ID],TabCondicoesComerciais[Volume mínimo 
(m3)],0),"")</f>
        <v/>
      </c>
      <c r="Q1133" s="2">
        <f>_xlfn.XLOOKUP(BD_Receitas[[#This Row],[ID]],TabCondicoesComerciais[ID],TabCondicoesComerciais[Vol. 1ºGiro],0)</f>
        <v>340</v>
      </c>
      <c r="R11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33" s="1">
        <f xml:space="preserve"> IF(BD_Receitas[[#This Row],[TIPO DE COBRANÇA]]="Operação Normal",
_xlfn.XLOOKUP(BD_Receitas[[#This Row],[ID]],TabCondicoesComerciais[ID],TabCondicoesComerciais[Tarifa 2º Giro],0),0)</f>
        <v>0</v>
      </c>
      <c r="T11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4" spans="1:24" x14ac:dyDescent="0.35">
      <c r="A1134" s="3" t="s">
        <v>343</v>
      </c>
      <c r="B1134" s="11">
        <v>46235</v>
      </c>
      <c r="C1134" t="s">
        <v>31</v>
      </c>
      <c r="D1134" t="s">
        <v>203</v>
      </c>
      <c r="E1134" t="s">
        <v>34</v>
      </c>
      <c r="F1134" s="10" t="s">
        <v>26</v>
      </c>
      <c r="G1134" s="3" t="s">
        <v>19</v>
      </c>
      <c r="H1134" s="3" t="s">
        <v>13</v>
      </c>
      <c r="I1134" s="3" t="s">
        <v>8</v>
      </c>
      <c r="J1134" s="1"/>
      <c r="K1134" s="12"/>
      <c r="L1134" s="1"/>
      <c r="M1134" s="12"/>
      <c r="N1134"/>
      <c r="O1134"/>
      <c r="P1134" s="2" t="str">
        <f>IF(BD_Receitas[[#This Row],[TIPO DE COBRANÇA]]="Operação Normal",
_xlfn.XLOOKUP(BD_Receitas[[#This Row],[ID]],TabCondicoesComerciais[ID],TabCondicoesComerciais[Volume mínimo 
(m3)],0),"")</f>
        <v/>
      </c>
      <c r="Q1134" s="2">
        <f>_xlfn.XLOOKUP(BD_Receitas[[#This Row],[ID]],TabCondicoesComerciais[ID],TabCondicoesComerciais[Vol. 1ºGiro],0)</f>
        <v>340</v>
      </c>
      <c r="R11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134" s="1">
        <f xml:space="preserve"> IF(BD_Receitas[[#This Row],[TIPO DE COBRANÇA]]="Operação Normal",
_xlfn.XLOOKUP(BD_Receitas[[#This Row],[ID]],TabCondicoesComerciais[ID],TabCondicoesComerciais[Tarifa 2º Giro],0),0)</f>
        <v>0</v>
      </c>
      <c r="T11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5" spans="1:24" x14ac:dyDescent="0.35">
      <c r="A1135" s="3" t="s">
        <v>343</v>
      </c>
      <c r="B1135" s="11">
        <v>46235</v>
      </c>
      <c r="C1135" t="s">
        <v>31</v>
      </c>
      <c r="D1135" t="s">
        <v>203</v>
      </c>
      <c r="E1135" t="s">
        <v>34</v>
      </c>
      <c r="F1135" s="10" t="s">
        <v>26</v>
      </c>
      <c r="G1135" s="3" t="s">
        <v>19</v>
      </c>
      <c r="H1135" s="3" t="s">
        <v>13</v>
      </c>
      <c r="I1135" s="3" t="s">
        <v>15</v>
      </c>
      <c r="J1135" s="1"/>
      <c r="K1135" s="12"/>
      <c r="L1135" s="1"/>
      <c r="M1135" s="12"/>
      <c r="N1135"/>
      <c r="O1135"/>
      <c r="P1135" s="2">
        <f>IF(BD_Receitas[[#This Row],[TIPO DE COBRANÇA]]="Operação Normal",
_xlfn.XLOOKUP(BD_Receitas[[#This Row],[ID]],TabCondicoesComerciais[ID],TabCondicoesComerciais[Volume mínimo 
(m3)],0),"")</f>
        <v>0</v>
      </c>
      <c r="Q1135" s="2">
        <f>_xlfn.XLOOKUP(BD_Receitas[[#This Row],[ID]],TabCondicoesComerciais[ID],TabCondicoesComerciais[Vol. 1ºGiro],0)</f>
        <v>340</v>
      </c>
      <c r="R11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35" s="1">
        <f xml:space="preserve"> IF(BD_Receitas[[#This Row],[TIPO DE COBRANÇA]]="Operação Normal",
_xlfn.XLOOKUP(BD_Receitas[[#This Row],[ID]],TabCondicoesComerciais[ID],TabCondicoesComerciais[Tarifa 2º Giro],0),0)</f>
        <v>28</v>
      </c>
      <c r="T113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36" spans="1:24" hidden="1" x14ac:dyDescent="0.35">
      <c r="A1136" s="3" t="s">
        <v>343</v>
      </c>
      <c r="B1136" s="11">
        <v>46235</v>
      </c>
      <c r="C1136" t="s">
        <v>31</v>
      </c>
      <c r="D1136" t="s">
        <v>203</v>
      </c>
      <c r="E1136" t="s">
        <v>34</v>
      </c>
      <c r="F1136" s="10" t="s">
        <v>26</v>
      </c>
      <c r="G1136" s="3" t="s">
        <v>19</v>
      </c>
      <c r="H1136" s="3" t="s">
        <v>13</v>
      </c>
      <c r="I1136" s="3" t="s">
        <v>65</v>
      </c>
      <c r="J1136" s="1"/>
      <c r="K1136" s="12"/>
      <c r="L1136" s="1"/>
      <c r="M1136" s="12"/>
      <c r="N1136"/>
      <c r="O1136"/>
      <c r="P1136" s="2" t="str">
        <f>IF(BD_Receitas[[#This Row],[TIPO DE COBRANÇA]]="Operação Normal",
_xlfn.XLOOKUP(BD_Receitas[[#This Row],[ID]],TabCondicoesComerciais[ID],TabCondicoesComerciais[Volume mínimo 
(m3)],0),"")</f>
        <v/>
      </c>
      <c r="Q1136" s="2">
        <f>_xlfn.XLOOKUP(BD_Receitas[[#This Row],[ID]],TabCondicoesComerciais[ID],TabCondicoesComerciais[Vol. 1ºGiro],0)</f>
        <v>340</v>
      </c>
      <c r="R11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36" s="1">
        <f xml:space="preserve"> IF(BD_Receitas[[#This Row],[TIPO DE COBRANÇA]]="Operação Normal",
_xlfn.XLOOKUP(BD_Receitas[[#This Row],[ID]],TabCondicoesComerciais[ID],TabCondicoesComerciais[Tarifa 2º Giro],0),0)</f>
        <v>0</v>
      </c>
      <c r="T11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7" spans="1:24" hidden="1" x14ac:dyDescent="0.35">
      <c r="A1137" s="3" t="s">
        <v>274</v>
      </c>
      <c r="B1137" s="11">
        <v>46266</v>
      </c>
      <c r="C1137" t="s">
        <v>31</v>
      </c>
      <c r="D1137" t="s">
        <v>202</v>
      </c>
      <c r="E1137" t="s">
        <v>36</v>
      </c>
      <c r="F1137" s="10" t="s">
        <v>48</v>
      </c>
      <c r="G1137" s="3" t="s">
        <v>49</v>
      </c>
      <c r="H1137" s="3" t="s">
        <v>52</v>
      </c>
      <c r="I1137" s="3" t="s">
        <v>7</v>
      </c>
      <c r="J1137" s="1">
        <v>0</v>
      </c>
      <c r="K1137" s="12">
        <v>0</v>
      </c>
      <c r="L1137" s="1"/>
      <c r="M1137" s="12"/>
      <c r="N1137"/>
      <c r="O1137"/>
      <c r="P1137" s="2" t="str">
        <f>IF(BD_Receitas[[#This Row],[TIPO DE COBRANÇA]]="Operação Normal",
_xlfn.XLOOKUP(BD_Receitas[[#This Row],[ID]],TabCondicoesComerciais[ID],TabCondicoesComerciais[Volume mínimo 
(m3)],0),"")</f>
        <v/>
      </c>
      <c r="Q1137" s="2">
        <f>_xlfn.XLOOKUP(BD_Receitas[[#This Row],[ID]],TabCondicoesComerciais[ID],TabCondicoesComerciais[Vol. 1ºGiro],0)</f>
        <v>360</v>
      </c>
      <c r="R11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137" s="1">
        <f xml:space="preserve"> IF(BD_Receitas[[#This Row],[TIPO DE COBRANÇA]]="Operação Normal",
_xlfn.XLOOKUP(BD_Receitas[[#This Row],[ID]],TabCondicoesComerciais[ID],TabCondicoesComerciais[Tarifa 2º Giro],0),0)</f>
        <v>0</v>
      </c>
      <c r="T11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8" spans="1:24" hidden="1" x14ac:dyDescent="0.35">
      <c r="A1138" s="3" t="s">
        <v>274</v>
      </c>
      <c r="B1138" s="11">
        <v>46266</v>
      </c>
      <c r="C1138" t="s">
        <v>31</v>
      </c>
      <c r="D1138" t="s">
        <v>202</v>
      </c>
      <c r="E1138" t="s">
        <v>36</v>
      </c>
      <c r="F1138" s="10" t="s">
        <v>48</v>
      </c>
      <c r="G1138" s="3" t="s">
        <v>49</v>
      </c>
      <c r="H1138" s="3" t="s">
        <v>52</v>
      </c>
      <c r="I1138" s="3" t="s">
        <v>8</v>
      </c>
      <c r="J1138" s="1">
        <v>0</v>
      </c>
      <c r="K1138" s="12">
        <v>0</v>
      </c>
      <c r="L1138" s="1"/>
      <c r="M1138" s="12"/>
      <c r="N1138"/>
      <c r="O1138"/>
      <c r="P1138" s="2" t="str">
        <f>IF(BD_Receitas[[#This Row],[TIPO DE COBRANÇA]]="Operação Normal",
_xlfn.XLOOKUP(BD_Receitas[[#This Row],[ID]],TabCondicoesComerciais[ID],TabCondicoesComerciais[Volume mínimo 
(m3)],0),"")</f>
        <v/>
      </c>
      <c r="Q1138" s="2">
        <f>_xlfn.XLOOKUP(BD_Receitas[[#This Row],[ID]],TabCondicoesComerciais[ID],TabCondicoesComerciais[Vol. 1ºGiro],0)</f>
        <v>360</v>
      </c>
      <c r="R11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138" s="1">
        <f xml:space="preserve"> IF(BD_Receitas[[#This Row],[TIPO DE COBRANÇA]]="Operação Normal",
_xlfn.XLOOKUP(BD_Receitas[[#This Row],[ID]],TabCondicoesComerciais[ID],TabCondicoesComerciais[Tarifa 2º Giro],0),0)</f>
        <v>0</v>
      </c>
      <c r="T11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39" spans="1:24" hidden="1" x14ac:dyDescent="0.35">
      <c r="A1139" s="3" t="s">
        <v>274</v>
      </c>
      <c r="B1139" s="11">
        <v>46266</v>
      </c>
      <c r="C1139" t="s">
        <v>31</v>
      </c>
      <c r="D1139" t="s">
        <v>202</v>
      </c>
      <c r="E1139" t="s">
        <v>36</v>
      </c>
      <c r="F1139" s="10" t="s">
        <v>48</v>
      </c>
      <c r="G1139" s="3" t="s">
        <v>49</v>
      </c>
      <c r="H1139" s="3" t="s">
        <v>52</v>
      </c>
      <c r="I1139" s="3" t="s">
        <v>15</v>
      </c>
      <c r="J1139" s="1">
        <v>89789.3701</v>
      </c>
      <c r="K1139" s="12">
        <v>2040</v>
      </c>
      <c r="L1139" s="1"/>
      <c r="M1139" s="12"/>
      <c r="N1139"/>
      <c r="O1139"/>
      <c r="P1139" s="2">
        <f>IF(BD_Receitas[[#This Row],[TIPO DE COBRANÇA]]="Operação Normal",
_xlfn.XLOOKUP(BD_Receitas[[#This Row],[ID]],TabCondicoesComerciais[ID],TabCondicoesComerciais[Volume mínimo 
(m3)],0),"")</f>
        <v>2040</v>
      </c>
      <c r="Q1139" s="2">
        <f>_xlfn.XLOOKUP(BD_Receitas[[#This Row],[ID]],TabCondicoesComerciais[ID],TabCondicoesComerciais[Vol. 1ºGiro],0)</f>
        <v>360</v>
      </c>
      <c r="R11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139" s="1">
        <f xml:space="preserve"> IF(BD_Receitas[[#This Row],[TIPO DE COBRANÇA]]="Operação Normal",
_xlfn.XLOOKUP(BD_Receitas[[#This Row],[ID]],TabCondicoesComerciais[ID],TabCondicoesComerciais[Tarifa 2º Giro],0),0)</f>
        <v>43.92</v>
      </c>
      <c r="T113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1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40" spans="1:24" hidden="1" x14ac:dyDescent="0.35">
      <c r="A1140" s="3" t="s">
        <v>274</v>
      </c>
      <c r="B1140" s="11">
        <v>46266</v>
      </c>
      <c r="C1140" t="s">
        <v>31</v>
      </c>
      <c r="D1140" t="s">
        <v>202</v>
      </c>
      <c r="E1140" t="s">
        <v>36</v>
      </c>
      <c r="F1140" s="10" t="s">
        <v>48</v>
      </c>
      <c r="G1140" s="3" t="s">
        <v>49</v>
      </c>
      <c r="H1140" s="3" t="s">
        <v>52</v>
      </c>
      <c r="I1140" s="3" t="s">
        <v>65</v>
      </c>
      <c r="J1140" s="1">
        <v>0</v>
      </c>
      <c r="K1140" s="12">
        <v>0</v>
      </c>
      <c r="L1140" s="1"/>
      <c r="M1140" s="12"/>
      <c r="N1140"/>
      <c r="O1140"/>
      <c r="P1140" s="2" t="str">
        <f>IF(BD_Receitas[[#This Row],[TIPO DE COBRANÇA]]="Operação Normal",
_xlfn.XLOOKUP(BD_Receitas[[#This Row],[ID]],TabCondicoesComerciais[ID],TabCondicoesComerciais[Volume mínimo 
(m3)],0),"")</f>
        <v/>
      </c>
      <c r="Q1140" s="2">
        <f>_xlfn.XLOOKUP(BD_Receitas[[#This Row],[ID]],TabCondicoesComerciais[ID],TabCondicoesComerciais[Vol. 1ºGiro],0)</f>
        <v>360</v>
      </c>
      <c r="R11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0" s="1">
        <f xml:space="preserve"> IF(BD_Receitas[[#This Row],[TIPO DE COBRANÇA]]="Operação Normal",
_xlfn.XLOOKUP(BD_Receitas[[#This Row],[ID]],TabCondicoesComerciais[ID],TabCondicoesComerciais[Tarifa 2º Giro],0),0)</f>
        <v>0</v>
      </c>
      <c r="T11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1" spans="1:24" hidden="1" x14ac:dyDescent="0.35">
      <c r="A1141" s="3" t="s">
        <v>275</v>
      </c>
      <c r="B1141" s="11">
        <v>46266</v>
      </c>
      <c r="C1141" t="s">
        <v>31</v>
      </c>
      <c r="D1141" t="s">
        <v>202</v>
      </c>
      <c r="E1141" t="s">
        <v>36</v>
      </c>
      <c r="F1141" s="10" t="s">
        <v>48</v>
      </c>
      <c r="G1141" s="3" t="s">
        <v>49</v>
      </c>
      <c r="H1141" s="3" t="s">
        <v>14</v>
      </c>
      <c r="I1141" s="3" t="s">
        <v>7</v>
      </c>
      <c r="J1141" s="1">
        <v>0</v>
      </c>
      <c r="K1141" s="12">
        <v>0</v>
      </c>
      <c r="L1141" s="1"/>
      <c r="M1141" s="12"/>
      <c r="N1141"/>
      <c r="O1141"/>
      <c r="P1141" s="2" t="str">
        <f>IF(BD_Receitas[[#This Row],[TIPO DE COBRANÇA]]="Operação Normal",
_xlfn.XLOOKUP(BD_Receitas[[#This Row],[ID]],TabCondicoesComerciais[ID],TabCondicoesComerciais[Volume mínimo 
(m3)],0),"")</f>
        <v/>
      </c>
      <c r="Q1141" s="2">
        <f>_xlfn.XLOOKUP(BD_Receitas[[#This Row],[ID]],TabCondicoesComerciais[ID],TabCondicoesComerciais[Vol. 1ºGiro],0)</f>
        <v>365</v>
      </c>
      <c r="R11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1" s="1">
        <f xml:space="preserve"> IF(BD_Receitas[[#This Row],[TIPO DE COBRANÇA]]="Operação Normal",
_xlfn.XLOOKUP(BD_Receitas[[#This Row],[ID]],TabCondicoesComerciais[ID],TabCondicoesComerciais[Tarifa 2º Giro],0),0)</f>
        <v>0</v>
      </c>
      <c r="T11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2" spans="1:24" hidden="1" x14ac:dyDescent="0.35">
      <c r="A1142" s="3" t="s">
        <v>275</v>
      </c>
      <c r="B1142" s="11">
        <v>46266</v>
      </c>
      <c r="C1142" t="s">
        <v>31</v>
      </c>
      <c r="D1142" t="s">
        <v>202</v>
      </c>
      <c r="E1142" t="s">
        <v>36</v>
      </c>
      <c r="F1142" s="10" t="s">
        <v>48</v>
      </c>
      <c r="G1142" s="3" t="s">
        <v>49</v>
      </c>
      <c r="H1142" s="3" t="s">
        <v>14</v>
      </c>
      <c r="I1142" s="3" t="s">
        <v>8</v>
      </c>
      <c r="J1142" s="1">
        <v>0</v>
      </c>
      <c r="K1142" s="12">
        <v>0</v>
      </c>
      <c r="L1142" s="1"/>
      <c r="M1142" s="12"/>
      <c r="N1142"/>
      <c r="O1142"/>
      <c r="P1142" s="2" t="str">
        <f>IF(BD_Receitas[[#This Row],[TIPO DE COBRANÇA]]="Operação Normal",
_xlfn.XLOOKUP(BD_Receitas[[#This Row],[ID]],TabCondicoesComerciais[ID],TabCondicoesComerciais[Volume mínimo 
(m3)],0),"")</f>
        <v/>
      </c>
      <c r="Q1142" s="2">
        <f>_xlfn.XLOOKUP(BD_Receitas[[#This Row],[ID]],TabCondicoesComerciais[ID],TabCondicoesComerciais[Vol. 1ºGiro],0)</f>
        <v>365</v>
      </c>
      <c r="R11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2" s="1">
        <f xml:space="preserve"> IF(BD_Receitas[[#This Row],[TIPO DE COBRANÇA]]="Operação Normal",
_xlfn.XLOOKUP(BD_Receitas[[#This Row],[ID]],TabCondicoesComerciais[ID],TabCondicoesComerciais[Tarifa 2º Giro],0),0)</f>
        <v>0</v>
      </c>
      <c r="T11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3" spans="1:24" hidden="1" x14ac:dyDescent="0.35">
      <c r="A1143" s="3" t="s">
        <v>275</v>
      </c>
      <c r="B1143" s="11">
        <v>46266</v>
      </c>
      <c r="C1143" t="s">
        <v>31</v>
      </c>
      <c r="D1143" t="s">
        <v>202</v>
      </c>
      <c r="E1143" t="s">
        <v>36</v>
      </c>
      <c r="F1143" s="10" t="s">
        <v>48</v>
      </c>
      <c r="G1143" s="3" t="s">
        <v>49</v>
      </c>
      <c r="H1143" s="3" t="s">
        <v>14</v>
      </c>
      <c r="I1143" s="3" t="s">
        <v>15</v>
      </c>
      <c r="J1143" s="1">
        <v>17995.57</v>
      </c>
      <c r="K1143" s="12">
        <v>936</v>
      </c>
      <c r="L1143" s="1"/>
      <c r="M1143" s="12"/>
      <c r="N1143"/>
      <c r="O1143"/>
      <c r="P1143" s="2">
        <f>IF(BD_Receitas[[#This Row],[TIPO DE COBRANÇA]]="Operação Normal",
_xlfn.XLOOKUP(BD_Receitas[[#This Row],[ID]],TabCondicoesComerciais[ID],TabCondicoesComerciais[Volume mínimo 
(m3)],0),"")</f>
        <v>936</v>
      </c>
      <c r="Q1143" s="2">
        <f>_xlfn.XLOOKUP(BD_Receitas[[#This Row],[ID]],TabCondicoesComerciais[ID],TabCondicoesComerciais[Vol. 1ºGiro],0)</f>
        <v>365</v>
      </c>
      <c r="R11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143" s="1">
        <f xml:space="preserve"> IF(BD_Receitas[[#This Row],[TIPO DE COBRANÇA]]="Operação Normal",
_xlfn.XLOOKUP(BD_Receitas[[#This Row],[ID]],TabCondicoesComerciais[ID],TabCondicoesComerciais[Tarifa 2º Giro],0),0)</f>
        <v>18.93</v>
      </c>
      <c r="T114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1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44" spans="1:24" hidden="1" x14ac:dyDescent="0.35">
      <c r="A1144" s="3" t="s">
        <v>275</v>
      </c>
      <c r="B1144" s="11">
        <v>46266</v>
      </c>
      <c r="C1144" t="s">
        <v>31</v>
      </c>
      <c r="D1144" t="s">
        <v>202</v>
      </c>
      <c r="E1144" t="s">
        <v>36</v>
      </c>
      <c r="F1144" s="10" t="s">
        <v>48</v>
      </c>
      <c r="G1144" s="3" t="s">
        <v>49</v>
      </c>
      <c r="H1144" s="3" t="s">
        <v>14</v>
      </c>
      <c r="I1144" s="3" t="s">
        <v>65</v>
      </c>
      <c r="J1144" s="1">
        <v>0</v>
      </c>
      <c r="K1144" s="12">
        <v>0</v>
      </c>
      <c r="L1144" s="1"/>
      <c r="M1144" s="12"/>
      <c r="N1144"/>
      <c r="O1144"/>
      <c r="P1144" s="2" t="str">
        <f>IF(BD_Receitas[[#This Row],[TIPO DE COBRANÇA]]="Operação Normal",
_xlfn.XLOOKUP(BD_Receitas[[#This Row],[ID]],TabCondicoesComerciais[ID],TabCondicoesComerciais[Volume mínimo 
(m3)],0),"")</f>
        <v/>
      </c>
      <c r="Q1144" s="2">
        <f>_xlfn.XLOOKUP(BD_Receitas[[#This Row],[ID]],TabCondicoesComerciais[ID],TabCondicoesComerciais[Vol. 1ºGiro],0)</f>
        <v>365</v>
      </c>
      <c r="R11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4" s="1">
        <f xml:space="preserve"> IF(BD_Receitas[[#This Row],[TIPO DE COBRANÇA]]="Operação Normal",
_xlfn.XLOOKUP(BD_Receitas[[#This Row],[ID]],TabCondicoesComerciais[ID],TabCondicoesComerciais[Tarifa 2º Giro],0),0)</f>
        <v>0</v>
      </c>
      <c r="T11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5" spans="1:24" hidden="1" x14ac:dyDescent="0.35">
      <c r="A1145" s="3" t="s">
        <v>208</v>
      </c>
      <c r="B1145" s="11">
        <v>46266</v>
      </c>
      <c r="C1145" t="s">
        <v>31</v>
      </c>
      <c r="D1145" t="s">
        <v>202</v>
      </c>
      <c r="E1145" t="s">
        <v>35</v>
      </c>
      <c r="F1145" s="10" t="s">
        <v>22</v>
      </c>
      <c r="G1145" s="3" t="s">
        <v>11</v>
      </c>
      <c r="H1145" s="3" t="s">
        <v>207</v>
      </c>
      <c r="I1145" s="3" t="s">
        <v>7</v>
      </c>
      <c r="J1145" s="1">
        <v>0</v>
      </c>
      <c r="K1145" s="12">
        <v>0</v>
      </c>
      <c r="L1145" s="1"/>
      <c r="M1145" s="12"/>
      <c r="N1145"/>
      <c r="O1145"/>
      <c r="P1145" s="2" t="str">
        <f>IF(BD_Receitas[[#This Row],[TIPO DE COBRANÇA]]="Operação Normal",
_xlfn.XLOOKUP(BD_Receitas[[#This Row],[ID]],TabCondicoesComerciais[ID],TabCondicoesComerciais[Volume mínimo 
(m3)],0),"")</f>
        <v/>
      </c>
      <c r="Q1145" s="2">
        <f>_xlfn.XLOOKUP(BD_Receitas[[#This Row],[ID]],TabCondicoesComerciais[ID],TabCondicoesComerciais[Vol. 1ºGiro],0)</f>
        <v>625</v>
      </c>
      <c r="R11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45" s="1">
        <f xml:space="preserve"> IF(BD_Receitas[[#This Row],[TIPO DE COBRANÇA]]="Operação Normal",
_xlfn.XLOOKUP(BD_Receitas[[#This Row],[ID]],TabCondicoesComerciais[ID],TabCondicoesComerciais[Tarifa 2º Giro],0),0)</f>
        <v>0</v>
      </c>
      <c r="T11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6" spans="1:24" hidden="1" x14ac:dyDescent="0.35">
      <c r="A1146" s="3" t="s">
        <v>208</v>
      </c>
      <c r="B1146" s="11">
        <v>46266</v>
      </c>
      <c r="C1146" t="s">
        <v>31</v>
      </c>
      <c r="D1146" t="s">
        <v>202</v>
      </c>
      <c r="E1146" t="s">
        <v>35</v>
      </c>
      <c r="F1146" s="10" t="s">
        <v>22</v>
      </c>
      <c r="G1146" s="3" t="s">
        <v>11</v>
      </c>
      <c r="H1146" s="3" t="s">
        <v>207</v>
      </c>
      <c r="I1146" s="3" t="s">
        <v>8</v>
      </c>
      <c r="J1146" s="1">
        <v>0</v>
      </c>
      <c r="K1146" s="12">
        <v>0</v>
      </c>
      <c r="L1146" s="1"/>
      <c r="M1146" s="12"/>
      <c r="N1146"/>
      <c r="O1146"/>
      <c r="P1146" s="2" t="str">
        <f>IF(BD_Receitas[[#This Row],[TIPO DE COBRANÇA]]="Operação Normal",
_xlfn.XLOOKUP(BD_Receitas[[#This Row],[ID]],TabCondicoesComerciais[ID],TabCondicoesComerciais[Volume mínimo 
(m3)],0),"")</f>
        <v/>
      </c>
      <c r="Q1146" s="2">
        <f>_xlfn.XLOOKUP(BD_Receitas[[#This Row],[ID]],TabCondicoesComerciais[ID],TabCondicoesComerciais[Vol. 1ºGiro],0)</f>
        <v>625</v>
      </c>
      <c r="R11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46" s="1">
        <f xml:space="preserve"> IF(BD_Receitas[[#This Row],[TIPO DE COBRANÇA]]="Operação Normal",
_xlfn.XLOOKUP(BD_Receitas[[#This Row],[ID]],TabCondicoesComerciais[ID],TabCondicoesComerciais[Tarifa 2º Giro],0),0)</f>
        <v>0</v>
      </c>
      <c r="T11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7" spans="1:24" hidden="1" x14ac:dyDescent="0.35">
      <c r="A1147" s="3" t="s">
        <v>208</v>
      </c>
      <c r="B1147" s="11">
        <v>46266</v>
      </c>
      <c r="C1147" t="s">
        <v>31</v>
      </c>
      <c r="D1147" t="s">
        <v>202</v>
      </c>
      <c r="E1147" t="s">
        <v>35</v>
      </c>
      <c r="F1147" s="10" t="s">
        <v>22</v>
      </c>
      <c r="G1147" s="3" t="s">
        <v>11</v>
      </c>
      <c r="H1147" s="3" t="s">
        <v>207</v>
      </c>
      <c r="I1147" s="3" t="s">
        <v>15</v>
      </c>
      <c r="J1147" s="1">
        <v>47210.53</v>
      </c>
      <c r="K1147" s="12">
        <v>1875</v>
      </c>
      <c r="L1147" s="1"/>
      <c r="M1147" s="12"/>
      <c r="N1147"/>
      <c r="O1147"/>
      <c r="P1147" s="2">
        <f>IF(BD_Receitas[[#This Row],[TIPO DE COBRANÇA]]="Operação Normal",
_xlfn.XLOOKUP(BD_Receitas[[#This Row],[ID]],TabCondicoesComerciais[ID],TabCondicoesComerciais[Volume mínimo 
(m3)],0),"")</f>
        <v>1875</v>
      </c>
      <c r="Q1147" s="2">
        <f>_xlfn.XLOOKUP(BD_Receitas[[#This Row],[ID]],TabCondicoesComerciais[ID],TabCondicoesComerciais[Vol. 1ºGiro],0)</f>
        <v>625</v>
      </c>
      <c r="R11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147" s="1">
        <f xml:space="preserve"> IF(BD_Receitas[[#This Row],[TIPO DE COBRANÇA]]="Operação Normal",
_xlfn.XLOOKUP(BD_Receitas[[#This Row],[ID]],TabCondicoesComerciais[ID],TabCondicoesComerciais[Tarifa 2º Giro],0),0)</f>
        <v>33</v>
      </c>
      <c r="T114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1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48" spans="1:24" hidden="1" x14ac:dyDescent="0.35">
      <c r="A1148" s="3" t="s">
        <v>208</v>
      </c>
      <c r="B1148" s="11">
        <v>46266</v>
      </c>
      <c r="C1148" t="s">
        <v>31</v>
      </c>
      <c r="D1148" t="s">
        <v>202</v>
      </c>
      <c r="E1148" t="s">
        <v>35</v>
      </c>
      <c r="F1148" s="10" t="s">
        <v>22</v>
      </c>
      <c r="G1148" s="3" t="s">
        <v>11</v>
      </c>
      <c r="H1148" s="3" t="s">
        <v>207</v>
      </c>
      <c r="I1148" s="3" t="s">
        <v>65</v>
      </c>
      <c r="J1148" s="1">
        <v>0</v>
      </c>
      <c r="K1148" s="12">
        <v>0</v>
      </c>
      <c r="L1148" s="1"/>
      <c r="M1148" s="12"/>
      <c r="N1148"/>
      <c r="O1148"/>
      <c r="P1148" s="2" t="str">
        <f>IF(BD_Receitas[[#This Row],[TIPO DE COBRANÇA]]="Operação Normal",
_xlfn.XLOOKUP(BD_Receitas[[#This Row],[ID]],TabCondicoesComerciais[ID],TabCondicoesComerciais[Volume mínimo 
(m3)],0),"")</f>
        <v/>
      </c>
      <c r="Q1148" s="2">
        <f>_xlfn.XLOOKUP(BD_Receitas[[#This Row],[ID]],TabCondicoesComerciais[ID],TabCondicoesComerciais[Vol. 1ºGiro],0)</f>
        <v>625</v>
      </c>
      <c r="R11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8" s="1">
        <f xml:space="preserve"> IF(BD_Receitas[[#This Row],[TIPO DE COBRANÇA]]="Operação Normal",
_xlfn.XLOOKUP(BD_Receitas[[#This Row],[ID]],TabCondicoesComerciais[ID],TabCondicoesComerciais[Tarifa 2º Giro],0),0)</f>
        <v>0</v>
      </c>
      <c r="T11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49" spans="1:24" hidden="1" x14ac:dyDescent="0.35">
      <c r="A1149" s="3" t="s">
        <v>190</v>
      </c>
      <c r="B1149" s="11">
        <v>46266</v>
      </c>
      <c r="C1149" t="s">
        <v>31</v>
      </c>
      <c r="D1149" t="s">
        <v>202</v>
      </c>
      <c r="E1149" t="s">
        <v>35</v>
      </c>
      <c r="F1149" s="10" t="s">
        <v>22</v>
      </c>
      <c r="G1149" s="3" t="s">
        <v>11</v>
      </c>
      <c r="H1149" s="3" t="s">
        <v>116</v>
      </c>
      <c r="I1149" s="3" t="s">
        <v>7</v>
      </c>
      <c r="J1149" s="1">
        <v>0</v>
      </c>
      <c r="K1149" s="12">
        <v>0</v>
      </c>
      <c r="L1149" s="1"/>
      <c r="M1149" s="12"/>
      <c r="N1149"/>
      <c r="O1149"/>
      <c r="P1149" s="2" t="str">
        <f>IF(BD_Receitas[[#This Row],[TIPO DE COBRANÇA]]="Operação Normal",
_xlfn.XLOOKUP(BD_Receitas[[#This Row],[ID]],TabCondicoesComerciais[ID],TabCondicoesComerciais[Volume mínimo 
(m3)],0),"")</f>
        <v/>
      </c>
      <c r="Q1149" s="2">
        <f>_xlfn.XLOOKUP(BD_Receitas[[#This Row],[ID]],TabCondicoesComerciais[ID],TabCondicoesComerciais[Vol. 1ºGiro],0)</f>
        <v>580</v>
      </c>
      <c r="R11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49" s="1">
        <f xml:space="preserve"> IF(BD_Receitas[[#This Row],[TIPO DE COBRANÇA]]="Operação Normal",
_xlfn.XLOOKUP(BD_Receitas[[#This Row],[ID]],TabCondicoesComerciais[ID],TabCondicoesComerciais[Tarifa 2º Giro],0),0)</f>
        <v>0</v>
      </c>
      <c r="T11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0" spans="1:24" hidden="1" x14ac:dyDescent="0.35">
      <c r="A1150" s="3" t="s">
        <v>190</v>
      </c>
      <c r="B1150" s="11">
        <v>46266</v>
      </c>
      <c r="C1150" t="s">
        <v>31</v>
      </c>
      <c r="D1150" t="s">
        <v>202</v>
      </c>
      <c r="E1150" t="s">
        <v>35</v>
      </c>
      <c r="F1150" s="10" t="s">
        <v>22</v>
      </c>
      <c r="G1150" s="3" t="s">
        <v>11</v>
      </c>
      <c r="H1150" s="3" t="s">
        <v>116</v>
      </c>
      <c r="I1150" s="3" t="s">
        <v>8</v>
      </c>
      <c r="J1150" s="1">
        <v>0</v>
      </c>
      <c r="K1150" s="12">
        <v>0</v>
      </c>
      <c r="L1150" s="1"/>
      <c r="M1150" s="12"/>
      <c r="N1150"/>
      <c r="O1150"/>
      <c r="P1150" s="2" t="str">
        <f>IF(BD_Receitas[[#This Row],[TIPO DE COBRANÇA]]="Operação Normal",
_xlfn.XLOOKUP(BD_Receitas[[#This Row],[ID]],TabCondicoesComerciais[ID],TabCondicoesComerciais[Volume mínimo 
(m3)],0),"")</f>
        <v/>
      </c>
      <c r="Q1150" s="2">
        <f>_xlfn.XLOOKUP(BD_Receitas[[#This Row],[ID]],TabCondicoesComerciais[ID],TabCondicoesComerciais[Vol. 1ºGiro],0)</f>
        <v>580</v>
      </c>
      <c r="R11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50" s="1">
        <f xml:space="preserve"> IF(BD_Receitas[[#This Row],[TIPO DE COBRANÇA]]="Operação Normal",
_xlfn.XLOOKUP(BD_Receitas[[#This Row],[ID]],TabCondicoesComerciais[ID],TabCondicoesComerciais[Tarifa 2º Giro],0),0)</f>
        <v>0</v>
      </c>
      <c r="T11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1" spans="1:24" hidden="1" x14ac:dyDescent="0.35">
      <c r="A1151" s="3" t="s">
        <v>190</v>
      </c>
      <c r="B1151" s="11">
        <v>46266</v>
      </c>
      <c r="C1151" t="s">
        <v>31</v>
      </c>
      <c r="D1151" t="s">
        <v>202</v>
      </c>
      <c r="E1151" t="s">
        <v>35</v>
      </c>
      <c r="F1151" s="10" t="s">
        <v>22</v>
      </c>
      <c r="G1151" s="3" t="s">
        <v>11</v>
      </c>
      <c r="H1151" s="3" t="s">
        <v>116</v>
      </c>
      <c r="I1151" s="3" t="s">
        <v>15</v>
      </c>
      <c r="J1151" s="1">
        <v>0</v>
      </c>
      <c r="K1151" s="12">
        <v>0</v>
      </c>
      <c r="L1151" s="1"/>
      <c r="M1151" s="12"/>
      <c r="N1151"/>
      <c r="O1151"/>
      <c r="P1151" s="2">
        <f>IF(BD_Receitas[[#This Row],[TIPO DE COBRANÇA]]="Operação Normal",
_xlfn.XLOOKUP(BD_Receitas[[#This Row],[ID]],TabCondicoesComerciais[ID],TabCondicoesComerciais[Volume mínimo 
(m3)],0),"")</f>
        <v>2000</v>
      </c>
      <c r="Q1151" s="2">
        <f>_xlfn.XLOOKUP(BD_Receitas[[#This Row],[ID]],TabCondicoesComerciais[ID],TabCondicoesComerciais[Vol. 1ºGiro],0)</f>
        <v>580</v>
      </c>
      <c r="R11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151" s="1">
        <f xml:space="preserve"> IF(BD_Receitas[[#This Row],[TIPO DE COBRANÇA]]="Operação Normal",
_xlfn.XLOOKUP(BD_Receitas[[#This Row],[ID]],TabCondicoesComerciais[ID],TabCondicoesComerciais[Tarifa 2º Giro],0),0)</f>
        <v>27</v>
      </c>
      <c r="T115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1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52" spans="1:24" hidden="1" x14ac:dyDescent="0.35">
      <c r="A1152" s="3" t="s">
        <v>190</v>
      </c>
      <c r="B1152" s="11">
        <v>46266</v>
      </c>
      <c r="C1152" t="s">
        <v>31</v>
      </c>
      <c r="D1152" t="s">
        <v>202</v>
      </c>
      <c r="E1152" t="s">
        <v>35</v>
      </c>
      <c r="F1152" s="10" t="s">
        <v>22</v>
      </c>
      <c r="G1152" s="3" t="s">
        <v>11</v>
      </c>
      <c r="H1152" s="3" t="s">
        <v>116</v>
      </c>
      <c r="I1152" s="3" t="s">
        <v>65</v>
      </c>
      <c r="J1152" s="1">
        <v>0</v>
      </c>
      <c r="K1152" s="12">
        <v>0</v>
      </c>
      <c r="L1152" s="1"/>
      <c r="M1152" s="12"/>
      <c r="N1152"/>
      <c r="O1152"/>
      <c r="P1152" s="2" t="str">
        <f>IF(BD_Receitas[[#This Row],[TIPO DE COBRANÇA]]="Operação Normal",
_xlfn.XLOOKUP(BD_Receitas[[#This Row],[ID]],TabCondicoesComerciais[ID],TabCondicoesComerciais[Volume mínimo 
(m3)],0),"")</f>
        <v/>
      </c>
      <c r="Q1152" s="2">
        <f>_xlfn.XLOOKUP(BD_Receitas[[#This Row],[ID]],TabCondicoesComerciais[ID],TabCondicoesComerciais[Vol. 1ºGiro],0)</f>
        <v>580</v>
      </c>
      <c r="R11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52" s="1">
        <f xml:space="preserve"> IF(BD_Receitas[[#This Row],[TIPO DE COBRANÇA]]="Operação Normal",
_xlfn.XLOOKUP(BD_Receitas[[#This Row],[ID]],TabCondicoesComerciais[ID],TabCondicoesComerciais[Tarifa 2º Giro],0),0)</f>
        <v>0</v>
      </c>
      <c r="T11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3" spans="1:24" hidden="1" x14ac:dyDescent="0.35">
      <c r="A1153" s="3" t="s">
        <v>172</v>
      </c>
      <c r="B1153" s="11">
        <v>46266</v>
      </c>
      <c r="C1153" t="s">
        <v>31</v>
      </c>
      <c r="D1153" t="s">
        <v>202</v>
      </c>
      <c r="E1153" t="s">
        <v>35</v>
      </c>
      <c r="F1153" s="10" t="s">
        <v>22</v>
      </c>
      <c r="G1153" s="3" t="s">
        <v>11</v>
      </c>
      <c r="H1153" s="3" t="s">
        <v>13</v>
      </c>
      <c r="I1153" s="3" t="s">
        <v>7</v>
      </c>
      <c r="J1153" s="1">
        <v>0</v>
      </c>
      <c r="K1153" s="12">
        <v>0</v>
      </c>
      <c r="L1153" s="1"/>
      <c r="M1153" s="12"/>
      <c r="N1153"/>
      <c r="O1153"/>
      <c r="P1153" s="2" t="str">
        <f>IF(BD_Receitas[[#This Row],[TIPO DE COBRANÇA]]="Operação Normal",
_xlfn.XLOOKUP(BD_Receitas[[#This Row],[ID]],TabCondicoesComerciais[ID],TabCondicoesComerciais[Volume mínimo 
(m3)],0),"")</f>
        <v/>
      </c>
      <c r="Q1153" s="2">
        <f>_xlfn.XLOOKUP(BD_Receitas[[#This Row],[ID]],TabCondicoesComerciais[ID],TabCondicoesComerciais[Vol. 1ºGiro],0)</f>
        <v>750</v>
      </c>
      <c r="R11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153" s="1">
        <f xml:space="preserve"> IF(BD_Receitas[[#This Row],[TIPO DE COBRANÇA]]="Operação Normal",
_xlfn.XLOOKUP(BD_Receitas[[#This Row],[ID]],TabCondicoesComerciais[ID],TabCondicoesComerciais[Tarifa 2º Giro],0),0)</f>
        <v>0</v>
      </c>
      <c r="T11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4" spans="1:24" hidden="1" x14ac:dyDescent="0.35">
      <c r="A1154" s="3" t="s">
        <v>172</v>
      </c>
      <c r="B1154" s="11">
        <v>46266</v>
      </c>
      <c r="C1154" t="s">
        <v>31</v>
      </c>
      <c r="D1154" t="s">
        <v>202</v>
      </c>
      <c r="E1154" t="s">
        <v>35</v>
      </c>
      <c r="F1154" s="10" t="s">
        <v>22</v>
      </c>
      <c r="G1154" s="3" t="s">
        <v>11</v>
      </c>
      <c r="H1154" s="3" t="s">
        <v>13</v>
      </c>
      <c r="I1154" s="3" t="s">
        <v>8</v>
      </c>
      <c r="J1154" s="1">
        <v>0</v>
      </c>
      <c r="K1154" s="12">
        <v>0</v>
      </c>
      <c r="L1154" s="1"/>
      <c r="M1154" s="12"/>
      <c r="N1154"/>
      <c r="O1154"/>
      <c r="P1154" s="2" t="str">
        <f>IF(BD_Receitas[[#This Row],[TIPO DE COBRANÇA]]="Operação Normal",
_xlfn.XLOOKUP(BD_Receitas[[#This Row],[ID]],TabCondicoesComerciais[ID],TabCondicoesComerciais[Volume mínimo 
(m3)],0),"")</f>
        <v/>
      </c>
      <c r="Q1154" s="2">
        <f>_xlfn.XLOOKUP(BD_Receitas[[#This Row],[ID]],TabCondicoesComerciais[ID],TabCondicoesComerciais[Vol. 1ºGiro],0)</f>
        <v>750</v>
      </c>
      <c r="R11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154" s="1">
        <f xml:space="preserve"> IF(BD_Receitas[[#This Row],[TIPO DE COBRANÇA]]="Operação Normal",
_xlfn.XLOOKUP(BD_Receitas[[#This Row],[ID]],TabCondicoesComerciais[ID],TabCondicoesComerciais[Tarifa 2º Giro],0),0)</f>
        <v>0</v>
      </c>
      <c r="T11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5" spans="1:24" hidden="1" x14ac:dyDescent="0.35">
      <c r="A1155" s="3" t="s">
        <v>172</v>
      </c>
      <c r="B1155" s="11">
        <v>46266</v>
      </c>
      <c r="C1155" t="s">
        <v>31</v>
      </c>
      <c r="D1155" t="s">
        <v>202</v>
      </c>
      <c r="E1155" t="s">
        <v>35</v>
      </c>
      <c r="F1155" s="10" t="s">
        <v>22</v>
      </c>
      <c r="G1155" s="3" t="s">
        <v>11</v>
      </c>
      <c r="H1155" s="3" t="s">
        <v>13</v>
      </c>
      <c r="I1155" s="3" t="s">
        <v>15</v>
      </c>
      <c r="J1155" s="1">
        <v>0</v>
      </c>
      <c r="K1155" s="12">
        <v>0</v>
      </c>
      <c r="L1155" s="1"/>
      <c r="M1155" s="12"/>
      <c r="N1155"/>
      <c r="O1155"/>
      <c r="P1155" s="2">
        <f>IF(BD_Receitas[[#This Row],[TIPO DE COBRANÇA]]="Operação Normal",
_xlfn.XLOOKUP(BD_Receitas[[#This Row],[ID]],TabCondicoesComerciais[ID],TabCondicoesComerciais[Volume mínimo 
(m3)],0),"")</f>
        <v>0</v>
      </c>
      <c r="Q1155" s="2">
        <f>_xlfn.XLOOKUP(BD_Receitas[[#This Row],[ID]],TabCondicoesComerciais[ID],TabCondicoesComerciais[Vol. 1ºGiro],0)</f>
        <v>750</v>
      </c>
      <c r="R11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155" s="1">
        <f xml:space="preserve"> IF(BD_Receitas[[#This Row],[TIPO DE COBRANÇA]]="Operação Normal",
_xlfn.XLOOKUP(BD_Receitas[[#This Row],[ID]],TabCondicoesComerciais[ID],TabCondicoesComerciais[Tarifa 2º Giro],0),0)</f>
        <v>22.2</v>
      </c>
      <c r="T115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56" spans="1:24" hidden="1" x14ac:dyDescent="0.35">
      <c r="A1156" s="3" t="s">
        <v>172</v>
      </c>
      <c r="B1156" s="11">
        <v>46266</v>
      </c>
      <c r="C1156" t="s">
        <v>31</v>
      </c>
      <c r="D1156" t="s">
        <v>202</v>
      </c>
      <c r="E1156" t="s">
        <v>35</v>
      </c>
      <c r="F1156" s="10" t="s">
        <v>22</v>
      </c>
      <c r="G1156" s="3" t="s">
        <v>11</v>
      </c>
      <c r="H1156" s="3" t="s">
        <v>13</v>
      </c>
      <c r="I1156" s="3" t="s">
        <v>65</v>
      </c>
      <c r="J1156" s="1">
        <v>0</v>
      </c>
      <c r="K1156" s="12">
        <v>0</v>
      </c>
      <c r="L1156" s="1"/>
      <c r="M1156" s="12"/>
      <c r="N1156"/>
      <c r="O1156"/>
      <c r="P1156" s="2" t="str">
        <f>IF(BD_Receitas[[#This Row],[TIPO DE COBRANÇA]]="Operação Normal",
_xlfn.XLOOKUP(BD_Receitas[[#This Row],[ID]],TabCondicoesComerciais[ID],TabCondicoesComerciais[Volume mínimo 
(m3)],0),"")</f>
        <v/>
      </c>
      <c r="Q1156" s="2">
        <f>_xlfn.XLOOKUP(BD_Receitas[[#This Row],[ID]],TabCondicoesComerciais[ID],TabCondicoesComerciais[Vol. 1ºGiro],0)</f>
        <v>750</v>
      </c>
      <c r="R11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56" s="1">
        <f xml:space="preserve"> IF(BD_Receitas[[#This Row],[TIPO DE COBRANÇA]]="Operação Normal",
_xlfn.XLOOKUP(BD_Receitas[[#This Row],[ID]],TabCondicoesComerciais[ID],TabCondicoesComerciais[Tarifa 2º Giro],0),0)</f>
        <v>0</v>
      </c>
      <c r="T11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7" spans="1:24" hidden="1" x14ac:dyDescent="0.35">
      <c r="A1157" s="3" t="s">
        <v>201</v>
      </c>
      <c r="B1157" s="11">
        <v>46266</v>
      </c>
      <c r="C1157" t="s">
        <v>31</v>
      </c>
      <c r="D1157" t="s">
        <v>202</v>
      </c>
      <c r="E1157" t="s">
        <v>35</v>
      </c>
      <c r="F1157" s="10" t="s">
        <v>22</v>
      </c>
      <c r="G1157" s="3" t="s">
        <v>11</v>
      </c>
      <c r="H1157" s="3" t="s">
        <v>6</v>
      </c>
      <c r="I1157" s="3" t="s">
        <v>7</v>
      </c>
      <c r="J1157" s="1"/>
      <c r="K1157" s="12"/>
      <c r="L1157" s="1"/>
      <c r="M1157" s="12"/>
      <c r="N1157"/>
      <c r="O1157"/>
      <c r="P1157" s="2" t="str">
        <f>IF(BD_Receitas[[#This Row],[TIPO DE COBRANÇA]]="Operação Normal",
_xlfn.XLOOKUP(BD_Receitas[[#This Row],[ID]],TabCondicoesComerciais[ID],TabCondicoesComerciais[Volume mínimo 
(m3)],0),"")</f>
        <v/>
      </c>
      <c r="Q1157" s="2">
        <f>_xlfn.XLOOKUP(BD_Receitas[[#This Row],[ID]],TabCondicoesComerciais[ID],TabCondicoesComerciais[Vol. 1ºGiro],0)</f>
        <v>300</v>
      </c>
      <c r="R11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57" s="1">
        <f xml:space="preserve"> IF(BD_Receitas[[#This Row],[TIPO DE COBRANÇA]]="Operação Normal",
_xlfn.XLOOKUP(BD_Receitas[[#This Row],[ID]],TabCondicoesComerciais[ID],TabCondicoesComerciais[Tarifa 2º Giro],0),0)</f>
        <v>0</v>
      </c>
      <c r="T11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8" spans="1:24" hidden="1" x14ac:dyDescent="0.35">
      <c r="A1158" s="3" t="s">
        <v>201</v>
      </c>
      <c r="B1158" s="11">
        <v>46266</v>
      </c>
      <c r="C1158" t="s">
        <v>31</v>
      </c>
      <c r="D1158" t="s">
        <v>202</v>
      </c>
      <c r="E1158" t="s">
        <v>35</v>
      </c>
      <c r="F1158" s="10" t="s">
        <v>22</v>
      </c>
      <c r="G1158" s="3" t="s">
        <v>11</v>
      </c>
      <c r="H1158" s="3" t="s">
        <v>6</v>
      </c>
      <c r="I1158" s="3" t="s">
        <v>8</v>
      </c>
      <c r="J1158" s="1"/>
      <c r="K1158" s="12"/>
      <c r="L1158" s="1"/>
      <c r="M1158" s="12"/>
      <c r="N1158"/>
      <c r="O1158"/>
      <c r="P1158" s="2" t="str">
        <f>IF(BD_Receitas[[#This Row],[TIPO DE COBRANÇA]]="Operação Normal",
_xlfn.XLOOKUP(BD_Receitas[[#This Row],[ID]],TabCondicoesComerciais[ID],TabCondicoesComerciais[Volume mínimo 
(m3)],0),"")</f>
        <v/>
      </c>
      <c r="Q1158" s="2">
        <f>_xlfn.XLOOKUP(BD_Receitas[[#This Row],[ID]],TabCondicoesComerciais[ID],TabCondicoesComerciais[Vol. 1ºGiro],0)</f>
        <v>300</v>
      </c>
      <c r="R11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58" s="1">
        <f xml:space="preserve"> IF(BD_Receitas[[#This Row],[TIPO DE COBRANÇA]]="Operação Normal",
_xlfn.XLOOKUP(BD_Receitas[[#This Row],[ID]],TabCondicoesComerciais[ID],TabCondicoesComerciais[Tarifa 2º Giro],0),0)</f>
        <v>0</v>
      </c>
      <c r="T11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59" spans="1:24" hidden="1" x14ac:dyDescent="0.35">
      <c r="A1159" s="3" t="s">
        <v>201</v>
      </c>
      <c r="B1159" s="11">
        <v>46266</v>
      </c>
      <c r="C1159" t="s">
        <v>31</v>
      </c>
      <c r="D1159" t="s">
        <v>202</v>
      </c>
      <c r="E1159" t="s">
        <v>35</v>
      </c>
      <c r="F1159" s="10" t="s">
        <v>22</v>
      </c>
      <c r="G1159" s="3" t="s">
        <v>11</v>
      </c>
      <c r="H1159" s="3" t="s">
        <v>6</v>
      </c>
      <c r="I1159" s="3" t="s">
        <v>15</v>
      </c>
      <c r="J1159" s="1"/>
      <c r="K1159" s="12"/>
      <c r="L1159" s="1"/>
      <c r="M1159" s="12"/>
      <c r="N1159"/>
      <c r="O1159"/>
      <c r="P1159" s="2">
        <f>IF(BD_Receitas[[#This Row],[TIPO DE COBRANÇA]]="Operação Normal",
_xlfn.XLOOKUP(BD_Receitas[[#This Row],[ID]],TabCondicoesComerciais[ID],TabCondicoesComerciais[Volume mínimo 
(m3)],0),"")</f>
        <v>0</v>
      </c>
      <c r="Q1159" s="2">
        <f>_xlfn.XLOOKUP(BD_Receitas[[#This Row],[ID]],TabCondicoesComerciais[ID],TabCondicoesComerciais[Vol. 1ºGiro],0)</f>
        <v>300</v>
      </c>
      <c r="R11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159" s="1">
        <f xml:space="preserve"> IF(BD_Receitas[[#This Row],[TIPO DE COBRANÇA]]="Operação Normal",
_xlfn.XLOOKUP(BD_Receitas[[#This Row],[ID]],TabCondicoesComerciais[ID],TabCondicoesComerciais[Tarifa 2º Giro],0),0)</f>
        <v>30</v>
      </c>
      <c r="T11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60" spans="1:24" hidden="1" x14ac:dyDescent="0.35">
      <c r="A1160" s="3" t="s">
        <v>201</v>
      </c>
      <c r="B1160" s="11">
        <v>46266</v>
      </c>
      <c r="C1160" t="s">
        <v>31</v>
      </c>
      <c r="D1160" t="s">
        <v>202</v>
      </c>
      <c r="E1160" t="s">
        <v>35</v>
      </c>
      <c r="F1160" s="10" t="s">
        <v>22</v>
      </c>
      <c r="G1160" s="3" t="s">
        <v>11</v>
      </c>
      <c r="H1160" s="3" t="s">
        <v>6</v>
      </c>
      <c r="I1160" s="3" t="s">
        <v>65</v>
      </c>
      <c r="J1160" s="1"/>
      <c r="K1160" s="12"/>
      <c r="L1160" s="1"/>
      <c r="M1160" s="12"/>
      <c r="N1160"/>
      <c r="O1160"/>
      <c r="P1160" s="2" t="str">
        <f>IF(BD_Receitas[[#This Row],[TIPO DE COBRANÇA]]="Operação Normal",
_xlfn.XLOOKUP(BD_Receitas[[#This Row],[ID]],TabCondicoesComerciais[ID],TabCondicoesComerciais[Volume mínimo 
(m3)],0),"")</f>
        <v/>
      </c>
      <c r="Q1160" s="2">
        <f>_xlfn.XLOOKUP(BD_Receitas[[#This Row],[ID]],TabCondicoesComerciais[ID],TabCondicoesComerciais[Vol. 1ºGiro],0)</f>
        <v>300</v>
      </c>
      <c r="R11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60" s="1">
        <f xml:space="preserve"> IF(BD_Receitas[[#This Row],[TIPO DE COBRANÇA]]="Operação Normal",
_xlfn.XLOOKUP(BD_Receitas[[#This Row],[ID]],TabCondicoesComerciais[ID],TabCondicoesComerciais[Tarifa 2º Giro],0),0)</f>
        <v>0</v>
      </c>
      <c r="T11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1" spans="1:24" hidden="1" x14ac:dyDescent="0.35">
      <c r="A1161" s="3" t="s">
        <v>177</v>
      </c>
      <c r="B1161" s="11">
        <v>46266</v>
      </c>
      <c r="C1161" t="s">
        <v>31</v>
      </c>
      <c r="D1161" t="s">
        <v>62</v>
      </c>
      <c r="E1161" t="s">
        <v>33</v>
      </c>
      <c r="F1161" s="10" t="s">
        <v>46</v>
      </c>
      <c r="G1161" s="3" t="s">
        <v>87</v>
      </c>
      <c r="H1161" s="3" t="s">
        <v>9</v>
      </c>
      <c r="I1161" s="3" t="s">
        <v>7</v>
      </c>
      <c r="J1161" s="1">
        <v>0</v>
      </c>
      <c r="K1161" s="12">
        <v>0</v>
      </c>
      <c r="L1161" s="1"/>
      <c r="M1161" s="12"/>
      <c r="N1161"/>
      <c r="O1161"/>
      <c r="P1161" s="2" t="str">
        <f>IF(BD_Receitas[[#This Row],[TIPO DE COBRANÇA]]="Operação Normal",
_xlfn.XLOOKUP(BD_Receitas[[#This Row],[ID]],TabCondicoesComerciais[ID],TabCondicoesComerciais[Volume mínimo 
(m3)],0),"")</f>
        <v/>
      </c>
      <c r="Q1161" s="2">
        <f>_xlfn.XLOOKUP(BD_Receitas[[#This Row],[ID]],TabCondicoesComerciais[ID],TabCondicoesComerciais[Vol. 1ºGiro],0)</f>
        <v>1070</v>
      </c>
      <c r="R11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161" s="1">
        <f xml:space="preserve"> IF(BD_Receitas[[#This Row],[TIPO DE COBRANÇA]]="Operação Normal",
_xlfn.XLOOKUP(BD_Receitas[[#This Row],[ID]],TabCondicoesComerciais[ID],TabCondicoesComerciais[Tarifa 2º Giro],0),0)</f>
        <v>0</v>
      </c>
      <c r="T11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2" spans="1:24" hidden="1" x14ac:dyDescent="0.35">
      <c r="A1162" s="3" t="s">
        <v>177</v>
      </c>
      <c r="B1162" s="11">
        <v>46266</v>
      </c>
      <c r="C1162" t="s">
        <v>31</v>
      </c>
      <c r="D1162" t="s">
        <v>62</v>
      </c>
      <c r="E1162" t="s">
        <v>33</v>
      </c>
      <c r="F1162" s="10" t="s">
        <v>46</v>
      </c>
      <c r="G1162" s="3" t="s">
        <v>87</v>
      </c>
      <c r="H1162" s="3" t="s">
        <v>9</v>
      </c>
      <c r="I1162" s="3" t="s">
        <v>8</v>
      </c>
      <c r="J1162" s="1">
        <v>0</v>
      </c>
      <c r="K1162" s="12">
        <v>0</v>
      </c>
      <c r="L1162" s="1"/>
      <c r="M1162" s="12"/>
      <c r="N1162"/>
      <c r="O1162"/>
      <c r="P1162" s="2" t="str">
        <f>IF(BD_Receitas[[#This Row],[TIPO DE COBRANÇA]]="Operação Normal",
_xlfn.XLOOKUP(BD_Receitas[[#This Row],[ID]],TabCondicoesComerciais[ID],TabCondicoesComerciais[Volume mínimo 
(m3)],0),"")</f>
        <v/>
      </c>
      <c r="Q1162" s="2">
        <f>_xlfn.XLOOKUP(BD_Receitas[[#This Row],[ID]],TabCondicoesComerciais[ID],TabCondicoesComerciais[Vol. 1ºGiro],0)</f>
        <v>1070</v>
      </c>
      <c r="R11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162" s="1">
        <f xml:space="preserve"> IF(BD_Receitas[[#This Row],[TIPO DE COBRANÇA]]="Operação Normal",
_xlfn.XLOOKUP(BD_Receitas[[#This Row],[ID]],TabCondicoesComerciais[ID],TabCondicoesComerciais[Tarifa 2º Giro],0),0)</f>
        <v>0</v>
      </c>
      <c r="T11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3" spans="1:24" hidden="1" x14ac:dyDescent="0.35">
      <c r="A1163" s="3" t="s">
        <v>177</v>
      </c>
      <c r="B1163" s="11">
        <v>46266</v>
      </c>
      <c r="C1163" t="s">
        <v>31</v>
      </c>
      <c r="D1163" t="s">
        <v>62</v>
      </c>
      <c r="E1163" t="s">
        <v>33</v>
      </c>
      <c r="F1163" s="10" t="s">
        <v>46</v>
      </c>
      <c r="G1163" s="3" t="s">
        <v>87</v>
      </c>
      <c r="H1163" s="3" t="s">
        <v>9</v>
      </c>
      <c r="I1163" s="3" t="s">
        <v>15</v>
      </c>
      <c r="J1163" s="1">
        <v>65348.32</v>
      </c>
      <c r="K1163" s="12">
        <v>1926</v>
      </c>
      <c r="L1163" s="1"/>
      <c r="M1163" s="12"/>
      <c r="N1163"/>
      <c r="O1163"/>
      <c r="P1163" s="2">
        <f>IF(BD_Receitas[[#This Row],[TIPO DE COBRANÇA]]="Operação Normal",
_xlfn.XLOOKUP(BD_Receitas[[#This Row],[ID]],TabCondicoesComerciais[ID],TabCondicoesComerciais[Volume mínimo 
(m3)],0),"")</f>
        <v>3210</v>
      </c>
      <c r="Q1163" s="2">
        <f>_xlfn.XLOOKUP(BD_Receitas[[#This Row],[ID]],TabCondicoesComerciais[ID],TabCondicoesComerciais[Vol. 1ºGiro],0)</f>
        <v>1070</v>
      </c>
      <c r="R11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163" s="1">
        <f xml:space="preserve"> IF(BD_Receitas[[#This Row],[TIPO DE COBRANÇA]]="Operação Normal",
_xlfn.XLOOKUP(BD_Receitas[[#This Row],[ID]],TabCondicoesComerciais[ID],TabCondicoesComerciais[Tarifa 2º Giro],0),0)</f>
        <v>32.64</v>
      </c>
      <c r="T116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1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64" spans="1:24" hidden="1" x14ac:dyDescent="0.35">
      <c r="A1164" s="3" t="s">
        <v>177</v>
      </c>
      <c r="B1164" s="11">
        <v>46266</v>
      </c>
      <c r="C1164" t="s">
        <v>31</v>
      </c>
      <c r="D1164" t="s">
        <v>62</v>
      </c>
      <c r="E1164" t="s">
        <v>33</v>
      </c>
      <c r="F1164" s="10" t="s">
        <v>46</v>
      </c>
      <c r="G1164" s="3" t="s">
        <v>87</v>
      </c>
      <c r="H1164" s="3" t="s">
        <v>9</v>
      </c>
      <c r="I1164" s="3" t="s">
        <v>65</v>
      </c>
      <c r="J1164" s="1">
        <v>0</v>
      </c>
      <c r="K1164" s="12">
        <v>0</v>
      </c>
      <c r="L1164" s="1"/>
      <c r="M1164" s="12"/>
      <c r="N1164"/>
      <c r="O1164"/>
      <c r="P1164" s="2" t="str">
        <f>IF(BD_Receitas[[#This Row],[TIPO DE COBRANÇA]]="Operação Normal",
_xlfn.XLOOKUP(BD_Receitas[[#This Row],[ID]],TabCondicoesComerciais[ID],TabCondicoesComerciais[Volume mínimo 
(m3)],0),"")</f>
        <v/>
      </c>
      <c r="Q1164" s="2">
        <f>_xlfn.XLOOKUP(BD_Receitas[[#This Row],[ID]],TabCondicoesComerciais[ID],TabCondicoesComerciais[Vol. 1ºGiro],0)</f>
        <v>1070</v>
      </c>
      <c r="R11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64" s="1">
        <f xml:space="preserve"> IF(BD_Receitas[[#This Row],[TIPO DE COBRANÇA]]="Operação Normal",
_xlfn.XLOOKUP(BD_Receitas[[#This Row],[ID]],TabCondicoesComerciais[ID],TabCondicoesComerciais[Tarifa 2º Giro],0),0)</f>
        <v>0</v>
      </c>
      <c r="T11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5" spans="1:24" hidden="1" x14ac:dyDescent="0.35">
      <c r="A1165" s="3" t="s">
        <v>200</v>
      </c>
      <c r="B1165" s="11">
        <v>46266</v>
      </c>
      <c r="C1165" t="s">
        <v>31</v>
      </c>
      <c r="D1165" t="s">
        <v>203</v>
      </c>
      <c r="E1165" t="s">
        <v>32</v>
      </c>
      <c r="F1165" s="10" t="s">
        <v>25</v>
      </c>
      <c r="G1165" s="3" t="s">
        <v>12</v>
      </c>
      <c r="H1165" s="3" t="s">
        <v>10</v>
      </c>
      <c r="I1165" s="3" t="s">
        <v>7</v>
      </c>
      <c r="J1165" s="1">
        <v>0</v>
      </c>
      <c r="K1165" s="12">
        <v>0</v>
      </c>
      <c r="L1165" s="1"/>
      <c r="M1165" s="12"/>
      <c r="N1165"/>
      <c r="O1165"/>
      <c r="P1165" s="2" t="str">
        <f>IF(BD_Receitas[[#This Row],[TIPO DE COBRANÇA]]="Operação Normal",
_xlfn.XLOOKUP(BD_Receitas[[#This Row],[ID]],TabCondicoesComerciais[ID],TabCondicoesComerciais[Volume mínimo 
(m3)],0),"")</f>
        <v/>
      </c>
      <c r="Q1165" s="2">
        <f>_xlfn.XLOOKUP(BD_Receitas[[#This Row],[ID]],TabCondicoesComerciais[ID],TabCondicoesComerciais[Vol. 1ºGiro],0)</f>
        <v>2000</v>
      </c>
      <c r="R11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65" s="1">
        <f xml:space="preserve"> IF(BD_Receitas[[#This Row],[TIPO DE COBRANÇA]]="Operação Normal",
_xlfn.XLOOKUP(BD_Receitas[[#This Row],[ID]],TabCondicoesComerciais[ID],TabCondicoesComerciais[Tarifa 2º Giro],0),0)</f>
        <v>0</v>
      </c>
      <c r="T11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6" spans="1:24" hidden="1" x14ac:dyDescent="0.35">
      <c r="A1166" s="3" t="s">
        <v>200</v>
      </c>
      <c r="B1166" s="11">
        <v>46266</v>
      </c>
      <c r="C1166" t="s">
        <v>31</v>
      </c>
      <c r="D1166" t="s">
        <v>203</v>
      </c>
      <c r="E1166" t="s">
        <v>32</v>
      </c>
      <c r="F1166" s="10" t="s">
        <v>25</v>
      </c>
      <c r="G1166" s="3" t="s">
        <v>12</v>
      </c>
      <c r="H1166" s="3" t="s">
        <v>10</v>
      </c>
      <c r="I1166" s="3" t="s">
        <v>8</v>
      </c>
      <c r="J1166" s="1">
        <v>0</v>
      </c>
      <c r="K1166" s="12">
        <v>0</v>
      </c>
      <c r="L1166" s="1"/>
      <c r="M1166" s="12"/>
      <c r="N1166"/>
      <c r="O1166"/>
      <c r="P1166" s="2" t="str">
        <f>IF(BD_Receitas[[#This Row],[TIPO DE COBRANÇA]]="Operação Normal",
_xlfn.XLOOKUP(BD_Receitas[[#This Row],[ID]],TabCondicoesComerciais[ID],TabCondicoesComerciais[Volume mínimo 
(m3)],0),"")</f>
        <v/>
      </c>
      <c r="Q1166" s="2">
        <f>_xlfn.XLOOKUP(BD_Receitas[[#This Row],[ID]],TabCondicoesComerciais[ID],TabCondicoesComerciais[Vol. 1ºGiro],0)</f>
        <v>2000</v>
      </c>
      <c r="R11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66" s="1">
        <f xml:space="preserve"> IF(BD_Receitas[[#This Row],[TIPO DE COBRANÇA]]="Operação Normal",
_xlfn.XLOOKUP(BD_Receitas[[#This Row],[ID]],TabCondicoesComerciais[ID],TabCondicoesComerciais[Tarifa 2º Giro],0),0)</f>
        <v>0</v>
      </c>
      <c r="T11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7" spans="1:24" hidden="1" x14ac:dyDescent="0.35">
      <c r="A1167" s="3" t="s">
        <v>200</v>
      </c>
      <c r="B1167" s="11">
        <v>46266</v>
      </c>
      <c r="C1167" t="s">
        <v>31</v>
      </c>
      <c r="D1167" t="s">
        <v>203</v>
      </c>
      <c r="E1167" t="s">
        <v>32</v>
      </c>
      <c r="F1167" s="10" t="s">
        <v>25</v>
      </c>
      <c r="G1167" s="3" t="s">
        <v>12</v>
      </c>
      <c r="H1167" s="3" t="s">
        <v>10</v>
      </c>
      <c r="I1167" s="3" t="s">
        <v>15</v>
      </c>
      <c r="J1167" s="1">
        <v>0</v>
      </c>
      <c r="K1167" s="12">
        <v>0</v>
      </c>
      <c r="L1167" s="1"/>
      <c r="M1167" s="12"/>
      <c r="N1167"/>
      <c r="O1167"/>
      <c r="P1167" s="2">
        <f>IF(BD_Receitas[[#This Row],[TIPO DE COBRANÇA]]="Operação Normal",
_xlfn.XLOOKUP(BD_Receitas[[#This Row],[ID]],TabCondicoesComerciais[ID],TabCondicoesComerciais[Volume mínimo 
(m3)],0),"")</f>
        <v>8000</v>
      </c>
      <c r="Q1167" s="2">
        <f>_xlfn.XLOOKUP(BD_Receitas[[#This Row],[ID]],TabCondicoesComerciais[ID],TabCondicoesComerciais[Vol. 1ºGiro],0)</f>
        <v>2000</v>
      </c>
      <c r="R11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167" s="1">
        <f xml:space="preserve"> IF(BD_Receitas[[#This Row],[TIPO DE COBRANÇA]]="Operação Normal",
_xlfn.XLOOKUP(BD_Receitas[[#This Row],[ID]],TabCondicoesComerciais[ID],TabCondicoesComerciais[Tarifa 2º Giro],0),0)</f>
        <v>20</v>
      </c>
      <c r="T116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1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68" spans="1:24" hidden="1" x14ac:dyDescent="0.35">
      <c r="A1168" s="3" t="s">
        <v>200</v>
      </c>
      <c r="B1168" s="11">
        <v>46266</v>
      </c>
      <c r="C1168" t="s">
        <v>31</v>
      </c>
      <c r="D1168" t="s">
        <v>203</v>
      </c>
      <c r="E1168" t="s">
        <v>32</v>
      </c>
      <c r="F1168" s="10" t="s">
        <v>25</v>
      </c>
      <c r="G1168" s="3" t="s">
        <v>12</v>
      </c>
      <c r="H1168" s="3" t="s">
        <v>10</v>
      </c>
      <c r="I1168" s="3" t="s">
        <v>65</v>
      </c>
      <c r="J1168" s="1">
        <v>0</v>
      </c>
      <c r="K1168" s="12">
        <v>0</v>
      </c>
      <c r="L1168" s="1"/>
      <c r="M1168" s="12"/>
      <c r="N1168"/>
      <c r="O1168"/>
      <c r="P1168" s="2" t="str">
        <f>IF(BD_Receitas[[#This Row],[TIPO DE COBRANÇA]]="Operação Normal",
_xlfn.XLOOKUP(BD_Receitas[[#This Row],[ID]],TabCondicoesComerciais[ID],TabCondicoesComerciais[Volume mínimo 
(m3)],0),"")</f>
        <v/>
      </c>
      <c r="Q1168" s="2">
        <f>_xlfn.XLOOKUP(BD_Receitas[[#This Row],[ID]],TabCondicoesComerciais[ID],TabCondicoesComerciais[Vol. 1ºGiro],0)</f>
        <v>2000</v>
      </c>
      <c r="R11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68" s="1">
        <f xml:space="preserve"> IF(BD_Receitas[[#This Row],[TIPO DE COBRANÇA]]="Operação Normal",
_xlfn.XLOOKUP(BD_Receitas[[#This Row],[ID]],TabCondicoesComerciais[ID],TabCondicoesComerciais[Tarifa 2º Giro],0),0)</f>
        <v>0</v>
      </c>
      <c r="T11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69" spans="1:24" hidden="1" x14ac:dyDescent="0.35">
      <c r="A1169" s="3" t="s">
        <v>342</v>
      </c>
      <c r="B1169" s="11">
        <v>46266</v>
      </c>
      <c r="C1169" t="s">
        <v>31</v>
      </c>
      <c r="D1169" t="s">
        <v>203</v>
      </c>
      <c r="E1169" t="s">
        <v>32</v>
      </c>
      <c r="F1169" s="10" t="s">
        <v>25</v>
      </c>
      <c r="G1169" s="3" t="s">
        <v>12</v>
      </c>
      <c r="H1169" s="3" t="s">
        <v>9</v>
      </c>
      <c r="I1169" s="3" t="s">
        <v>7</v>
      </c>
      <c r="J1169" s="1">
        <v>0</v>
      </c>
      <c r="K1169" s="12">
        <v>0</v>
      </c>
      <c r="L1169" s="1"/>
      <c r="M1169" s="12"/>
      <c r="N1169"/>
      <c r="O1169"/>
      <c r="P1169" s="2" t="str">
        <f>IF(BD_Receitas[[#This Row],[TIPO DE COBRANÇA]]="Operação Normal",
_xlfn.XLOOKUP(BD_Receitas[[#This Row],[ID]],TabCondicoesComerciais[ID],TabCondicoesComerciais[Volume mínimo 
(m3)],0),"")</f>
        <v/>
      </c>
      <c r="Q1169" s="2">
        <f>_xlfn.XLOOKUP(BD_Receitas[[#This Row],[ID]],TabCondicoesComerciais[ID],TabCondicoesComerciais[Vol. 1ºGiro],0)</f>
        <v>1125</v>
      </c>
      <c r="R11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169" s="1">
        <f xml:space="preserve"> IF(BD_Receitas[[#This Row],[TIPO DE COBRANÇA]]="Operação Normal",
_xlfn.XLOOKUP(BD_Receitas[[#This Row],[ID]],TabCondicoesComerciais[ID],TabCondicoesComerciais[Tarifa 2º Giro],0),0)</f>
        <v>0</v>
      </c>
      <c r="T11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0" spans="1:24" hidden="1" x14ac:dyDescent="0.35">
      <c r="A1170" s="3" t="s">
        <v>342</v>
      </c>
      <c r="B1170" s="11">
        <v>46266</v>
      </c>
      <c r="C1170" t="s">
        <v>31</v>
      </c>
      <c r="D1170" t="s">
        <v>203</v>
      </c>
      <c r="E1170" t="s">
        <v>32</v>
      </c>
      <c r="F1170" s="10" t="s">
        <v>25</v>
      </c>
      <c r="G1170" s="3" t="s">
        <v>12</v>
      </c>
      <c r="H1170" s="3" t="s">
        <v>9</v>
      </c>
      <c r="I1170" s="3" t="s">
        <v>8</v>
      </c>
      <c r="J1170" s="1">
        <v>0</v>
      </c>
      <c r="K1170" s="12">
        <v>0</v>
      </c>
      <c r="L1170" s="1"/>
      <c r="M1170" s="12"/>
      <c r="N1170"/>
      <c r="O1170"/>
      <c r="P1170" s="2" t="str">
        <f>IF(BD_Receitas[[#This Row],[TIPO DE COBRANÇA]]="Operação Normal",
_xlfn.XLOOKUP(BD_Receitas[[#This Row],[ID]],TabCondicoesComerciais[ID],TabCondicoesComerciais[Volume mínimo 
(m3)],0),"")</f>
        <v/>
      </c>
      <c r="Q1170" s="2">
        <f>_xlfn.XLOOKUP(BD_Receitas[[#This Row],[ID]],TabCondicoesComerciais[ID],TabCondicoesComerciais[Vol. 1ºGiro],0)</f>
        <v>1125</v>
      </c>
      <c r="R11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170" s="1">
        <f xml:space="preserve"> IF(BD_Receitas[[#This Row],[TIPO DE COBRANÇA]]="Operação Normal",
_xlfn.XLOOKUP(BD_Receitas[[#This Row],[ID]],TabCondicoesComerciais[ID],TabCondicoesComerciais[Tarifa 2º Giro],0),0)</f>
        <v>0</v>
      </c>
      <c r="T11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1" spans="1:24" hidden="1" x14ac:dyDescent="0.35">
      <c r="A1171" s="3" t="s">
        <v>342</v>
      </c>
      <c r="B1171" s="11">
        <v>46266</v>
      </c>
      <c r="C1171" t="s">
        <v>31</v>
      </c>
      <c r="D1171" t="s">
        <v>203</v>
      </c>
      <c r="E1171" t="s">
        <v>32</v>
      </c>
      <c r="F1171" s="10" t="s">
        <v>25</v>
      </c>
      <c r="G1171" s="3" t="s">
        <v>12</v>
      </c>
      <c r="H1171" s="3" t="s">
        <v>9</v>
      </c>
      <c r="I1171" s="3" t="s">
        <v>15</v>
      </c>
      <c r="J1171" s="1">
        <v>165115.51999999999</v>
      </c>
      <c r="K1171" s="12">
        <v>5625</v>
      </c>
      <c r="L1171" s="1"/>
      <c r="M1171" s="12"/>
      <c r="N1171"/>
      <c r="O1171"/>
      <c r="P1171" s="2">
        <f>IF(BD_Receitas[[#This Row],[TIPO DE COBRANÇA]]="Operação Normal",
_xlfn.XLOOKUP(BD_Receitas[[#This Row],[ID]],TabCondicoesComerciais[ID],TabCondicoesComerciais[Volume mínimo 
(m3)],0),"")</f>
        <v>5625</v>
      </c>
      <c r="Q1171" s="2">
        <f>_xlfn.XLOOKUP(BD_Receitas[[#This Row],[ID]],TabCondicoesComerciais[ID],TabCondicoesComerciais[Vol. 1ºGiro],0)</f>
        <v>1125</v>
      </c>
      <c r="R11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171" s="1">
        <f xml:space="preserve"> IF(BD_Receitas[[#This Row],[TIPO DE COBRANÇA]]="Operação Normal",
_xlfn.XLOOKUP(BD_Receitas[[#This Row],[ID]],TabCondicoesComerciais[ID],TabCondicoesComerciais[Tarifa 2º Giro],0),0)</f>
        <v>27.4</v>
      </c>
      <c r="T117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1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72" spans="1:24" hidden="1" x14ac:dyDescent="0.35">
      <c r="A1172" s="3" t="s">
        <v>342</v>
      </c>
      <c r="B1172" s="11">
        <v>46266</v>
      </c>
      <c r="C1172" t="s">
        <v>31</v>
      </c>
      <c r="D1172" t="s">
        <v>203</v>
      </c>
      <c r="E1172" t="s">
        <v>32</v>
      </c>
      <c r="F1172" s="10" t="s">
        <v>25</v>
      </c>
      <c r="G1172" s="3" t="s">
        <v>12</v>
      </c>
      <c r="H1172" s="3" t="s">
        <v>9</v>
      </c>
      <c r="I1172" s="3" t="s">
        <v>65</v>
      </c>
      <c r="J1172" s="1">
        <v>0</v>
      </c>
      <c r="K1172" s="12">
        <v>0</v>
      </c>
      <c r="L1172" s="1"/>
      <c r="M1172" s="12"/>
      <c r="N1172"/>
      <c r="O1172"/>
      <c r="P1172" s="2" t="str">
        <f>IF(BD_Receitas[[#This Row],[TIPO DE COBRANÇA]]="Operação Normal",
_xlfn.XLOOKUP(BD_Receitas[[#This Row],[ID]],TabCondicoesComerciais[ID],TabCondicoesComerciais[Volume mínimo 
(m3)],0),"")</f>
        <v/>
      </c>
      <c r="Q1172" s="2">
        <f>_xlfn.XLOOKUP(BD_Receitas[[#This Row],[ID]],TabCondicoesComerciais[ID],TabCondicoesComerciais[Vol. 1ºGiro],0)</f>
        <v>1125</v>
      </c>
      <c r="R11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72" s="1">
        <f xml:space="preserve"> IF(BD_Receitas[[#This Row],[TIPO DE COBRANÇA]]="Operação Normal",
_xlfn.XLOOKUP(BD_Receitas[[#This Row],[ID]],TabCondicoesComerciais[ID],TabCondicoesComerciais[Tarifa 2º Giro],0),0)</f>
        <v>0</v>
      </c>
      <c r="T11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3" spans="1:24" hidden="1" x14ac:dyDescent="0.35">
      <c r="A1173" s="3" t="s">
        <v>134</v>
      </c>
      <c r="B1173" s="11">
        <v>46266</v>
      </c>
      <c r="C1173" t="s">
        <v>31</v>
      </c>
      <c r="D1173" t="s">
        <v>62</v>
      </c>
      <c r="E1173" t="s">
        <v>37</v>
      </c>
      <c r="F1173" s="10" t="s">
        <v>57</v>
      </c>
      <c r="G1173" s="3" t="s">
        <v>58</v>
      </c>
      <c r="H1173" s="3" t="s">
        <v>10</v>
      </c>
      <c r="I1173" s="3" t="s">
        <v>7</v>
      </c>
      <c r="J1173" s="1">
        <v>0</v>
      </c>
      <c r="K1173" s="12">
        <v>0</v>
      </c>
      <c r="L1173" s="1"/>
      <c r="M1173" s="12"/>
      <c r="N1173"/>
      <c r="O1173"/>
      <c r="P1173" s="2" t="str">
        <f>IF(BD_Receitas[[#This Row],[TIPO DE COBRANÇA]]="Operação Normal",
_xlfn.XLOOKUP(BD_Receitas[[#This Row],[ID]],TabCondicoesComerciais[ID],TabCondicoesComerciais[Volume mínimo 
(m3)],0),"")</f>
        <v/>
      </c>
      <c r="Q1173" s="2">
        <f>_xlfn.XLOOKUP(BD_Receitas[[#This Row],[ID]],TabCondicoesComerciais[ID],TabCondicoesComerciais[Vol. 1ºGiro],0)</f>
        <v>310</v>
      </c>
      <c r="R11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73" s="1">
        <f xml:space="preserve"> IF(BD_Receitas[[#This Row],[TIPO DE COBRANÇA]]="Operação Normal",
_xlfn.XLOOKUP(BD_Receitas[[#This Row],[ID]],TabCondicoesComerciais[ID],TabCondicoesComerciais[Tarifa 2º Giro],0),0)</f>
        <v>0</v>
      </c>
      <c r="T11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4" spans="1:24" hidden="1" x14ac:dyDescent="0.35">
      <c r="A1174" s="3" t="s">
        <v>134</v>
      </c>
      <c r="B1174" s="11">
        <v>46266</v>
      </c>
      <c r="C1174" t="s">
        <v>31</v>
      </c>
      <c r="D1174" t="s">
        <v>62</v>
      </c>
      <c r="E1174" t="s">
        <v>37</v>
      </c>
      <c r="F1174" s="10" t="s">
        <v>57</v>
      </c>
      <c r="G1174" s="3" t="s">
        <v>58</v>
      </c>
      <c r="H1174" s="3" t="s">
        <v>10</v>
      </c>
      <c r="I1174" s="3" t="s">
        <v>8</v>
      </c>
      <c r="J1174" s="1">
        <v>0</v>
      </c>
      <c r="K1174" s="12">
        <v>0</v>
      </c>
      <c r="L1174" s="1"/>
      <c r="M1174" s="12"/>
      <c r="N1174"/>
      <c r="O1174"/>
      <c r="P1174" s="2" t="str">
        <f>IF(BD_Receitas[[#This Row],[TIPO DE COBRANÇA]]="Operação Normal",
_xlfn.XLOOKUP(BD_Receitas[[#This Row],[ID]],TabCondicoesComerciais[ID],TabCondicoesComerciais[Volume mínimo 
(m3)],0),"")</f>
        <v/>
      </c>
      <c r="Q1174" s="2">
        <f>_xlfn.XLOOKUP(BD_Receitas[[#This Row],[ID]],TabCondicoesComerciais[ID],TabCondicoesComerciais[Vol. 1ºGiro],0)</f>
        <v>310</v>
      </c>
      <c r="R11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174" s="1">
        <f xml:space="preserve"> IF(BD_Receitas[[#This Row],[TIPO DE COBRANÇA]]="Operação Normal",
_xlfn.XLOOKUP(BD_Receitas[[#This Row],[ID]],TabCondicoesComerciais[ID],TabCondicoesComerciais[Tarifa 2º Giro],0),0)</f>
        <v>0</v>
      </c>
      <c r="T11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5" spans="1:24" hidden="1" x14ac:dyDescent="0.35">
      <c r="A1175" s="3" t="s">
        <v>134</v>
      </c>
      <c r="B1175" s="11">
        <v>46266</v>
      </c>
      <c r="C1175" t="s">
        <v>31</v>
      </c>
      <c r="D1175" t="s">
        <v>62</v>
      </c>
      <c r="E1175" t="s">
        <v>37</v>
      </c>
      <c r="F1175" s="10" t="s">
        <v>57</v>
      </c>
      <c r="G1175" s="3" t="s">
        <v>58</v>
      </c>
      <c r="H1175" s="3" t="s">
        <v>10</v>
      </c>
      <c r="I1175" s="3" t="s">
        <v>15</v>
      </c>
      <c r="J1175" s="1">
        <v>35019.49</v>
      </c>
      <c r="K1175" s="12">
        <v>1100</v>
      </c>
      <c r="L1175" s="1"/>
      <c r="M1175" s="12"/>
      <c r="N1175"/>
      <c r="O1175"/>
      <c r="P1175" s="2">
        <f>IF(BD_Receitas[[#This Row],[TIPO DE COBRANÇA]]="Operação Normal",
_xlfn.XLOOKUP(BD_Receitas[[#This Row],[ID]],TabCondicoesComerciais[ID],TabCondicoesComerciais[Volume mínimo 
(m3)],0),"")</f>
        <v>1100</v>
      </c>
      <c r="Q1175" s="2">
        <f>_xlfn.XLOOKUP(BD_Receitas[[#This Row],[ID]],TabCondicoesComerciais[ID],TabCondicoesComerciais[Vol. 1ºGiro],0)</f>
        <v>310</v>
      </c>
      <c r="R11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175" s="1">
        <f xml:space="preserve"> IF(BD_Receitas[[#This Row],[TIPO DE COBRANÇA]]="Operação Normal",
_xlfn.XLOOKUP(BD_Receitas[[#This Row],[ID]],TabCondicoesComerciais[ID],TabCondicoesComerciais[Tarifa 2º Giro],0),0)</f>
        <v>31.04</v>
      </c>
      <c r="T117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1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76" spans="1:24" hidden="1" x14ac:dyDescent="0.35">
      <c r="A1176" s="3" t="s">
        <v>134</v>
      </c>
      <c r="B1176" s="11">
        <v>46266</v>
      </c>
      <c r="C1176" t="s">
        <v>31</v>
      </c>
      <c r="D1176" t="s">
        <v>62</v>
      </c>
      <c r="E1176" t="s">
        <v>37</v>
      </c>
      <c r="F1176" s="10" t="s">
        <v>57</v>
      </c>
      <c r="G1176" s="3" t="s">
        <v>58</v>
      </c>
      <c r="H1176" s="3" t="s">
        <v>10</v>
      </c>
      <c r="I1176" s="3" t="s">
        <v>65</v>
      </c>
      <c r="J1176" s="1">
        <v>0</v>
      </c>
      <c r="K1176" s="12">
        <v>0</v>
      </c>
      <c r="L1176" s="1"/>
      <c r="M1176" s="12"/>
      <c r="N1176"/>
      <c r="O1176"/>
      <c r="P1176" s="2" t="str">
        <f>IF(BD_Receitas[[#This Row],[TIPO DE COBRANÇA]]="Operação Normal",
_xlfn.XLOOKUP(BD_Receitas[[#This Row],[ID]],TabCondicoesComerciais[ID],TabCondicoesComerciais[Volume mínimo 
(m3)],0),"")</f>
        <v/>
      </c>
      <c r="Q1176" s="2">
        <f>_xlfn.XLOOKUP(BD_Receitas[[#This Row],[ID]],TabCondicoesComerciais[ID],TabCondicoesComerciais[Vol. 1ºGiro],0)</f>
        <v>310</v>
      </c>
      <c r="R11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76" s="1">
        <f xml:space="preserve"> IF(BD_Receitas[[#This Row],[TIPO DE COBRANÇA]]="Operação Normal",
_xlfn.XLOOKUP(BD_Receitas[[#This Row],[ID]],TabCondicoesComerciais[ID],TabCondicoesComerciais[Tarifa 2º Giro],0),0)</f>
        <v>0</v>
      </c>
      <c r="T11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7" spans="1:24" hidden="1" x14ac:dyDescent="0.35">
      <c r="A1177" s="3" t="s">
        <v>173</v>
      </c>
      <c r="B1177" s="11">
        <v>46266</v>
      </c>
      <c r="C1177" t="s">
        <v>31</v>
      </c>
      <c r="D1177" t="s">
        <v>62</v>
      </c>
      <c r="E1177" t="s">
        <v>37</v>
      </c>
      <c r="F1177" s="10" t="s">
        <v>57</v>
      </c>
      <c r="G1177" s="3" t="s">
        <v>58</v>
      </c>
      <c r="H1177" s="3" t="s">
        <v>6</v>
      </c>
      <c r="I1177" s="3" t="s">
        <v>7</v>
      </c>
      <c r="J1177" s="1">
        <v>0</v>
      </c>
      <c r="K1177" s="12">
        <v>0</v>
      </c>
      <c r="L1177" s="1"/>
      <c r="M1177" s="12"/>
      <c r="N1177"/>
      <c r="O1177"/>
      <c r="P1177" s="2" t="str">
        <f>IF(BD_Receitas[[#This Row],[TIPO DE COBRANÇA]]="Operação Normal",
_xlfn.XLOOKUP(BD_Receitas[[#This Row],[ID]],TabCondicoesComerciais[ID],TabCondicoesComerciais[Volume mínimo 
(m3)],0),"")</f>
        <v/>
      </c>
      <c r="Q1177" s="2">
        <f>_xlfn.XLOOKUP(BD_Receitas[[#This Row],[ID]],TabCondicoesComerciais[ID],TabCondicoesComerciais[Vol. 1ºGiro],0)</f>
        <v>1070</v>
      </c>
      <c r="R11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77" s="1">
        <f xml:space="preserve"> IF(BD_Receitas[[#This Row],[TIPO DE COBRANÇA]]="Operação Normal",
_xlfn.XLOOKUP(BD_Receitas[[#This Row],[ID]],TabCondicoesComerciais[ID],TabCondicoesComerciais[Tarifa 2º Giro],0),0)</f>
        <v>0</v>
      </c>
      <c r="T11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8" spans="1:24" hidden="1" x14ac:dyDescent="0.35">
      <c r="A1178" s="3" t="s">
        <v>173</v>
      </c>
      <c r="B1178" s="11">
        <v>46266</v>
      </c>
      <c r="C1178" t="s">
        <v>31</v>
      </c>
      <c r="D1178" t="s">
        <v>62</v>
      </c>
      <c r="E1178" t="s">
        <v>37</v>
      </c>
      <c r="F1178" s="10" t="s">
        <v>57</v>
      </c>
      <c r="G1178" s="3" t="s">
        <v>58</v>
      </c>
      <c r="H1178" s="3" t="s">
        <v>6</v>
      </c>
      <c r="I1178" s="3" t="s">
        <v>8</v>
      </c>
      <c r="J1178" s="1">
        <v>0</v>
      </c>
      <c r="K1178" s="12">
        <v>0</v>
      </c>
      <c r="L1178" s="1"/>
      <c r="M1178" s="12"/>
      <c r="N1178"/>
      <c r="O1178"/>
      <c r="P1178" s="2" t="str">
        <f>IF(BD_Receitas[[#This Row],[TIPO DE COBRANÇA]]="Operação Normal",
_xlfn.XLOOKUP(BD_Receitas[[#This Row],[ID]],TabCondicoesComerciais[ID],TabCondicoesComerciais[Volume mínimo 
(m3)],0),"")</f>
        <v/>
      </c>
      <c r="Q1178" s="2">
        <f>_xlfn.XLOOKUP(BD_Receitas[[#This Row],[ID]],TabCondicoesComerciais[ID],TabCondicoesComerciais[Vol. 1ºGiro],0)</f>
        <v>1070</v>
      </c>
      <c r="R11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78" s="1">
        <f xml:space="preserve"> IF(BD_Receitas[[#This Row],[TIPO DE COBRANÇA]]="Operação Normal",
_xlfn.XLOOKUP(BD_Receitas[[#This Row],[ID]],TabCondicoesComerciais[ID],TabCondicoesComerciais[Tarifa 2º Giro],0),0)</f>
        <v>0</v>
      </c>
      <c r="T11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79" spans="1:24" hidden="1" x14ac:dyDescent="0.35">
      <c r="A1179" s="3" t="s">
        <v>173</v>
      </c>
      <c r="B1179" s="11">
        <v>46266</v>
      </c>
      <c r="C1179" t="s">
        <v>31</v>
      </c>
      <c r="D1179" t="s">
        <v>62</v>
      </c>
      <c r="E1179" t="s">
        <v>37</v>
      </c>
      <c r="F1179" s="10" t="s">
        <v>57</v>
      </c>
      <c r="G1179" s="3" t="s">
        <v>58</v>
      </c>
      <c r="H1179" s="3" t="s">
        <v>6</v>
      </c>
      <c r="I1179" s="3" t="s">
        <v>15</v>
      </c>
      <c r="J1179" s="1">
        <v>82153.039999999994</v>
      </c>
      <c r="K1179" s="12">
        <v>3300</v>
      </c>
      <c r="L1179" s="1"/>
      <c r="M1179" s="12"/>
      <c r="N1179"/>
      <c r="O1179"/>
      <c r="P1179" s="2">
        <f>IF(BD_Receitas[[#This Row],[TIPO DE COBRANÇA]]="Operação Normal",
_xlfn.XLOOKUP(BD_Receitas[[#This Row],[ID]],TabCondicoesComerciais[ID],TabCondicoesComerciais[Volume mínimo 
(m3)],0),"")</f>
        <v>3300</v>
      </c>
      <c r="Q1179" s="2">
        <f>_xlfn.XLOOKUP(BD_Receitas[[#This Row],[ID]],TabCondicoesComerciais[ID],TabCondicoesComerciais[Vol. 1ºGiro],0)</f>
        <v>1070</v>
      </c>
      <c r="R11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179" s="1">
        <f xml:space="preserve"> IF(BD_Receitas[[#This Row],[TIPO DE COBRANÇA]]="Operação Normal",
_xlfn.XLOOKUP(BD_Receitas[[#This Row],[ID]],TabCondicoesComerciais[ID],TabCondicoesComerciais[Tarifa 2º Giro],0),0)</f>
        <v>23.42</v>
      </c>
      <c r="T117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1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80" spans="1:24" hidden="1" x14ac:dyDescent="0.35">
      <c r="A1180" s="3" t="s">
        <v>173</v>
      </c>
      <c r="B1180" s="11">
        <v>46266</v>
      </c>
      <c r="C1180" t="s">
        <v>31</v>
      </c>
      <c r="D1180" t="s">
        <v>62</v>
      </c>
      <c r="E1180" t="s">
        <v>37</v>
      </c>
      <c r="F1180" s="10" t="s">
        <v>57</v>
      </c>
      <c r="G1180" s="3" t="s">
        <v>58</v>
      </c>
      <c r="H1180" s="3" t="s">
        <v>6</v>
      </c>
      <c r="I1180" s="3" t="s">
        <v>65</v>
      </c>
      <c r="J1180" s="1">
        <v>0</v>
      </c>
      <c r="K1180" s="12">
        <v>0</v>
      </c>
      <c r="L1180" s="1"/>
      <c r="M1180" s="12"/>
      <c r="N1180"/>
      <c r="O1180"/>
      <c r="P1180" s="2" t="str">
        <f>IF(BD_Receitas[[#This Row],[TIPO DE COBRANÇA]]="Operação Normal",
_xlfn.XLOOKUP(BD_Receitas[[#This Row],[ID]],TabCondicoesComerciais[ID],TabCondicoesComerciais[Volume mínimo 
(m3)],0),"")</f>
        <v/>
      </c>
      <c r="Q1180" s="2">
        <f>_xlfn.XLOOKUP(BD_Receitas[[#This Row],[ID]],TabCondicoesComerciais[ID],TabCondicoesComerciais[Vol. 1ºGiro],0)</f>
        <v>1070</v>
      </c>
      <c r="R11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80" s="1">
        <f xml:space="preserve"> IF(BD_Receitas[[#This Row],[TIPO DE COBRANÇA]]="Operação Normal",
_xlfn.XLOOKUP(BD_Receitas[[#This Row],[ID]],TabCondicoesComerciais[ID],TabCondicoesComerciais[Tarifa 2º Giro],0),0)</f>
        <v>0</v>
      </c>
      <c r="T11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1" spans="1:24" x14ac:dyDescent="0.35">
      <c r="A1181" s="3" t="s">
        <v>343</v>
      </c>
      <c r="B1181" s="11">
        <v>46266</v>
      </c>
      <c r="C1181" t="s">
        <v>31</v>
      </c>
      <c r="D1181" t="s">
        <v>203</v>
      </c>
      <c r="E1181" t="s">
        <v>34</v>
      </c>
      <c r="F1181" s="10" t="s">
        <v>26</v>
      </c>
      <c r="G1181" s="3" t="s">
        <v>19</v>
      </c>
      <c r="H1181" s="3" t="s">
        <v>13</v>
      </c>
      <c r="I1181" s="3" t="s">
        <v>7</v>
      </c>
      <c r="J1181" s="1">
        <v>0</v>
      </c>
      <c r="K1181" s="12">
        <v>0</v>
      </c>
      <c r="L1181" s="1"/>
      <c r="M1181" s="12"/>
      <c r="N1181"/>
      <c r="O1181"/>
      <c r="P1181" s="2" t="str">
        <f>IF(BD_Receitas[[#This Row],[TIPO DE COBRANÇA]]="Operação Normal",
_xlfn.XLOOKUP(BD_Receitas[[#This Row],[ID]],TabCondicoesComerciais[ID],TabCondicoesComerciais[Volume mínimo 
(m3)],0),"")</f>
        <v/>
      </c>
      <c r="Q1181" s="2">
        <f>_xlfn.XLOOKUP(BD_Receitas[[#This Row],[ID]],TabCondicoesComerciais[ID],TabCondicoesComerciais[Vol. 1ºGiro],0)</f>
        <v>340</v>
      </c>
      <c r="R11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81" s="1">
        <f xml:space="preserve"> IF(BD_Receitas[[#This Row],[TIPO DE COBRANÇA]]="Operação Normal",
_xlfn.XLOOKUP(BD_Receitas[[#This Row],[ID]],TabCondicoesComerciais[ID],TabCondicoesComerciais[Tarifa 2º Giro],0),0)</f>
        <v>0</v>
      </c>
      <c r="T11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2" spans="1:24" x14ac:dyDescent="0.35">
      <c r="A1182" s="3" t="s">
        <v>343</v>
      </c>
      <c r="B1182" s="11">
        <v>46266</v>
      </c>
      <c r="C1182" t="s">
        <v>31</v>
      </c>
      <c r="D1182" t="s">
        <v>203</v>
      </c>
      <c r="E1182" t="s">
        <v>34</v>
      </c>
      <c r="F1182" s="10" t="s">
        <v>26</v>
      </c>
      <c r="G1182" s="3" t="s">
        <v>19</v>
      </c>
      <c r="H1182" s="3" t="s">
        <v>13</v>
      </c>
      <c r="I1182" s="3" t="s">
        <v>8</v>
      </c>
      <c r="J1182" s="1">
        <v>0</v>
      </c>
      <c r="K1182" s="12">
        <v>0</v>
      </c>
      <c r="L1182" s="1"/>
      <c r="M1182" s="12"/>
      <c r="N1182"/>
      <c r="O1182"/>
      <c r="P1182" s="2" t="str">
        <f>IF(BD_Receitas[[#This Row],[TIPO DE COBRANÇA]]="Operação Normal",
_xlfn.XLOOKUP(BD_Receitas[[#This Row],[ID]],TabCondicoesComerciais[ID],TabCondicoesComerciais[Volume mínimo 
(m3)],0),"")</f>
        <v/>
      </c>
      <c r="Q1182" s="2">
        <f>_xlfn.XLOOKUP(BD_Receitas[[#This Row],[ID]],TabCondicoesComerciais[ID],TabCondicoesComerciais[Vol. 1ºGiro],0)</f>
        <v>340</v>
      </c>
      <c r="R11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182" s="1">
        <f xml:space="preserve"> IF(BD_Receitas[[#This Row],[TIPO DE COBRANÇA]]="Operação Normal",
_xlfn.XLOOKUP(BD_Receitas[[#This Row],[ID]],TabCondicoesComerciais[ID],TabCondicoesComerciais[Tarifa 2º Giro],0),0)</f>
        <v>0</v>
      </c>
      <c r="T11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3" spans="1:24" x14ac:dyDescent="0.35">
      <c r="A1183" s="3" t="s">
        <v>343</v>
      </c>
      <c r="B1183" s="11">
        <v>46266</v>
      </c>
      <c r="C1183" t="s">
        <v>31</v>
      </c>
      <c r="D1183" t="s">
        <v>203</v>
      </c>
      <c r="E1183" t="s">
        <v>34</v>
      </c>
      <c r="F1183" s="10" t="s">
        <v>26</v>
      </c>
      <c r="G1183" s="3" t="s">
        <v>19</v>
      </c>
      <c r="H1183" s="3" t="s">
        <v>13</v>
      </c>
      <c r="I1183" s="3" t="s">
        <v>15</v>
      </c>
      <c r="J1183" s="1">
        <v>15310.52</v>
      </c>
      <c r="K1183" s="12">
        <v>510</v>
      </c>
      <c r="L1183" s="1"/>
      <c r="M1183" s="12"/>
      <c r="N1183"/>
      <c r="O1183"/>
      <c r="P1183" s="2">
        <f>IF(BD_Receitas[[#This Row],[TIPO DE COBRANÇA]]="Operação Normal",
_xlfn.XLOOKUP(BD_Receitas[[#This Row],[ID]],TabCondicoesComerciais[ID],TabCondicoesComerciais[Volume mínimo 
(m3)],0),"")</f>
        <v>0</v>
      </c>
      <c r="Q1183" s="2">
        <f>_xlfn.XLOOKUP(BD_Receitas[[#This Row],[ID]],TabCondicoesComerciais[ID],TabCondicoesComerciais[Vol. 1ºGiro],0)</f>
        <v>340</v>
      </c>
      <c r="R11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183" s="1">
        <f xml:space="preserve"> IF(BD_Receitas[[#This Row],[TIPO DE COBRANÇA]]="Operação Normal",
_xlfn.XLOOKUP(BD_Receitas[[#This Row],[ID]],TabCondicoesComerciais[ID],TabCondicoesComerciais[Tarifa 2º Giro],0),0)</f>
        <v>28</v>
      </c>
      <c r="T118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1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184" spans="1:24" hidden="1" x14ac:dyDescent="0.35">
      <c r="A1184" s="3" t="s">
        <v>343</v>
      </c>
      <c r="B1184" s="11">
        <v>46266</v>
      </c>
      <c r="C1184" t="s">
        <v>31</v>
      </c>
      <c r="D1184" t="s">
        <v>203</v>
      </c>
      <c r="E1184" t="s">
        <v>34</v>
      </c>
      <c r="F1184" s="10" t="s">
        <v>26</v>
      </c>
      <c r="G1184" s="3" t="s">
        <v>19</v>
      </c>
      <c r="H1184" s="3" t="s">
        <v>13</v>
      </c>
      <c r="I1184" s="3" t="s">
        <v>65</v>
      </c>
      <c r="J1184" s="1">
        <v>0</v>
      </c>
      <c r="K1184" s="12">
        <v>0</v>
      </c>
      <c r="L1184" s="1"/>
      <c r="M1184" s="12"/>
      <c r="N1184"/>
      <c r="O1184"/>
      <c r="P1184" s="2" t="str">
        <f>IF(BD_Receitas[[#This Row],[TIPO DE COBRANÇA]]="Operação Normal",
_xlfn.XLOOKUP(BD_Receitas[[#This Row],[ID]],TabCondicoesComerciais[ID],TabCondicoesComerciais[Volume mínimo 
(m3)],0),"")</f>
        <v/>
      </c>
      <c r="Q1184" s="2">
        <f>_xlfn.XLOOKUP(BD_Receitas[[#This Row],[ID]],TabCondicoesComerciais[ID],TabCondicoesComerciais[Vol. 1ºGiro],0)</f>
        <v>340</v>
      </c>
      <c r="R11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84" s="1">
        <f xml:space="preserve"> IF(BD_Receitas[[#This Row],[TIPO DE COBRANÇA]]="Operação Normal",
_xlfn.XLOOKUP(BD_Receitas[[#This Row],[ID]],TabCondicoesComerciais[ID],TabCondicoesComerciais[Tarifa 2º Giro],0),0)</f>
        <v>0</v>
      </c>
      <c r="T11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5" spans="1:24" hidden="1" x14ac:dyDescent="0.35">
      <c r="A1185" s="3" t="s">
        <v>274</v>
      </c>
      <c r="B1185" s="11">
        <v>46296</v>
      </c>
      <c r="C1185" t="s">
        <v>31</v>
      </c>
      <c r="D1185" t="s">
        <v>202</v>
      </c>
      <c r="E1185" t="s">
        <v>36</v>
      </c>
      <c r="F1185" s="10" t="s">
        <v>48</v>
      </c>
      <c r="G1185" s="3" t="s">
        <v>49</v>
      </c>
      <c r="H1185" s="3" t="s">
        <v>52</v>
      </c>
      <c r="I1185" s="3" t="s">
        <v>7</v>
      </c>
      <c r="J1185" s="1">
        <v>0</v>
      </c>
      <c r="K1185" s="12">
        <v>0</v>
      </c>
      <c r="L1185" s="1"/>
      <c r="M1185" s="12"/>
      <c r="N1185"/>
      <c r="O1185"/>
      <c r="P1185" s="2" t="str">
        <f>IF(BD_Receitas[[#This Row],[TIPO DE COBRANÇA]]="Operação Normal",
_xlfn.XLOOKUP(BD_Receitas[[#This Row],[ID]],TabCondicoesComerciais[ID],TabCondicoesComerciais[Volume mínimo 
(m3)],0),"")</f>
        <v/>
      </c>
      <c r="Q1185" s="2">
        <f>_xlfn.XLOOKUP(BD_Receitas[[#This Row],[ID]],TabCondicoesComerciais[ID],TabCondicoesComerciais[Vol. 1ºGiro],0)</f>
        <v>360</v>
      </c>
      <c r="R11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185" s="1">
        <f xml:space="preserve"> IF(BD_Receitas[[#This Row],[TIPO DE COBRANÇA]]="Operação Normal",
_xlfn.XLOOKUP(BD_Receitas[[#This Row],[ID]],TabCondicoesComerciais[ID],TabCondicoesComerciais[Tarifa 2º Giro],0),0)</f>
        <v>0</v>
      </c>
      <c r="T11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6" spans="1:24" hidden="1" x14ac:dyDescent="0.35">
      <c r="A1186" s="3" t="s">
        <v>274</v>
      </c>
      <c r="B1186" s="11">
        <v>46296</v>
      </c>
      <c r="C1186" t="s">
        <v>31</v>
      </c>
      <c r="D1186" t="s">
        <v>202</v>
      </c>
      <c r="E1186" t="s">
        <v>36</v>
      </c>
      <c r="F1186" s="10" t="s">
        <v>48</v>
      </c>
      <c r="G1186" s="3" t="s">
        <v>49</v>
      </c>
      <c r="H1186" s="3" t="s">
        <v>52</v>
      </c>
      <c r="I1186" s="3" t="s">
        <v>8</v>
      </c>
      <c r="J1186" s="1">
        <v>0</v>
      </c>
      <c r="K1186" s="12">
        <v>0</v>
      </c>
      <c r="L1186" s="1"/>
      <c r="M1186" s="12"/>
      <c r="N1186"/>
      <c r="O1186"/>
      <c r="P1186" s="2" t="str">
        <f>IF(BD_Receitas[[#This Row],[TIPO DE COBRANÇA]]="Operação Normal",
_xlfn.XLOOKUP(BD_Receitas[[#This Row],[ID]],TabCondicoesComerciais[ID],TabCondicoesComerciais[Volume mínimo 
(m3)],0),"")</f>
        <v/>
      </c>
      <c r="Q1186" s="2">
        <f>_xlfn.XLOOKUP(BD_Receitas[[#This Row],[ID]],TabCondicoesComerciais[ID],TabCondicoesComerciais[Vol. 1ºGiro],0)</f>
        <v>360</v>
      </c>
      <c r="R11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186" s="1">
        <f xml:space="preserve"> IF(BD_Receitas[[#This Row],[TIPO DE COBRANÇA]]="Operação Normal",
_xlfn.XLOOKUP(BD_Receitas[[#This Row],[ID]],TabCondicoesComerciais[ID],TabCondicoesComerciais[Tarifa 2º Giro],0),0)</f>
        <v>0</v>
      </c>
      <c r="T11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7" spans="1:24" hidden="1" x14ac:dyDescent="0.35">
      <c r="A1187" s="3" t="s">
        <v>274</v>
      </c>
      <c r="B1187" s="11">
        <v>46296</v>
      </c>
      <c r="C1187" t="s">
        <v>31</v>
      </c>
      <c r="D1187" t="s">
        <v>202</v>
      </c>
      <c r="E1187" t="s">
        <v>36</v>
      </c>
      <c r="F1187" s="10" t="s">
        <v>48</v>
      </c>
      <c r="G1187" s="3" t="s">
        <v>49</v>
      </c>
      <c r="H1187" s="3" t="s">
        <v>52</v>
      </c>
      <c r="I1187" s="3" t="s">
        <v>15</v>
      </c>
      <c r="J1187" s="1">
        <v>93380.944900000002</v>
      </c>
      <c r="K1187" s="12">
        <v>2040</v>
      </c>
      <c r="L1187" s="1"/>
      <c r="M1187" s="12"/>
      <c r="N1187"/>
      <c r="O1187"/>
      <c r="P1187" s="2">
        <f>IF(BD_Receitas[[#This Row],[TIPO DE COBRANÇA]]="Operação Normal",
_xlfn.XLOOKUP(BD_Receitas[[#This Row],[ID]],TabCondicoesComerciais[ID],TabCondicoesComerciais[Volume mínimo 
(m3)],0),"")</f>
        <v>2040</v>
      </c>
      <c r="Q1187" s="2">
        <f>_xlfn.XLOOKUP(BD_Receitas[[#This Row],[ID]],TabCondicoesComerciais[ID],TabCondicoesComerciais[Vol. 1ºGiro],0)</f>
        <v>360</v>
      </c>
      <c r="R11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187" s="1">
        <f xml:space="preserve"> IF(BD_Receitas[[#This Row],[TIPO DE COBRANÇA]]="Operação Normal",
_xlfn.XLOOKUP(BD_Receitas[[#This Row],[ID]],TabCondicoesComerciais[ID],TabCondicoesComerciais[Tarifa 2º Giro],0),0)</f>
        <v>43.92</v>
      </c>
      <c r="T118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1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88" spans="1:24" hidden="1" x14ac:dyDescent="0.35">
      <c r="A1188" s="3" t="s">
        <v>274</v>
      </c>
      <c r="B1188" s="11">
        <v>46296</v>
      </c>
      <c r="C1188" t="s">
        <v>31</v>
      </c>
      <c r="D1188" t="s">
        <v>202</v>
      </c>
      <c r="E1188" t="s">
        <v>36</v>
      </c>
      <c r="F1188" s="10" t="s">
        <v>48</v>
      </c>
      <c r="G1188" s="3" t="s">
        <v>49</v>
      </c>
      <c r="H1188" s="3" t="s">
        <v>52</v>
      </c>
      <c r="I1188" s="3" t="s">
        <v>65</v>
      </c>
      <c r="J1188" s="1">
        <v>0</v>
      </c>
      <c r="K1188" s="12">
        <v>0</v>
      </c>
      <c r="L1188" s="1"/>
      <c r="M1188" s="12"/>
      <c r="N1188"/>
      <c r="O1188"/>
      <c r="P1188" s="2" t="str">
        <f>IF(BD_Receitas[[#This Row],[TIPO DE COBRANÇA]]="Operação Normal",
_xlfn.XLOOKUP(BD_Receitas[[#This Row],[ID]],TabCondicoesComerciais[ID],TabCondicoesComerciais[Volume mínimo 
(m3)],0),"")</f>
        <v/>
      </c>
      <c r="Q1188" s="2">
        <f>_xlfn.XLOOKUP(BD_Receitas[[#This Row],[ID]],TabCondicoesComerciais[ID],TabCondicoesComerciais[Vol. 1ºGiro],0)</f>
        <v>360</v>
      </c>
      <c r="R11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88" s="1">
        <f xml:space="preserve"> IF(BD_Receitas[[#This Row],[TIPO DE COBRANÇA]]="Operação Normal",
_xlfn.XLOOKUP(BD_Receitas[[#This Row],[ID]],TabCondicoesComerciais[ID],TabCondicoesComerciais[Tarifa 2º Giro],0),0)</f>
        <v>0</v>
      </c>
      <c r="T11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89" spans="1:24" hidden="1" x14ac:dyDescent="0.35">
      <c r="A1189" s="3" t="s">
        <v>275</v>
      </c>
      <c r="B1189" s="11">
        <v>46296</v>
      </c>
      <c r="C1189" t="s">
        <v>31</v>
      </c>
      <c r="D1189" t="s">
        <v>202</v>
      </c>
      <c r="E1189" t="s">
        <v>36</v>
      </c>
      <c r="F1189" s="10" t="s">
        <v>48</v>
      </c>
      <c r="G1189" s="3" t="s">
        <v>49</v>
      </c>
      <c r="H1189" s="3" t="s">
        <v>14</v>
      </c>
      <c r="I1189" s="3" t="s">
        <v>7</v>
      </c>
      <c r="J1189" s="1">
        <v>0</v>
      </c>
      <c r="K1189" s="12">
        <v>0</v>
      </c>
      <c r="L1189" s="1"/>
      <c r="M1189" s="12"/>
      <c r="N1189"/>
      <c r="O1189"/>
      <c r="P1189" s="2" t="str">
        <f>IF(BD_Receitas[[#This Row],[TIPO DE COBRANÇA]]="Operação Normal",
_xlfn.XLOOKUP(BD_Receitas[[#This Row],[ID]],TabCondicoesComerciais[ID],TabCondicoesComerciais[Volume mínimo 
(m3)],0),"")</f>
        <v/>
      </c>
      <c r="Q1189" s="2">
        <f>_xlfn.XLOOKUP(BD_Receitas[[#This Row],[ID]],TabCondicoesComerciais[ID],TabCondicoesComerciais[Vol. 1ºGiro],0)</f>
        <v>365</v>
      </c>
      <c r="R11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89" s="1">
        <f xml:space="preserve"> IF(BD_Receitas[[#This Row],[TIPO DE COBRANÇA]]="Operação Normal",
_xlfn.XLOOKUP(BD_Receitas[[#This Row],[ID]],TabCondicoesComerciais[ID],TabCondicoesComerciais[Tarifa 2º Giro],0),0)</f>
        <v>0</v>
      </c>
      <c r="T11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0" spans="1:24" hidden="1" x14ac:dyDescent="0.35">
      <c r="A1190" s="3" t="s">
        <v>275</v>
      </c>
      <c r="B1190" s="11">
        <v>46296</v>
      </c>
      <c r="C1190" t="s">
        <v>31</v>
      </c>
      <c r="D1190" t="s">
        <v>202</v>
      </c>
      <c r="E1190" t="s">
        <v>36</v>
      </c>
      <c r="F1190" s="10" t="s">
        <v>48</v>
      </c>
      <c r="G1190" s="3" t="s">
        <v>49</v>
      </c>
      <c r="H1190" s="3" t="s">
        <v>14</v>
      </c>
      <c r="I1190" s="3" t="s">
        <v>8</v>
      </c>
      <c r="J1190" s="1">
        <v>0</v>
      </c>
      <c r="K1190" s="12">
        <v>0</v>
      </c>
      <c r="L1190" s="1"/>
      <c r="M1190" s="12"/>
      <c r="N1190"/>
      <c r="O1190"/>
      <c r="P1190" s="2" t="str">
        <f>IF(BD_Receitas[[#This Row],[TIPO DE COBRANÇA]]="Operação Normal",
_xlfn.XLOOKUP(BD_Receitas[[#This Row],[ID]],TabCondicoesComerciais[ID],TabCondicoesComerciais[Volume mínimo 
(m3)],0),"")</f>
        <v/>
      </c>
      <c r="Q1190" s="2">
        <f>_xlfn.XLOOKUP(BD_Receitas[[#This Row],[ID]],TabCondicoesComerciais[ID],TabCondicoesComerciais[Vol. 1ºGiro],0)</f>
        <v>365</v>
      </c>
      <c r="R11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90" s="1">
        <f xml:space="preserve"> IF(BD_Receitas[[#This Row],[TIPO DE COBRANÇA]]="Operação Normal",
_xlfn.XLOOKUP(BD_Receitas[[#This Row],[ID]],TabCondicoesComerciais[ID],TabCondicoesComerciais[Tarifa 2º Giro],0),0)</f>
        <v>0</v>
      </c>
      <c r="T11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1" spans="1:24" hidden="1" x14ac:dyDescent="0.35">
      <c r="A1191" s="3" t="s">
        <v>275</v>
      </c>
      <c r="B1191" s="11">
        <v>46296</v>
      </c>
      <c r="C1191" t="s">
        <v>31</v>
      </c>
      <c r="D1191" t="s">
        <v>202</v>
      </c>
      <c r="E1191" t="s">
        <v>36</v>
      </c>
      <c r="F1191" s="10" t="s">
        <v>48</v>
      </c>
      <c r="G1191" s="3" t="s">
        <v>49</v>
      </c>
      <c r="H1191" s="3" t="s">
        <v>14</v>
      </c>
      <c r="I1191" s="3" t="s">
        <v>15</v>
      </c>
      <c r="J1191" s="1">
        <v>17995.57</v>
      </c>
      <c r="K1191" s="12">
        <v>936</v>
      </c>
      <c r="L1191" s="1"/>
      <c r="M1191" s="12"/>
      <c r="N1191"/>
      <c r="O1191"/>
      <c r="P1191" s="2">
        <f>IF(BD_Receitas[[#This Row],[TIPO DE COBRANÇA]]="Operação Normal",
_xlfn.XLOOKUP(BD_Receitas[[#This Row],[ID]],TabCondicoesComerciais[ID],TabCondicoesComerciais[Volume mínimo 
(m3)],0),"")</f>
        <v>936</v>
      </c>
      <c r="Q1191" s="2">
        <f>_xlfn.XLOOKUP(BD_Receitas[[#This Row],[ID]],TabCondicoesComerciais[ID],TabCondicoesComerciais[Vol. 1ºGiro],0)</f>
        <v>365</v>
      </c>
      <c r="R11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191" s="1">
        <f xml:space="preserve"> IF(BD_Receitas[[#This Row],[TIPO DE COBRANÇA]]="Operação Normal",
_xlfn.XLOOKUP(BD_Receitas[[#This Row],[ID]],TabCondicoesComerciais[ID],TabCondicoesComerciais[Tarifa 2º Giro],0),0)</f>
        <v>18.93</v>
      </c>
      <c r="T119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1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92" spans="1:24" hidden="1" x14ac:dyDescent="0.35">
      <c r="A1192" s="3" t="s">
        <v>275</v>
      </c>
      <c r="B1192" s="11">
        <v>46296</v>
      </c>
      <c r="C1192" t="s">
        <v>31</v>
      </c>
      <c r="D1192" t="s">
        <v>202</v>
      </c>
      <c r="E1192" t="s">
        <v>36</v>
      </c>
      <c r="F1192" s="10" t="s">
        <v>48</v>
      </c>
      <c r="G1192" s="3" t="s">
        <v>49</v>
      </c>
      <c r="H1192" s="3" t="s">
        <v>14</v>
      </c>
      <c r="I1192" s="3" t="s">
        <v>65</v>
      </c>
      <c r="J1192" s="1">
        <v>0</v>
      </c>
      <c r="K1192" s="12">
        <v>0</v>
      </c>
      <c r="L1192" s="1"/>
      <c r="M1192" s="12"/>
      <c r="N1192"/>
      <c r="O1192"/>
      <c r="P1192" s="2" t="str">
        <f>IF(BD_Receitas[[#This Row],[TIPO DE COBRANÇA]]="Operação Normal",
_xlfn.XLOOKUP(BD_Receitas[[#This Row],[ID]],TabCondicoesComerciais[ID],TabCondicoesComerciais[Volume mínimo 
(m3)],0),"")</f>
        <v/>
      </c>
      <c r="Q1192" s="2">
        <f>_xlfn.XLOOKUP(BD_Receitas[[#This Row],[ID]],TabCondicoesComerciais[ID],TabCondicoesComerciais[Vol. 1ºGiro],0)</f>
        <v>365</v>
      </c>
      <c r="R11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92" s="1">
        <f xml:space="preserve"> IF(BD_Receitas[[#This Row],[TIPO DE COBRANÇA]]="Operação Normal",
_xlfn.XLOOKUP(BD_Receitas[[#This Row],[ID]],TabCondicoesComerciais[ID],TabCondicoesComerciais[Tarifa 2º Giro],0),0)</f>
        <v>0</v>
      </c>
      <c r="T11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3" spans="1:24" hidden="1" x14ac:dyDescent="0.35">
      <c r="A1193" s="3" t="s">
        <v>208</v>
      </c>
      <c r="B1193" s="11">
        <v>46296</v>
      </c>
      <c r="C1193" t="s">
        <v>31</v>
      </c>
      <c r="D1193" t="s">
        <v>202</v>
      </c>
      <c r="E1193" t="s">
        <v>35</v>
      </c>
      <c r="F1193" s="10" t="s">
        <v>22</v>
      </c>
      <c r="G1193" s="3" t="s">
        <v>11</v>
      </c>
      <c r="H1193" s="3" t="s">
        <v>207</v>
      </c>
      <c r="I1193" s="3" t="s">
        <v>7</v>
      </c>
      <c r="J1193" s="1">
        <v>0</v>
      </c>
      <c r="K1193" s="12">
        <v>0</v>
      </c>
      <c r="L1193" s="1"/>
      <c r="M1193" s="12"/>
      <c r="N1193"/>
      <c r="O1193"/>
      <c r="P1193" s="2" t="str">
        <f>IF(BD_Receitas[[#This Row],[TIPO DE COBRANÇA]]="Operação Normal",
_xlfn.XLOOKUP(BD_Receitas[[#This Row],[ID]],TabCondicoesComerciais[ID],TabCondicoesComerciais[Volume mínimo 
(m3)],0),"")</f>
        <v/>
      </c>
      <c r="Q1193" s="2">
        <f>_xlfn.XLOOKUP(BD_Receitas[[#This Row],[ID]],TabCondicoesComerciais[ID],TabCondicoesComerciais[Vol. 1ºGiro],0)</f>
        <v>625</v>
      </c>
      <c r="R11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93" s="1">
        <f xml:space="preserve"> IF(BD_Receitas[[#This Row],[TIPO DE COBRANÇA]]="Operação Normal",
_xlfn.XLOOKUP(BD_Receitas[[#This Row],[ID]],TabCondicoesComerciais[ID],TabCondicoesComerciais[Tarifa 2º Giro],0),0)</f>
        <v>0</v>
      </c>
      <c r="T11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4" spans="1:24" hidden="1" x14ac:dyDescent="0.35">
      <c r="A1194" s="3" t="s">
        <v>208</v>
      </c>
      <c r="B1194" s="11">
        <v>46296</v>
      </c>
      <c r="C1194" t="s">
        <v>31</v>
      </c>
      <c r="D1194" t="s">
        <v>202</v>
      </c>
      <c r="E1194" t="s">
        <v>35</v>
      </c>
      <c r="F1194" s="10" t="s">
        <v>22</v>
      </c>
      <c r="G1194" s="3" t="s">
        <v>11</v>
      </c>
      <c r="H1194" s="3" t="s">
        <v>207</v>
      </c>
      <c r="I1194" s="3" t="s">
        <v>8</v>
      </c>
      <c r="J1194" s="1">
        <v>0</v>
      </c>
      <c r="K1194" s="12">
        <v>0</v>
      </c>
      <c r="L1194" s="1"/>
      <c r="M1194" s="12"/>
      <c r="N1194"/>
      <c r="O1194"/>
      <c r="P1194" s="2" t="str">
        <f>IF(BD_Receitas[[#This Row],[TIPO DE COBRANÇA]]="Operação Normal",
_xlfn.XLOOKUP(BD_Receitas[[#This Row],[ID]],TabCondicoesComerciais[ID],TabCondicoesComerciais[Volume mínimo 
(m3)],0),"")</f>
        <v/>
      </c>
      <c r="Q1194" s="2">
        <f>_xlfn.XLOOKUP(BD_Receitas[[#This Row],[ID]],TabCondicoesComerciais[ID],TabCondicoesComerciais[Vol. 1ºGiro],0)</f>
        <v>625</v>
      </c>
      <c r="R11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194" s="1">
        <f xml:space="preserve"> IF(BD_Receitas[[#This Row],[TIPO DE COBRANÇA]]="Operação Normal",
_xlfn.XLOOKUP(BD_Receitas[[#This Row],[ID]],TabCondicoesComerciais[ID],TabCondicoesComerciais[Tarifa 2º Giro],0),0)</f>
        <v>0</v>
      </c>
      <c r="T11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5" spans="1:24" hidden="1" x14ac:dyDescent="0.35">
      <c r="A1195" s="3" t="s">
        <v>208</v>
      </c>
      <c r="B1195" s="11">
        <v>46296</v>
      </c>
      <c r="C1195" t="s">
        <v>31</v>
      </c>
      <c r="D1195" t="s">
        <v>202</v>
      </c>
      <c r="E1195" t="s">
        <v>35</v>
      </c>
      <c r="F1195" s="10" t="s">
        <v>22</v>
      </c>
      <c r="G1195" s="3" t="s">
        <v>11</v>
      </c>
      <c r="H1195" s="3" t="s">
        <v>207</v>
      </c>
      <c r="I1195" s="3" t="s">
        <v>15</v>
      </c>
      <c r="J1195" s="1">
        <v>47210.53</v>
      </c>
      <c r="K1195" s="12">
        <v>1875</v>
      </c>
      <c r="L1195" s="1"/>
      <c r="M1195" s="12"/>
      <c r="N1195"/>
      <c r="O1195"/>
      <c r="P1195" s="2">
        <f>IF(BD_Receitas[[#This Row],[TIPO DE COBRANÇA]]="Operação Normal",
_xlfn.XLOOKUP(BD_Receitas[[#This Row],[ID]],TabCondicoesComerciais[ID],TabCondicoesComerciais[Volume mínimo 
(m3)],0),"")</f>
        <v>1875</v>
      </c>
      <c r="Q1195" s="2">
        <f>_xlfn.XLOOKUP(BD_Receitas[[#This Row],[ID]],TabCondicoesComerciais[ID],TabCondicoesComerciais[Vol. 1ºGiro],0)</f>
        <v>625</v>
      </c>
      <c r="R11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195" s="1">
        <f xml:space="preserve"> IF(BD_Receitas[[#This Row],[TIPO DE COBRANÇA]]="Operação Normal",
_xlfn.XLOOKUP(BD_Receitas[[#This Row],[ID]],TabCondicoesComerciais[ID],TabCondicoesComerciais[Tarifa 2º Giro],0),0)</f>
        <v>33</v>
      </c>
      <c r="T119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1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196" spans="1:24" hidden="1" x14ac:dyDescent="0.35">
      <c r="A1196" s="3" t="s">
        <v>208</v>
      </c>
      <c r="B1196" s="11">
        <v>46296</v>
      </c>
      <c r="C1196" t="s">
        <v>31</v>
      </c>
      <c r="D1196" t="s">
        <v>202</v>
      </c>
      <c r="E1196" t="s">
        <v>35</v>
      </c>
      <c r="F1196" s="10" t="s">
        <v>22</v>
      </c>
      <c r="G1196" s="3" t="s">
        <v>11</v>
      </c>
      <c r="H1196" s="3" t="s">
        <v>207</v>
      </c>
      <c r="I1196" s="3" t="s">
        <v>65</v>
      </c>
      <c r="J1196" s="1">
        <v>0</v>
      </c>
      <c r="K1196" s="12">
        <v>0</v>
      </c>
      <c r="L1196" s="1"/>
      <c r="M1196" s="12"/>
      <c r="N1196"/>
      <c r="O1196"/>
      <c r="P1196" s="2" t="str">
        <f>IF(BD_Receitas[[#This Row],[TIPO DE COBRANÇA]]="Operação Normal",
_xlfn.XLOOKUP(BD_Receitas[[#This Row],[ID]],TabCondicoesComerciais[ID],TabCondicoesComerciais[Volume mínimo 
(m3)],0),"")</f>
        <v/>
      </c>
      <c r="Q1196" s="2">
        <f>_xlfn.XLOOKUP(BD_Receitas[[#This Row],[ID]],TabCondicoesComerciais[ID],TabCondicoesComerciais[Vol. 1ºGiro],0)</f>
        <v>625</v>
      </c>
      <c r="R11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96" s="1">
        <f xml:space="preserve"> IF(BD_Receitas[[#This Row],[TIPO DE COBRANÇA]]="Operação Normal",
_xlfn.XLOOKUP(BD_Receitas[[#This Row],[ID]],TabCondicoesComerciais[ID],TabCondicoesComerciais[Tarifa 2º Giro],0),0)</f>
        <v>0</v>
      </c>
      <c r="T11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7" spans="1:24" hidden="1" x14ac:dyDescent="0.35">
      <c r="A1197" s="3" t="s">
        <v>190</v>
      </c>
      <c r="B1197" s="11">
        <v>46296</v>
      </c>
      <c r="C1197" t="s">
        <v>31</v>
      </c>
      <c r="D1197" t="s">
        <v>202</v>
      </c>
      <c r="E1197" t="s">
        <v>35</v>
      </c>
      <c r="F1197" s="10" t="s">
        <v>22</v>
      </c>
      <c r="G1197" s="3" t="s">
        <v>11</v>
      </c>
      <c r="H1197" s="3" t="s">
        <v>116</v>
      </c>
      <c r="I1197" s="3" t="s">
        <v>7</v>
      </c>
      <c r="J1197" s="1">
        <v>0</v>
      </c>
      <c r="K1197" s="12">
        <v>0</v>
      </c>
      <c r="L1197" s="1"/>
      <c r="M1197" s="12"/>
      <c r="N1197"/>
      <c r="O1197"/>
      <c r="P1197" s="2" t="str">
        <f>IF(BD_Receitas[[#This Row],[TIPO DE COBRANÇA]]="Operação Normal",
_xlfn.XLOOKUP(BD_Receitas[[#This Row],[ID]],TabCondicoesComerciais[ID],TabCondicoesComerciais[Volume mínimo 
(m3)],0),"")</f>
        <v/>
      </c>
      <c r="Q1197" s="2">
        <f>_xlfn.XLOOKUP(BD_Receitas[[#This Row],[ID]],TabCondicoesComerciais[ID],TabCondicoesComerciais[Vol. 1ºGiro],0)</f>
        <v>580</v>
      </c>
      <c r="R11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97" s="1">
        <f xml:space="preserve"> IF(BD_Receitas[[#This Row],[TIPO DE COBRANÇA]]="Operação Normal",
_xlfn.XLOOKUP(BD_Receitas[[#This Row],[ID]],TabCondicoesComerciais[ID],TabCondicoesComerciais[Tarifa 2º Giro],0),0)</f>
        <v>0</v>
      </c>
      <c r="T11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8" spans="1:24" hidden="1" x14ac:dyDescent="0.35">
      <c r="A1198" s="3" t="s">
        <v>190</v>
      </c>
      <c r="B1198" s="11">
        <v>46296</v>
      </c>
      <c r="C1198" t="s">
        <v>31</v>
      </c>
      <c r="D1198" t="s">
        <v>202</v>
      </c>
      <c r="E1198" t="s">
        <v>35</v>
      </c>
      <c r="F1198" s="10" t="s">
        <v>22</v>
      </c>
      <c r="G1198" s="3" t="s">
        <v>11</v>
      </c>
      <c r="H1198" s="3" t="s">
        <v>116</v>
      </c>
      <c r="I1198" s="3" t="s">
        <v>8</v>
      </c>
      <c r="J1198" s="1">
        <v>0</v>
      </c>
      <c r="K1198" s="12">
        <v>0</v>
      </c>
      <c r="L1198" s="1"/>
      <c r="M1198" s="12"/>
      <c r="N1198"/>
      <c r="O1198"/>
      <c r="P1198" s="2" t="str">
        <f>IF(BD_Receitas[[#This Row],[TIPO DE COBRANÇA]]="Operação Normal",
_xlfn.XLOOKUP(BD_Receitas[[#This Row],[ID]],TabCondicoesComerciais[ID],TabCondicoesComerciais[Volume mínimo 
(m3)],0),"")</f>
        <v/>
      </c>
      <c r="Q1198" s="2">
        <f>_xlfn.XLOOKUP(BD_Receitas[[#This Row],[ID]],TabCondicoesComerciais[ID],TabCondicoesComerciais[Vol. 1ºGiro],0)</f>
        <v>580</v>
      </c>
      <c r="R11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198" s="1">
        <f xml:space="preserve"> IF(BD_Receitas[[#This Row],[TIPO DE COBRANÇA]]="Operação Normal",
_xlfn.XLOOKUP(BD_Receitas[[#This Row],[ID]],TabCondicoesComerciais[ID],TabCondicoesComerciais[Tarifa 2º Giro],0),0)</f>
        <v>0</v>
      </c>
      <c r="T11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1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1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1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1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199" spans="1:24" hidden="1" x14ac:dyDescent="0.35">
      <c r="A1199" s="3" t="s">
        <v>190</v>
      </c>
      <c r="B1199" s="11">
        <v>46296</v>
      </c>
      <c r="C1199" t="s">
        <v>31</v>
      </c>
      <c r="D1199" t="s">
        <v>202</v>
      </c>
      <c r="E1199" t="s">
        <v>35</v>
      </c>
      <c r="F1199" s="10" t="s">
        <v>22</v>
      </c>
      <c r="G1199" s="3" t="s">
        <v>11</v>
      </c>
      <c r="H1199" s="3" t="s">
        <v>116</v>
      </c>
      <c r="I1199" s="3" t="s">
        <v>15</v>
      </c>
      <c r="J1199" s="1">
        <v>0</v>
      </c>
      <c r="K1199" s="12">
        <v>0</v>
      </c>
      <c r="L1199" s="1"/>
      <c r="M1199" s="12"/>
      <c r="N1199"/>
      <c r="O1199"/>
      <c r="P1199" s="2">
        <f>IF(BD_Receitas[[#This Row],[TIPO DE COBRANÇA]]="Operação Normal",
_xlfn.XLOOKUP(BD_Receitas[[#This Row],[ID]],TabCondicoesComerciais[ID],TabCondicoesComerciais[Volume mínimo 
(m3)],0),"")</f>
        <v>2000</v>
      </c>
      <c r="Q1199" s="2">
        <f>_xlfn.XLOOKUP(BD_Receitas[[#This Row],[ID]],TabCondicoesComerciais[ID],TabCondicoesComerciais[Vol. 1ºGiro],0)</f>
        <v>580</v>
      </c>
      <c r="R11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199" s="1">
        <f xml:space="preserve"> IF(BD_Receitas[[#This Row],[TIPO DE COBRANÇA]]="Operação Normal",
_xlfn.XLOOKUP(BD_Receitas[[#This Row],[ID]],TabCondicoesComerciais[ID],TabCondicoesComerciais[Tarifa 2º Giro],0),0)</f>
        <v>27</v>
      </c>
      <c r="T119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1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1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1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1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00" spans="1:24" hidden="1" x14ac:dyDescent="0.35">
      <c r="A1200" s="3" t="s">
        <v>190</v>
      </c>
      <c r="B1200" s="11">
        <v>46296</v>
      </c>
      <c r="C1200" t="s">
        <v>31</v>
      </c>
      <c r="D1200" t="s">
        <v>202</v>
      </c>
      <c r="E1200" t="s">
        <v>35</v>
      </c>
      <c r="F1200" s="10" t="s">
        <v>22</v>
      </c>
      <c r="G1200" s="3" t="s">
        <v>11</v>
      </c>
      <c r="H1200" s="3" t="s">
        <v>116</v>
      </c>
      <c r="I1200" s="3" t="s">
        <v>65</v>
      </c>
      <c r="J1200" s="1">
        <v>0</v>
      </c>
      <c r="K1200" s="12">
        <v>0</v>
      </c>
      <c r="L1200" s="1"/>
      <c r="M1200" s="12"/>
      <c r="N1200"/>
      <c r="O1200"/>
      <c r="P1200" s="2" t="str">
        <f>IF(BD_Receitas[[#This Row],[TIPO DE COBRANÇA]]="Operação Normal",
_xlfn.XLOOKUP(BD_Receitas[[#This Row],[ID]],TabCondicoesComerciais[ID],TabCondicoesComerciais[Volume mínimo 
(m3)],0),"")</f>
        <v/>
      </c>
      <c r="Q1200" s="2">
        <f>_xlfn.XLOOKUP(BD_Receitas[[#This Row],[ID]],TabCondicoesComerciais[ID],TabCondicoesComerciais[Vol. 1ºGiro],0)</f>
        <v>580</v>
      </c>
      <c r="R12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0" s="1">
        <f xml:space="preserve"> IF(BD_Receitas[[#This Row],[TIPO DE COBRANÇA]]="Operação Normal",
_xlfn.XLOOKUP(BD_Receitas[[#This Row],[ID]],TabCondicoesComerciais[ID],TabCondicoesComerciais[Tarifa 2º Giro],0),0)</f>
        <v>0</v>
      </c>
      <c r="T12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1" spans="1:24" hidden="1" x14ac:dyDescent="0.35">
      <c r="A1201" s="3" t="s">
        <v>172</v>
      </c>
      <c r="B1201" s="11">
        <v>46296</v>
      </c>
      <c r="C1201" t="s">
        <v>31</v>
      </c>
      <c r="D1201" t="s">
        <v>202</v>
      </c>
      <c r="E1201" t="s">
        <v>35</v>
      </c>
      <c r="F1201" s="10" t="s">
        <v>22</v>
      </c>
      <c r="G1201" s="3" t="s">
        <v>11</v>
      </c>
      <c r="H1201" s="3" t="s">
        <v>13</v>
      </c>
      <c r="I1201" s="3" t="s">
        <v>7</v>
      </c>
      <c r="J1201" s="1">
        <v>0</v>
      </c>
      <c r="K1201" s="12">
        <v>0</v>
      </c>
      <c r="L1201" s="1"/>
      <c r="M1201" s="12"/>
      <c r="N1201"/>
      <c r="O1201"/>
      <c r="P1201" s="2" t="str">
        <f>IF(BD_Receitas[[#This Row],[TIPO DE COBRANÇA]]="Operação Normal",
_xlfn.XLOOKUP(BD_Receitas[[#This Row],[ID]],TabCondicoesComerciais[ID],TabCondicoesComerciais[Volume mínimo 
(m3)],0),"")</f>
        <v/>
      </c>
      <c r="Q1201" s="2">
        <f>_xlfn.XLOOKUP(BD_Receitas[[#This Row],[ID]],TabCondicoesComerciais[ID],TabCondicoesComerciais[Vol. 1ºGiro],0)</f>
        <v>750</v>
      </c>
      <c r="R12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01" s="1">
        <f xml:space="preserve"> IF(BD_Receitas[[#This Row],[TIPO DE COBRANÇA]]="Operação Normal",
_xlfn.XLOOKUP(BD_Receitas[[#This Row],[ID]],TabCondicoesComerciais[ID],TabCondicoesComerciais[Tarifa 2º Giro],0),0)</f>
        <v>0</v>
      </c>
      <c r="T12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2" spans="1:24" hidden="1" x14ac:dyDescent="0.35">
      <c r="A1202" s="3" t="s">
        <v>172</v>
      </c>
      <c r="B1202" s="11">
        <v>46296</v>
      </c>
      <c r="C1202" t="s">
        <v>31</v>
      </c>
      <c r="D1202" t="s">
        <v>202</v>
      </c>
      <c r="E1202" t="s">
        <v>35</v>
      </c>
      <c r="F1202" s="10" t="s">
        <v>22</v>
      </c>
      <c r="G1202" s="3" t="s">
        <v>11</v>
      </c>
      <c r="H1202" s="3" t="s">
        <v>13</v>
      </c>
      <c r="I1202" s="3" t="s">
        <v>8</v>
      </c>
      <c r="J1202" s="1">
        <v>0</v>
      </c>
      <c r="K1202" s="12">
        <v>0</v>
      </c>
      <c r="L1202" s="1"/>
      <c r="M1202" s="12"/>
      <c r="N1202"/>
      <c r="O1202"/>
      <c r="P1202" s="2" t="str">
        <f>IF(BD_Receitas[[#This Row],[TIPO DE COBRANÇA]]="Operação Normal",
_xlfn.XLOOKUP(BD_Receitas[[#This Row],[ID]],TabCondicoesComerciais[ID],TabCondicoesComerciais[Volume mínimo 
(m3)],0),"")</f>
        <v/>
      </c>
      <c r="Q1202" s="2">
        <f>_xlfn.XLOOKUP(BD_Receitas[[#This Row],[ID]],TabCondicoesComerciais[ID],TabCondicoesComerciais[Vol. 1ºGiro],0)</f>
        <v>750</v>
      </c>
      <c r="R12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02" s="1">
        <f xml:space="preserve"> IF(BD_Receitas[[#This Row],[TIPO DE COBRANÇA]]="Operação Normal",
_xlfn.XLOOKUP(BD_Receitas[[#This Row],[ID]],TabCondicoesComerciais[ID],TabCondicoesComerciais[Tarifa 2º Giro],0),0)</f>
        <v>0</v>
      </c>
      <c r="T12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3" spans="1:24" hidden="1" x14ac:dyDescent="0.35">
      <c r="A1203" s="3" t="s">
        <v>172</v>
      </c>
      <c r="B1203" s="11">
        <v>46296</v>
      </c>
      <c r="C1203" t="s">
        <v>31</v>
      </c>
      <c r="D1203" t="s">
        <v>202</v>
      </c>
      <c r="E1203" t="s">
        <v>35</v>
      </c>
      <c r="F1203" s="10" t="s">
        <v>22</v>
      </c>
      <c r="G1203" s="3" t="s">
        <v>11</v>
      </c>
      <c r="H1203" s="3" t="s">
        <v>13</v>
      </c>
      <c r="I1203" s="3" t="s">
        <v>15</v>
      </c>
      <c r="J1203" s="1">
        <v>0</v>
      </c>
      <c r="K1203" s="12">
        <v>0</v>
      </c>
      <c r="L1203" s="1"/>
      <c r="M1203" s="12"/>
      <c r="N1203"/>
      <c r="O1203"/>
      <c r="P1203" s="2">
        <f>IF(BD_Receitas[[#This Row],[TIPO DE COBRANÇA]]="Operação Normal",
_xlfn.XLOOKUP(BD_Receitas[[#This Row],[ID]],TabCondicoesComerciais[ID],TabCondicoesComerciais[Volume mínimo 
(m3)],0),"")</f>
        <v>0</v>
      </c>
      <c r="Q1203" s="2">
        <f>_xlfn.XLOOKUP(BD_Receitas[[#This Row],[ID]],TabCondicoesComerciais[ID],TabCondicoesComerciais[Vol. 1ºGiro],0)</f>
        <v>750</v>
      </c>
      <c r="R12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203" s="1">
        <f xml:space="preserve"> IF(BD_Receitas[[#This Row],[TIPO DE COBRANÇA]]="Operação Normal",
_xlfn.XLOOKUP(BD_Receitas[[#This Row],[ID]],TabCondicoesComerciais[ID],TabCondicoesComerciais[Tarifa 2º Giro],0),0)</f>
        <v>22.2</v>
      </c>
      <c r="T120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04" spans="1:24" hidden="1" x14ac:dyDescent="0.35">
      <c r="A1204" s="3" t="s">
        <v>172</v>
      </c>
      <c r="B1204" s="11">
        <v>46296</v>
      </c>
      <c r="C1204" t="s">
        <v>31</v>
      </c>
      <c r="D1204" t="s">
        <v>202</v>
      </c>
      <c r="E1204" t="s">
        <v>35</v>
      </c>
      <c r="F1204" s="10" t="s">
        <v>22</v>
      </c>
      <c r="G1204" s="3" t="s">
        <v>11</v>
      </c>
      <c r="H1204" s="3" t="s">
        <v>13</v>
      </c>
      <c r="I1204" s="3" t="s">
        <v>65</v>
      </c>
      <c r="J1204" s="1">
        <v>0</v>
      </c>
      <c r="K1204" s="12">
        <v>0</v>
      </c>
      <c r="L1204" s="1"/>
      <c r="M1204" s="12"/>
      <c r="N1204"/>
      <c r="O1204"/>
      <c r="P1204" s="2" t="str">
        <f>IF(BD_Receitas[[#This Row],[TIPO DE COBRANÇA]]="Operação Normal",
_xlfn.XLOOKUP(BD_Receitas[[#This Row],[ID]],TabCondicoesComerciais[ID],TabCondicoesComerciais[Volume mínimo 
(m3)],0),"")</f>
        <v/>
      </c>
      <c r="Q1204" s="2">
        <f>_xlfn.XLOOKUP(BD_Receitas[[#This Row],[ID]],TabCondicoesComerciais[ID],TabCondicoesComerciais[Vol. 1ºGiro],0)</f>
        <v>750</v>
      </c>
      <c r="R12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4" s="1">
        <f xml:space="preserve"> IF(BD_Receitas[[#This Row],[TIPO DE COBRANÇA]]="Operação Normal",
_xlfn.XLOOKUP(BD_Receitas[[#This Row],[ID]],TabCondicoesComerciais[ID],TabCondicoesComerciais[Tarifa 2º Giro],0),0)</f>
        <v>0</v>
      </c>
      <c r="T12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5" spans="1:24" hidden="1" x14ac:dyDescent="0.35">
      <c r="A1205" s="3" t="s">
        <v>201</v>
      </c>
      <c r="B1205" s="11">
        <v>46296</v>
      </c>
      <c r="C1205" t="s">
        <v>31</v>
      </c>
      <c r="D1205" t="s">
        <v>202</v>
      </c>
      <c r="E1205" t="s">
        <v>35</v>
      </c>
      <c r="F1205" s="10" t="s">
        <v>22</v>
      </c>
      <c r="G1205" s="3" t="s">
        <v>11</v>
      </c>
      <c r="H1205" s="3" t="s">
        <v>6</v>
      </c>
      <c r="I1205" s="3" t="s">
        <v>7</v>
      </c>
      <c r="J1205" s="1"/>
      <c r="K1205" s="12"/>
      <c r="L1205" s="1"/>
      <c r="M1205" s="12"/>
      <c r="N1205"/>
      <c r="O1205"/>
      <c r="P1205" s="2" t="str">
        <f>IF(BD_Receitas[[#This Row],[TIPO DE COBRANÇA]]="Operação Normal",
_xlfn.XLOOKUP(BD_Receitas[[#This Row],[ID]],TabCondicoesComerciais[ID],TabCondicoesComerciais[Volume mínimo 
(m3)],0),"")</f>
        <v/>
      </c>
      <c r="Q1205" s="2">
        <f>_xlfn.XLOOKUP(BD_Receitas[[#This Row],[ID]],TabCondicoesComerciais[ID],TabCondicoesComerciais[Vol. 1ºGiro],0)</f>
        <v>300</v>
      </c>
      <c r="R12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5" s="1">
        <f xml:space="preserve"> IF(BD_Receitas[[#This Row],[TIPO DE COBRANÇA]]="Operação Normal",
_xlfn.XLOOKUP(BD_Receitas[[#This Row],[ID]],TabCondicoesComerciais[ID],TabCondicoesComerciais[Tarifa 2º Giro],0),0)</f>
        <v>0</v>
      </c>
      <c r="T12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6" spans="1:24" hidden="1" x14ac:dyDescent="0.35">
      <c r="A1206" s="3" t="s">
        <v>201</v>
      </c>
      <c r="B1206" s="11">
        <v>46296</v>
      </c>
      <c r="C1206" t="s">
        <v>31</v>
      </c>
      <c r="D1206" t="s">
        <v>202</v>
      </c>
      <c r="E1206" t="s">
        <v>35</v>
      </c>
      <c r="F1206" s="10" t="s">
        <v>22</v>
      </c>
      <c r="G1206" s="3" t="s">
        <v>11</v>
      </c>
      <c r="H1206" s="3" t="s">
        <v>6</v>
      </c>
      <c r="I1206" s="3" t="s">
        <v>8</v>
      </c>
      <c r="J1206" s="1"/>
      <c r="K1206" s="12"/>
      <c r="L1206" s="1"/>
      <c r="M1206" s="12"/>
      <c r="N1206"/>
      <c r="O1206"/>
      <c r="P1206" s="2" t="str">
        <f>IF(BD_Receitas[[#This Row],[TIPO DE COBRANÇA]]="Operação Normal",
_xlfn.XLOOKUP(BD_Receitas[[#This Row],[ID]],TabCondicoesComerciais[ID],TabCondicoesComerciais[Volume mínimo 
(m3)],0),"")</f>
        <v/>
      </c>
      <c r="Q1206" s="2">
        <f>_xlfn.XLOOKUP(BD_Receitas[[#This Row],[ID]],TabCondicoesComerciais[ID],TabCondicoesComerciais[Vol. 1ºGiro],0)</f>
        <v>300</v>
      </c>
      <c r="R12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6" s="1">
        <f xml:space="preserve"> IF(BD_Receitas[[#This Row],[TIPO DE COBRANÇA]]="Operação Normal",
_xlfn.XLOOKUP(BD_Receitas[[#This Row],[ID]],TabCondicoesComerciais[ID],TabCondicoesComerciais[Tarifa 2º Giro],0),0)</f>
        <v>0</v>
      </c>
      <c r="T12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7" spans="1:24" hidden="1" x14ac:dyDescent="0.35">
      <c r="A1207" s="3" t="s">
        <v>201</v>
      </c>
      <c r="B1207" s="11">
        <v>46296</v>
      </c>
      <c r="C1207" t="s">
        <v>31</v>
      </c>
      <c r="D1207" t="s">
        <v>202</v>
      </c>
      <c r="E1207" t="s">
        <v>35</v>
      </c>
      <c r="F1207" s="10" t="s">
        <v>22</v>
      </c>
      <c r="G1207" s="3" t="s">
        <v>11</v>
      </c>
      <c r="H1207" s="3" t="s">
        <v>6</v>
      </c>
      <c r="I1207" s="3" t="s">
        <v>15</v>
      </c>
      <c r="J1207" s="1"/>
      <c r="K1207" s="12"/>
      <c r="L1207" s="1"/>
      <c r="M1207" s="12"/>
      <c r="N1207"/>
      <c r="O1207"/>
      <c r="P1207" s="2">
        <f>IF(BD_Receitas[[#This Row],[TIPO DE COBRANÇA]]="Operação Normal",
_xlfn.XLOOKUP(BD_Receitas[[#This Row],[ID]],TabCondicoesComerciais[ID],TabCondicoesComerciais[Volume mínimo 
(m3)],0),"")</f>
        <v>0</v>
      </c>
      <c r="Q1207" s="2">
        <f>_xlfn.XLOOKUP(BD_Receitas[[#This Row],[ID]],TabCondicoesComerciais[ID],TabCondicoesComerciais[Vol. 1ºGiro],0)</f>
        <v>300</v>
      </c>
      <c r="R12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207" s="1">
        <f xml:space="preserve"> IF(BD_Receitas[[#This Row],[TIPO DE COBRANÇA]]="Operação Normal",
_xlfn.XLOOKUP(BD_Receitas[[#This Row],[ID]],TabCondicoesComerciais[ID],TabCondicoesComerciais[Tarifa 2º Giro],0),0)</f>
        <v>30</v>
      </c>
      <c r="T120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08" spans="1:24" hidden="1" x14ac:dyDescent="0.35">
      <c r="A1208" s="3" t="s">
        <v>201</v>
      </c>
      <c r="B1208" s="11">
        <v>46296</v>
      </c>
      <c r="C1208" t="s">
        <v>31</v>
      </c>
      <c r="D1208" t="s">
        <v>202</v>
      </c>
      <c r="E1208" t="s">
        <v>35</v>
      </c>
      <c r="F1208" s="10" t="s">
        <v>22</v>
      </c>
      <c r="G1208" s="3" t="s">
        <v>11</v>
      </c>
      <c r="H1208" s="3" t="s">
        <v>6</v>
      </c>
      <c r="I1208" s="3" t="s">
        <v>65</v>
      </c>
      <c r="J1208" s="1"/>
      <c r="K1208" s="12"/>
      <c r="L1208" s="1"/>
      <c r="M1208" s="12"/>
      <c r="N1208"/>
      <c r="O1208"/>
      <c r="P1208" s="2" t="str">
        <f>IF(BD_Receitas[[#This Row],[TIPO DE COBRANÇA]]="Operação Normal",
_xlfn.XLOOKUP(BD_Receitas[[#This Row],[ID]],TabCondicoesComerciais[ID],TabCondicoesComerciais[Volume mínimo 
(m3)],0),"")</f>
        <v/>
      </c>
      <c r="Q1208" s="2">
        <f>_xlfn.XLOOKUP(BD_Receitas[[#This Row],[ID]],TabCondicoesComerciais[ID],TabCondicoesComerciais[Vol. 1ºGiro],0)</f>
        <v>300</v>
      </c>
      <c r="R12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08" s="1">
        <f xml:space="preserve"> IF(BD_Receitas[[#This Row],[TIPO DE COBRANÇA]]="Operação Normal",
_xlfn.XLOOKUP(BD_Receitas[[#This Row],[ID]],TabCondicoesComerciais[ID],TabCondicoesComerciais[Tarifa 2º Giro],0),0)</f>
        <v>0</v>
      </c>
      <c r="T12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09" spans="1:24" hidden="1" x14ac:dyDescent="0.35">
      <c r="A1209" s="3" t="s">
        <v>263</v>
      </c>
      <c r="B1209" s="11">
        <v>46296</v>
      </c>
      <c r="C1209" t="s">
        <v>31</v>
      </c>
      <c r="D1209" t="s">
        <v>62</v>
      </c>
      <c r="E1209" t="s">
        <v>33</v>
      </c>
      <c r="F1209" s="10" t="s">
        <v>46</v>
      </c>
      <c r="G1209" s="3" t="s">
        <v>87</v>
      </c>
      <c r="H1209" s="3" t="s">
        <v>9</v>
      </c>
      <c r="I1209" s="3" t="s">
        <v>7</v>
      </c>
      <c r="J1209" s="1">
        <v>0</v>
      </c>
      <c r="K1209" s="12">
        <v>0</v>
      </c>
      <c r="L1209" s="1"/>
      <c r="M1209" s="12"/>
      <c r="N1209"/>
      <c r="O1209"/>
      <c r="P1209" s="2" t="str">
        <f>IF(BD_Receitas[[#This Row],[TIPO DE COBRANÇA]]="Operação Normal",
_xlfn.XLOOKUP(BD_Receitas[[#This Row],[ID]],TabCondicoesComerciais[ID],TabCondicoesComerciais[Volume mínimo 
(m3)],0),"")</f>
        <v/>
      </c>
      <c r="Q1209" s="2">
        <f>_xlfn.XLOOKUP(BD_Receitas[[#This Row],[ID]],TabCondicoesComerciais[ID],TabCondicoesComerciais[Vol. 1ºGiro],0)</f>
        <v>1070</v>
      </c>
      <c r="R12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209" s="1">
        <f xml:space="preserve"> IF(BD_Receitas[[#This Row],[TIPO DE COBRANÇA]]="Operação Normal",
_xlfn.XLOOKUP(BD_Receitas[[#This Row],[ID]],TabCondicoesComerciais[ID],TabCondicoesComerciais[Tarifa 2º Giro],0),0)</f>
        <v>0</v>
      </c>
      <c r="T12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0" spans="1:24" hidden="1" x14ac:dyDescent="0.35">
      <c r="A1210" s="3" t="s">
        <v>263</v>
      </c>
      <c r="B1210" s="11">
        <v>46296</v>
      </c>
      <c r="C1210" t="s">
        <v>31</v>
      </c>
      <c r="D1210" t="s">
        <v>62</v>
      </c>
      <c r="E1210" t="s">
        <v>33</v>
      </c>
      <c r="F1210" s="10" t="s">
        <v>46</v>
      </c>
      <c r="G1210" s="3" t="s">
        <v>87</v>
      </c>
      <c r="H1210" s="3" t="s">
        <v>9</v>
      </c>
      <c r="I1210" s="3" t="s">
        <v>8</v>
      </c>
      <c r="J1210" s="1">
        <v>0</v>
      </c>
      <c r="K1210" s="12">
        <v>0</v>
      </c>
      <c r="L1210" s="1"/>
      <c r="M1210" s="12"/>
      <c r="N1210"/>
      <c r="O1210"/>
      <c r="P1210" s="2" t="str">
        <f>IF(BD_Receitas[[#This Row],[TIPO DE COBRANÇA]]="Operação Normal",
_xlfn.XLOOKUP(BD_Receitas[[#This Row],[ID]],TabCondicoesComerciais[ID],TabCondicoesComerciais[Volume mínimo 
(m3)],0),"")</f>
        <v/>
      </c>
      <c r="Q1210" s="2">
        <f>_xlfn.XLOOKUP(BD_Receitas[[#This Row],[ID]],TabCondicoesComerciais[ID],TabCondicoesComerciais[Vol. 1ºGiro],0)</f>
        <v>1070</v>
      </c>
      <c r="R12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210" s="1">
        <f xml:space="preserve"> IF(BD_Receitas[[#This Row],[TIPO DE COBRANÇA]]="Operação Normal",
_xlfn.XLOOKUP(BD_Receitas[[#This Row],[ID]],TabCondicoesComerciais[ID],TabCondicoesComerciais[Tarifa 2º Giro],0),0)</f>
        <v>0</v>
      </c>
      <c r="T12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1" spans="1:24" hidden="1" x14ac:dyDescent="0.35">
      <c r="A1211" s="3" t="s">
        <v>263</v>
      </c>
      <c r="B1211" s="11">
        <v>46296</v>
      </c>
      <c r="C1211" t="s">
        <v>31</v>
      </c>
      <c r="D1211" t="s">
        <v>62</v>
      </c>
      <c r="E1211" t="s">
        <v>33</v>
      </c>
      <c r="F1211" s="10" t="s">
        <v>46</v>
      </c>
      <c r="G1211" s="3" t="s">
        <v>87</v>
      </c>
      <c r="H1211" s="3" t="s">
        <v>9</v>
      </c>
      <c r="I1211" s="3" t="s">
        <v>15</v>
      </c>
      <c r="J1211" s="1">
        <v>65348.32</v>
      </c>
      <c r="K1211" s="12">
        <v>1926</v>
      </c>
      <c r="L1211" s="1"/>
      <c r="M1211" s="12"/>
      <c r="N1211"/>
      <c r="O1211"/>
      <c r="P1211" s="2">
        <f>IF(BD_Receitas[[#This Row],[TIPO DE COBRANÇA]]="Operação Normal",
_xlfn.XLOOKUP(BD_Receitas[[#This Row],[ID]],TabCondicoesComerciais[ID],TabCondicoesComerciais[Volume mínimo 
(m3)],0),"")</f>
        <v>3210</v>
      </c>
      <c r="Q1211" s="2">
        <f>_xlfn.XLOOKUP(BD_Receitas[[#This Row],[ID]],TabCondicoesComerciais[ID],TabCondicoesComerciais[Vol. 1ºGiro],0)</f>
        <v>1070</v>
      </c>
      <c r="R12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211" s="1">
        <f xml:space="preserve"> IF(BD_Receitas[[#This Row],[TIPO DE COBRANÇA]]="Operação Normal",
_xlfn.XLOOKUP(BD_Receitas[[#This Row],[ID]],TabCondicoesComerciais[ID],TabCondicoesComerciais[Tarifa 2º Giro],0),0)</f>
        <v>32.64</v>
      </c>
      <c r="T121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2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12" spans="1:24" hidden="1" x14ac:dyDescent="0.35">
      <c r="A1212" s="3" t="s">
        <v>263</v>
      </c>
      <c r="B1212" s="11">
        <v>46296</v>
      </c>
      <c r="C1212" t="s">
        <v>31</v>
      </c>
      <c r="D1212" t="s">
        <v>62</v>
      </c>
      <c r="E1212" t="s">
        <v>33</v>
      </c>
      <c r="F1212" s="10" t="s">
        <v>46</v>
      </c>
      <c r="G1212" s="3" t="s">
        <v>87</v>
      </c>
      <c r="H1212" s="3" t="s">
        <v>9</v>
      </c>
      <c r="I1212" s="3" t="s">
        <v>65</v>
      </c>
      <c r="J1212" s="1">
        <v>0</v>
      </c>
      <c r="K1212" s="12">
        <v>0</v>
      </c>
      <c r="L1212" s="1"/>
      <c r="M1212" s="12"/>
      <c r="N1212"/>
      <c r="O1212"/>
      <c r="P1212" s="2" t="str">
        <f>IF(BD_Receitas[[#This Row],[TIPO DE COBRANÇA]]="Operação Normal",
_xlfn.XLOOKUP(BD_Receitas[[#This Row],[ID]],TabCondicoesComerciais[ID],TabCondicoesComerciais[Volume mínimo 
(m3)],0),"")</f>
        <v/>
      </c>
      <c r="Q1212" s="2">
        <f>_xlfn.XLOOKUP(BD_Receitas[[#This Row],[ID]],TabCondicoesComerciais[ID],TabCondicoesComerciais[Vol. 1ºGiro],0)</f>
        <v>1070</v>
      </c>
      <c r="R12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12" s="1">
        <f xml:space="preserve"> IF(BD_Receitas[[#This Row],[TIPO DE COBRANÇA]]="Operação Normal",
_xlfn.XLOOKUP(BD_Receitas[[#This Row],[ID]],TabCondicoesComerciais[ID],TabCondicoesComerciais[Tarifa 2º Giro],0),0)</f>
        <v>0</v>
      </c>
      <c r="T12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3" spans="1:24" hidden="1" x14ac:dyDescent="0.35">
      <c r="A1213" s="3" t="s">
        <v>200</v>
      </c>
      <c r="B1213" s="11">
        <v>46296</v>
      </c>
      <c r="C1213" t="s">
        <v>31</v>
      </c>
      <c r="D1213" t="s">
        <v>203</v>
      </c>
      <c r="E1213" t="s">
        <v>32</v>
      </c>
      <c r="F1213" s="10" t="s">
        <v>25</v>
      </c>
      <c r="G1213" s="3" t="s">
        <v>12</v>
      </c>
      <c r="H1213" s="3" t="s">
        <v>10</v>
      </c>
      <c r="I1213" s="3" t="s">
        <v>7</v>
      </c>
      <c r="J1213" s="1">
        <v>0</v>
      </c>
      <c r="K1213" s="12">
        <v>0</v>
      </c>
      <c r="L1213" s="1"/>
      <c r="M1213" s="12"/>
      <c r="N1213"/>
      <c r="O1213"/>
      <c r="P1213" s="2" t="str">
        <f>IF(BD_Receitas[[#This Row],[TIPO DE COBRANÇA]]="Operação Normal",
_xlfn.XLOOKUP(BD_Receitas[[#This Row],[ID]],TabCondicoesComerciais[ID],TabCondicoesComerciais[Volume mínimo 
(m3)],0),"")</f>
        <v/>
      </c>
      <c r="Q1213" s="2">
        <f>_xlfn.XLOOKUP(BD_Receitas[[#This Row],[ID]],TabCondicoesComerciais[ID],TabCondicoesComerciais[Vol. 1ºGiro],0)</f>
        <v>2000</v>
      </c>
      <c r="R12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13" s="1">
        <f xml:space="preserve"> IF(BD_Receitas[[#This Row],[TIPO DE COBRANÇA]]="Operação Normal",
_xlfn.XLOOKUP(BD_Receitas[[#This Row],[ID]],TabCondicoesComerciais[ID],TabCondicoesComerciais[Tarifa 2º Giro],0),0)</f>
        <v>0</v>
      </c>
      <c r="T12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4" spans="1:24" hidden="1" x14ac:dyDescent="0.35">
      <c r="A1214" s="3" t="s">
        <v>200</v>
      </c>
      <c r="B1214" s="11">
        <v>46296</v>
      </c>
      <c r="C1214" t="s">
        <v>31</v>
      </c>
      <c r="D1214" t="s">
        <v>203</v>
      </c>
      <c r="E1214" t="s">
        <v>32</v>
      </c>
      <c r="F1214" s="10" t="s">
        <v>25</v>
      </c>
      <c r="G1214" s="3" t="s">
        <v>12</v>
      </c>
      <c r="H1214" s="3" t="s">
        <v>10</v>
      </c>
      <c r="I1214" s="3" t="s">
        <v>8</v>
      </c>
      <c r="J1214" s="1">
        <v>0</v>
      </c>
      <c r="K1214" s="12">
        <v>0</v>
      </c>
      <c r="L1214" s="1"/>
      <c r="M1214" s="12"/>
      <c r="N1214"/>
      <c r="O1214"/>
      <c r="P1214" s="2" t="str">
        <f>IF(BD_Receitas[[#This Row],[TIPO DE COBRANÇA]]="Operação Normal",
_xlfn.XLOOKUP(BD_Receitas[[#This Row],[ID]],TabCondicoesComerciais[ID],TabCondicoesComerciais[Volume mínimo 
(m3)],0),"")</f>
        <v/>
      </c>
      <c r="Q1214" s="2">
        <f>_xlfn.XLOOKUP(BD_Receitas[[#This Row],[ID]],TabCondicoesComerciais[ID],TabCondicoesComerciais[Vol. 1ºGiro],0)</f>
        <v>2000</v>
      </c>
      <c r="R12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14" s="1">
        <f xml:space="preserve"> IF(BD_Receitas[[#This Row],[TIPO DE COBRANÇA]]="Operação Normal",
_xlfn.XLOOKUP(BD_Receitas[[#This Row],[ID]],TabCondicoesComerciais[ID],TabCondicoesComerciais[Tarifa 2º Giro],0),0)</f>
        <v>0</v>
      </c>
      <c r="T12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5" spans="1:24" hidden="1" x14ac:dyDescent="0.35">
      <c r="A1215" s="3" t="s">
        <v>200</v>
      </c>
      <c r="B1215" s="11">
        <v>46296</v>
      </c>
      <c r="C1215" t="s">
        <v>31</v>
      </c>
      <c r="D1215" t="s">
        <v>203</v>
      </c>
      <c r="E1215" t="s">
        <v>32</v>
      </c>
      <c r="F1215" s="10" t="s">
        <v>25</v>
      </c>
      <c r="G1215" s="3" t="s">
        <v>12</v>
      </c>
      <c r="H1215" s="3" t="s">
        <v>10</v>
      </c>
      <c r="I1215" s="3" t="s">
        <v>15</v>
      </c>
      <c r="J1215" s="1">
        <v>0</v>
      </c>
      <c r="K1215" s="12">
        <v>0</v>
      </c>
      <c r="L1215" s="1"/>
      <c r="M1215" s="12"/>
      <c r="N1215"/>
      <c r="O1215"/>
      <c r="P1215" s="2">
        <f>IF(BD_Receitas[[#This Row],[TIPO DE COBRANÇA]]="Operação Normal",
_xlfn.XLOOKUP(BD_Receitas[[#This Row],[ID]],TabCondicoesComerciais[ID],TabCondicoesComerciais[Volume mínimo 
(m3)],0),"")</f>
        <v>8000</v>
      </c>
      <c r="Q1215" s="2">
        <f>_xlfn.XLOOKUP(BD_Receitas[[#This Row],[ID]],TabCondicoesComerciais[ID],TabCondicoesComerciais[Vol. 1ºGiro],0)</f>
        <v>2000</v>
      </c>
      <c r="R12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215" s="1">
        <f xml:space="preserve"> IF(BD_Receitas[[#This Row],[TIPO DE COBRANÇA]]="Operação Normal",
_xlfn.XLOOKUP(BD_Receitas[[#This Row],[ID]],TabCondicoesComerciais[ID],TabCondicoesComerciais[Tarifa 2º Giro],0),0)</f>
        <v>20</v>
      </c>
      <c r="T121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2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16" spans="1:24" hidden="1" x14ac:dyDescent="0.35">
      <c r="A1216" s="3" t="s">
        <v>200</v>
      </c>
      <c r="B1216" s="11">
        <v>46296</v>
      </c>
      <c r="C1216" t="s">
        <v>31</v>
      </c>
      <c r="D1216" t="s">
        <v>203</v>
      </c>
      <c r="E1216" t="s">
        <v>32</v>
      </c>
      <c r="F1216" s="10" t="s">
        <v>25</v>
      </c>
      <c r="G1216" s="3" t="s">
        <v>12</v>
      </c>
      <c r="H1216" s="3" t="s">
        <v>10</v>
      </c>
      <c r="I1216" s="3" t="s">
        <v>65</v>
      </c>
      <c r="J1216" s="1">
        <v>0</v>
      </c>
      <c r="K1216" s="12">
        <v>0</v>
      </c>
      <c r="L1216" s="1"/>
      <c r="M1216" s="12"/>
      <c r="N1216"/>
      <c r="O1216"/>
      <c r="P1216" s="2" t="str">
        <f>IF(BD_Receitas[[#This Row],[TIPO DE COBRANÇA]]="Operação Normal",
_xlfn.XLOOKUP(BD_Receitas[[#This Row],[ID]],TabCondicoesComerciais[ID],TabCondicoesComerciais[Volume mínimo 
(m3)],0),"")</f>
        <v/>
      </c>
      <c r="Q1216" s="2">
        <f>_xlfn.XLOOKUP(BD_Receitas[[#This Row],[ID]],TabCondicoesComerciais[ID],TabCondicoesComerciais[Vol. 1ºGiro],0)</f>
        <v>2000</v>
      </c>
      <c r="R12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16" s="1">
        <f xml:space="preserve"> IF(BD_Receitas[[#This Row],[TIPO DE COBRANÇA]]="Operação Normal",
_xlfn.XLOOKUP(BD_Receitas[[#This Row],[ID]],TabCondicoesComerciais[ID],TabCondicoesComerciais[Tarifa 2º Giro],0),0)</f>
        <v>0</v>
      </c>
      <c r="T12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7" spans="1:24" hidden="1" x14ac:dyDescent="0.35">
      <c r="A1217" s="3" t="s">
        <v>342</v>
      </c>
      <c r="B1217" s="11">
        <v>46296</v>
      </c>
      <c r="C1217" t="s">
        <v>31</v>
      </c>
      <c r="D1217" t="s">
        <v>203</v>
      </c>
      <c r="E1217" t="s">
        <v>32</v>
      </c>
      <c r="F1217" s="10" t="s">
        <v>25</v>
      </c>
      <c r="G1217" s="3" t="s">
        <v>12</v>
      </c>
      <c r="H1217" s="3" t="s">
        <v>9</v>
      </c>
      <c r="I1217" s="3" t="s">
        <v>7</v>
      </c>
      <c r="J1217" s="1">
        <v>0</v>
      </c>
      <c r="K1217" s="12">
        <v>0</v>
      </c>
      <c r="L1217" s="1"/>
      <c r="M1217" s="12"/>
      <c r="N1217"/>
      <c r="O1217"/>
      <c r="P1217" s="2" t="str">
        <f>IF(BD_Receitas[[#This Row],[TIPO DE COBRANÇA]]="Operação Normal",
_xlfn.XLOOKUP(BD_Receitas[[#This Row],[ID]],TabCondicoesComerciais[ID],TabCondicoesComerciais[Volume mínimo 
(m3)],0),"")</f>
        <v/>
      </c>
      <c r="Q1217" s="2">
        <f>_xlfn.XLOOKUP(BD_Receitas[[#This Row],[ID]],TabCondicoesComerciais[ID],TabCondicoesComerciais[Vol. 1ºGiro],0)</f>
        <v>1125</v>
      </c>
      <c r="R12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217" s="1">
        <f xml:space="preserve"> IF(BD_Receitas[[#This Row],[TIPO DE COBRANÇA]]="Operação Normal",
_xlfn.XLOOKUP(BD_Receitas[[#This Row],[ID]],TabCondicoesComerciais[ID],TabCondicoesComerciais[Tarifa 2º Giro],0),0)</f>
        <v>0</v>
      </c>
      <c r="T12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8" spans="1:24" hidden="1" x14ac:dyDescent="0.35">
      <c r="A1218" s="3" t="s">
        <v>342</v>
      </c>
      <c r="B1218" s="11">
        <v>46296</v>
      </c>
      <c r="C1218" t="s">
        <v>31</v>
      </c>
      <c r="D1218" t="s">
        <v>203</v>
      </c>
      <c r="E1218" t="s">
        <v>32</v>
      </c>
      <c r="F1218" s="10" t="s">
        <v>25</v>
      </c>
      <c r="G1218" s="3" t="s">
        <v>12</v>
      </c>
      <c r="H1218" s="3" t="s">
        <v>9</v>
      </c>
      <c r="I1218" s="3" t="s">
        <v>8</v>
      </c>
      <c r="J1218" s="1">
        <v>0</v>
      </c>
      <c r="K1218" s="12">
        <v>0</v>
      </c>
      <c r="L1218" s="1"/>
      <c r="M1218" s="12"/>
      <c r="N1218"/>
      <c r="O1218"/>
      <c r="P1218" s="2" t="str">
        <f>IF(BD_Receitas[[#This Row],[TIPO DE COBRANÇA]]="Operação Normal",
_xlfn.XLOOKUP(BD_Receitas[[#This Row],[ID]],TabCondicoesComerciais[ID],TabCondicoesComerciais[Volume mínimo 
(m3)],0),"")</f>
        <v/>
      </c>
      <c r="Q1218" s="2">
        <f>_xlfn.XLOOKUP(BD_Receitas[[#This Row],[ID]],TabCondicoesComerciais[ID],TabCondicoesComerciais[Vol. 1ºGiro],0)</f>
        <v>1125</v>
      </c>
      <c r="R12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218" s="1">
        <f xml:space="preserve"> IF(BD_Receitas[[#This Row],[TIPO DE COBRANÇA]]="Operação Normal",
_xlfn.XLOOKUP(BD_Receitas[[#This Row],[ID]],TabCondicoesComerciais[ID],TabCondicoesComerciais[Tarifa 2º Giro],0),0)</f>
        <v>0</v>
      </c>
      <c r="T12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19" spans="1:24" hidden="1" x14ac:dyDescent="0.35">
      <c r="A1219" s="3" t="s">
        <v>342</v>
      </c>
      <c r="B1219" s="11">
        <v>46296</v>
      </c>
      <c r="C1219" t="s">
        <v>31</v>
      </c>
      <c r="D1219" t="s">
        <v>203</v>
      </c>
      <c r="E1219" t="s">
        <v>32</v>
      </c>
      <c r="F1219" s="10" t="s">
        <v>25</v>
      </c>
      <c r="G1219" s="3" t="s">
        <v>12</v>
      </c>
      <c r="H1219" s="3" t="s">
        <v>9</v>
      </c>
      <c r="I1219" s="3" t="s">
        <v>15</v>
      </c>
      <c r="J1219" s="1">
        <v>165115.51999999999</v>
      </c>
      <c r="K1219" s="12">
        <v>5625</v>
      </c>
      <c r="L1219" s="1"/>
      <c r="M1219" s="12"/>
      <c r="N1219"/>
      <c r="O1219"/>
      <c r="P1219" s="2">
        <f>IF(BD_Receitas[[#This Row],[TIPO DE COBRANÇA]]="Operação Normal",
_xlfn.XLOOKUP(BD_Receitas[[#This Row],[ID]],TabCondicoesComerciais[ID],TabCondicoesComerciais[Volume mínimo 
(m3)],0),"")</f>
        <v>5625</v>
      </c>
      <c r="Q1219" s="2">
        <f>_xlfn.XLOOKUP(BD_Receitas[[#This Row],[ID]],TabCondicoesComerciais[ID],TabCondicoesComerciais[Vol. 1ºGiro],0)</f>
        <v>1125</v>
      </c>
      <c r="R12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219" s="1">
        <f xml:space="preserve"> IF(BD_Receitas[[#This Row],[TIPO DE COBRANÇA]]="Operação Normal",
_xlfn.XLOOKUP(BD_Receitas[[#This Row],[ID]],TabCondicoesComerciais[ID],TabCondicoesComerciais[Tarifa 2º Giro],0),0)</f>
        <v>27.4</v>
      </c>
      <c r="T121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2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20" spans="1:24" hidden="1" x14ac:dyDescent="0.35">
      <c r="A1220" s="3" t="s">
        <v>342</v>
      </c>
      <c r="B1220" s="11">
        <v>46296</v>
      </c>
      <c r="C1220" t="s">
        <v>31</v>
      </c>
      <c r="D1220" t="s">
        <v>203</v>
      </c>
      <c r="E1220" t="s">
        <v>32</v>
      </c>
      <c r="F1220" s="10" t="s">
        <v>25</v>
      </c>
      <c r="G1220" s="3" t="s">
        <v>12</v>
      </c>
      <c r="H1220" s="3" t="s">
        <v>9</v>
      </c>
      <c r="I1220" s="3" t="s">
        <v>65</v>
      </c>
      <c r="J1220" s="1">
        <v>0</v>
      </c>
      <c r="K1220" s="12">
        <v>0</v>
      </c>
      <c r="L1220" s="1"/>
      <c r="M1220" s="12"/>
      <c r="N1220"/>
      <c r="O1220"/>
      <c r="P1220" s="2" t="str">
        <f>IF(BD_Receitas[[#This Row],[TIPO DE COBRANÇA]]="Operação Normal",
_xlfn.XLOOKUP(BD_Receitas[[#This Row],[ID]],TabCondicoesComerciais[ID],TabCondicoesComerciais[Volume mínimo 
(m3)],0),"")</f>
        <v/>
      </c>
      <c r="Q1220" s="2">
        <f>_xlfn.XLOOKUP(BD_Receitas[[#This Row],[ID]],TabCondicoesComerciais[ID],TabCondicoesComerciais[Vol. 1ºGiro],0)</f>
        <v>1125</v>
      </c>
      <c r="R12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0" s="1">
        <f xml:space="preserve"> IF(BD_Receitas[[#This Row],[TIPO DE COBRANÇA]]="Operação Normal",
_xlfn.XLOOKUP(BD_Receitas[[#This Row],[ID]],TabCondicoesComerciais[ID],TabCondicoesComerciais[Tarifa 2º Giro],0),0)</f>
        <v>0</v>
      </c>
      <c r="T12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1" spans="1:24" hidden="1" x14ac:dyDescent="0.35">
      <c r="A1221" s="3" t="s">
        <v>134</v>
      </c>
      <c r="B1221" s="11">
        <v>46296</v>
      </c>
      <c r="C1221" t="s">
        <v>31</v>
      </c>
      <c r="D1221" t="s">
        <v>62</v>
      </c>
      <c r="E1221" t="s">
        <v>37</v>
      </c>
      <c r="F1221" s="10" t="s">
        <v>57</v>
      </c>
      <c r="G1221" s="3" t="s">
        <v>58</v>
      </c>
      <c r="H1221" s="3" t="s">
        <v>10</v>
      </c>
      <c r="I1221" s="3" t="s">
        <v>7</v>
      </c>
      <c r="J1221" s="1">
        <v>0</v>
      </c>
      <c r="K1221" s="12">
        <v>0</v>
      </c>
      <c r="L1221" s="1"/>
      <c r="M1221" s="12"/>
      <c r="N1221"/>
      <c r="O1221"/>
      <c r="P1221" s="2" t="str">
        <f>IF(BD_Receitas[[#This Row],[TIPO DE COBRANÇA]]="Operação Normal",
_xlfn.XLOOKUP(BD_Receitas[[#This Row],[ID]],TabCondicoesComerciais[ID],TabCondicoesComerciais[Volume mínimo 
(m3)],0),"")</f>
        <v/>
      </c>
      <c r="Q1221" s="2">
        <f>_xlfn.XLOOKUP(BD_Receitas[[#This Row],[ID]],TabCondicoesComerciais[ID],TabCondicoesComerciais[Vol. 1ºGiro],0)</f>
        <v>310</v>
      </c>
      <c r="R12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1" s="1">
        <f xml:space="preserve"> IF(BD_Receitas[[#This Row],[TIPO DE COBRANÇA]]="Operação Normal",
_xlfn.XLOOKUP(BD_Receitas[[#This Row],[ID]],TabCondicoesComerciais[ID],TabCondicoesComerciais[Tarifa 2º Giro],0),0)</f>
        <v>0</v>
      </c>
      <c r="T12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2" spans="1:24" hidden="1" x14ac:dyDescent="0.35">
      <c r="A1222" s="3" t="s">
        <v>134</v>
      </c>
      <c r="B1222" s="11">
        <v>46296</v>
      </c>
      <c r="C1222" t="s">
        <v>31</v>
      </c>
      <c r="D1222" t="s">
        <v>62</v>
      </c>
      <c r="E1222" t="s">
        <v>37</v>
      </c>
      <c r="F1222" s="10" t="s">
        <v>57</v>
      </c>
      <c r="G1222" s="3" t="s">
        <v>58</v>
      </c>
      <c r="H1222" s="3" t="s">
        <v>10</v>
      </c>
      <c r="I1222" s="3" t="s">
        <v>8</v>
      </c>
      <c r="J1222" s="1">
        <v>0</v>
      </c>
      <c r="K1222" s="12">
        <v>0</v>
      </c>
      <c r="L1222" s="1"/>
      <c r="M1222" s="12"/>
      <c r="N1222"/>
      <c r="O1222"/>
      <c r="P1222" s="2" t="str">
        <f>IF(BD_Receitas[[#This Row],[TIPO DE COBRANÇA]]="Operação Normal",
_xlfn.XLOOKUP(BD_Receitas[[#This Row],[ID]],TabCondicoesComerciais[ID],TabCondicoesComerciais[Volume mínimo 
(m3)],0),"")</f>
        <v/>
      </c>
      <c r="Q1222" s="2">
        <f>_xlfn.XLOOKUP(BD_Receitas[[#This Row],[ID]],TabCondicoesComerciais[ID],TabCondicoesComerciais[Vol. 1ºGiro],0)</f>
        <v>310</v>
      </c>
      <c r="R12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222" s="1">
        <f xml:space="preserve"> IF(BD_Receitas[[#This Row],[TIPO DE COBRANÇA]]="Operação Normal",
_xlfn.XLOOKUP(BD_Receitas[[#This Row],[ID]],TabCondicoesComerciais[ID],TabCondicoesComerciais[Tarifa 2º Giro],0),0)</f>
        <v>0</v>
      </c>
      <c r="T12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3" spans="1:24" hidden="1" x14ac:dyDescent="0.35">
      <c r="A1223" s="3" t="s">
        <v>134</v>
      </c>
      <c r="B1223" s="11">
        <v>46296</v>
      </c>
      <c r="C1223" t="s">
        <v>31</v>
      </c>
      <c r="D1223" t="s">
        <v>62</v>
      </c>
      <c r="E1223" t="s">
        <v>37</v>
      </c>
      <c r="F1223" s="10" t="s">
        <v>57</v>
      </c>
      <c r="G1223" s="3" t="s">
        <v>58</v>
      </c>
      <c r="H1223" s="3" t="s">
        <v>10</v>
      </c>
      <c r="I1223" s="3" t="s">
        <v>15</v>
      </c>
      <c r="J1223" s="1">
        <v>35019.49</v>
      </c>
      <c r="K1223" s="12">
        <v>1100</v>
      </c>
      <c r="L1223" s="1"/>
      <c r="M1223" s="12"/>
      <c r="N1223"/>
      <c r="O1223"/>
      <c r="P1223" s="2">
        <f>IF(BD_Receitas[[#This Row],[TIPO DE COBRANÇA]]="Operação Normal",
_xlfn.XLOOKUP(BD_Receitas[[#This Row],[ID]],TabCondicoesComerciais[ID],TabCondicoesComerciais[Volume mínimo 
(m3)],0),"")</f>
        <v>1100</v>
      </c>
      <c r="Q1223" s="2">
        <f>_xlfn.XLOOKUP(BD_Receitas[[#This Row],[ID]],TabCondicoesComerciais[ID],TabCondicoesComerciais[Vol. 1ºGiro],0)</f>
        <v>310</v>
      </c>
      <c r="R12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223" s="1">
        <f xml:space="preserve"> IF(BD_Receitas[[#This Row],[TIPO DE COBRANÇA]]="Operação Normal",
_xlfn.XLOOKUP(BD_Receitas[[#This Row],[ID]],TabCondicoesComerciais[ID],TabCondicoesComerciais[Tarifa 2º Giro],0),0)</f>
        <v>31.04</v>
      </c>
      <c r="T122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2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24" spans="1:24" hidden="1" x14ac:dyDescent="0.35">
      <c r="A1224" s="3" t="s">
        <v>134</v>
      </c>
      <c r="B1224" s="11">
        <v>46296</v>
      </c>
      <c r="C1224" t="s">
        <v>31</v>
      </c>
      <c r="D1224" t="s">
        <v>62</v>
      </c>
      <c r="E1224" t="s">
        <v>37</v>
      </c>
      <c r="F1224" s="10" t="s">
        <v>57</v>
      </c>
      <c r="G1224" s="3" t="s">
        <v>58</v>
      </c>
      <c r="H1224" s="3" t="s">
        <v>10</v>
      </c>
      <c r="I1224" s="3" t="s">
        <v>65</v>
      </c>
      <c r="J1224" s="1">
        <v>0</v>
      </c>
      <c r="K1224" s="12">
        <v>0</v>
      </c>
      <c r="L1224" s="1"/>
      <c r="M1224" s="12"/>
      <c r="N1224"/>
      <c r="O1224"/>
      <c r="P1224" s="2" t="str">
        <f>IF(BD_Receitas[[#This Row],[TIPO DE COBRANÇA]]="Operação Normal",
_xlfn.XLOOKUP(BD_Receitas[[#This Row],[ID]],TabCondicoesComerciais[ID],TabCondicoesComerciais[Volume mínimo 
(m3)],0),"")</f>
        <v/>
      </c>
      <c r="Q1224" s="2">
        <f>_xlfn.XLOOKUP(BD_Receitas[[#This Row],[ID]],TabCondicoesComerciais[ID],TabCondicoesComerciais[Vol. 1ºGiro],0)</f>
        <v>310</v>
      </c>
      <c r="R12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4" s="1">
        <f xml:space="preserve"> IF(BD_Receitas[[#This Row],[TIPO DE COBRANÇA]]="Operação Normal",
_xlfn.XLOOKUP(BD_Receitas[[#This Row],[ID]],TabCondicoesComerciais[ID],TabCondicoesComerciais[Tarifa 2º Giro],0),0)</f>
        <v>0</v>
      </c>
      <c r="T12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5" spans="1:24" hidden="1" x14ac:dyDescent="0.35">
      <c r="A1225" s="3" t="s">
        <v>173</v>
      </c>
      <c r="B1225" s="11">
        <v>46296</v>
      </c>
      <c r="C1225" t="s">
        <v>31</v>
      </c>
      <c r="D1225" t="s">
        <v>62</v>
      </c>
      <c r="E1225" t="s">
        <v>37</v>
      </c>
      <c r="F1225" s="10" t="s">
        <v>57</v>
      </c>
      <c r="G1225" s="3" t="s">
        <v>58</v>
      </c>
      <c r="H1225" s="3" t="s">
        <v>6</v>
      </c>
      <c r="I1225" s="3" t="s">
        <v>7</v>
      </c>
      <c r="J1225" s="1">
        <v>0</v>
      </c>
      <c r="K1225" s="12">
        <v>0</v>
      </c>
      <c r="L1225" s="1"/>
      <c r="M1225" s="12"/>
      <c r="N1225"/>
      <c r="O1225"/>
      <c r="P1225" s="2" t="str">
        <f>IF(BD_Receitas[[#This Row],[TIPO DE COBRANÇA]]="Operação Normal",
_xlfn.XLOOKUP(BD_Receitas[[#This Row],[ID]],TabCondicoesComerciais[ID],TabCondicoesComerciais[Volume mínimo 
(m3)],0),"")</f>
        <v/>
      </c>
      <c r="Q1225" s="2">
        <f>_xlfn.XLOOKUP(BD_Receitas[[#This Row],[ID]],TabCondicoesComerciais[ID],TabCondicoesComerciais[Vol. 1ºGiro],0)</f>
        <v>1070</v>
      </c>
      <c r="R12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5" s="1">
        <f xml:space="preserve"> IF(BD_Receitas[[#This Row],[TIPO DE COBRANÇA]]="Operação Normal",
_xlfn.XLOOKUP(BD_Receitas[[#This Row],[ID]],TabCondicoesComerciais[ID],TabCondicoesComerciais[Tarifa 2º Giro],0),0)</f>
        <v>0</v>
      </c>
      <c r="T12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6" spans="1:24" hidden="1" x14ac:dyDescent="0.35">
      <c r="A1226" s="3" t="s">
        <v>173</v>
      </c>
      <c r="B1226" s="11">
        <v>46296</v>
      </c>
      <c r="C1226" t="s">
        <v>31</v>
      </c>
      <c r="D1226" t="s">
        <v>62</v>
      </c>
      <c r="E1226" t="s">
        <v>37</v>
      </c>
      <c r="F1226" s="10" t="s">
        <v>57</v>
      </c>
      <c r="G1226" s="3" t="s">
        <v>58</v>
      </c>
      <c r="H1226" s="3" t="s">
        <v>6</v>
      </c>
      <c r="I1226" s="3" t="s">
        <v>8</v>
      </c>
      <c r="J1226" s="1">
        <v>0</v>
      </c>
      <c r="K1226" s="12">
        <v>0</v>
      </c>
      <c r="L1226" s="1"/>
      <c r="M1226" s="12"/>
      <c r="N1226"/>
      <c r="O1226"/>
      <c r="P1226" s="2" t="str">
        <f>IF(BD_Receitas[[#This Row],[TIPO DE COBRANÇA]]="Operação Normal",
_xlfn.XLOOKUP(BD_Receitas[[#This Row],[ID]],TabCondicoesComerciais[ID],TabCondicoesComerciais[Volume mínimo 
(m3)],0),"")</f>
        <v/>
      </c>
      <c r="Q1226" s="2">
        <f>_xlfn.XLOOKUP(BD_Receitas[[#This Row],[ID]],TabCondicoesComerciais[ID],TabCondicoesComerciais[Vol. 1ºGiro],0)</f>
        <v>1070</v>
      </c>
      <c r="R12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6" s="1">
        <f xml:space="preserve"> IF(BD_Receitas[[#This Row],[TIPO DE COBRANÇA]]="Operação Normal",
_xlfn.XLOOKUP(BD_Receitas[[#This Row],[ID]],TabCondicoesComerciais[ID],TabCondicoesComerciais[Tarifa 2º Giro],0),0)</f>
        <v>0</v>
      </c>
      <c r="T12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7" spans="1:24" hidden="1" x14ac:dyDescent="0.35">
      <c r="A1227" s="3" t="s">
        <v>173</v>
      </c>
      <c r="B1227" s="11">
        <v>46296</v>
      </c>
      <c r="C1227" t="s">
        <v>31</v>
      </c>
      <c r="D1227" t="s">
        <v>62</v>
      </c>
      <c r="E1227" t="s">
        <v>37</v>
      </c>
      <c r="F1227" s="10" t="s">
        <v>57</v>
      </c>
      <c r="G1227" s="3" t="s">
        <v>58</v>
      </c>
      <c r="H1227" s="3" t="s">
        <v>6</v>
      </c>
      <c r="I1227" s="3" t="s">
        <v>15</v>
      </c>
      <c r="J1227" s="1">
        <v>82153.039999999994</v>
      </c>
      <c r="K1227" s="12">
        <v>3300</v>
      </c>
      <c r="L1227" s="1"/>
      <c r="M1227" s="12"/>
      <c r="N1227"/>
      <c r="O1227"/>
      <c r="P1227" s="2">
        <f>IF(BD_Receitas[[#This Row],[TIPO DE COBRANÇA]]="Operação Normal",
_xlfn.XLOOKUP(BD_Receitas[[#This Row],[ID]],TabCondicoesComerciais[ID],TabCondicoesComerciais[Volume mínimo 
(m3)],0),"")</f>
        <v>3300</v>
      </c>
      <c r="Q1227" s="2">
        <f>_xlfn.XLOOKUP(BD_Receitas[[#This Row],[ID]],TabCondicoesComerciais[ID],TabCondicoesComerciais[Vol. 1ºGiro],0)</f>
        <v>1070</v>
      </c>
      <c r="R12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227" s="1">
        <f xml:space="preserve"> IF(BD_Receitas[[#This Row],[TIPO DE COBRANÇA]]="Operação Normal",
_xlfn.XLOOKUP(BD_Receitas[[#This Row],[ID]],TabCondicoesComerciais[ID],TabCondicoesComerciais[Tarifa 2º Giro],0),0)</f>
        <v>23.42</v>
      </c>
      <c r="T122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2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28" spans="1:24" hidden="1" x14ac:dyDescent="0.35">
      <c r="A1228" s="3" t="s">
        <v>173</v>
      </c>
      <c r="B1228" s="11">
        <v>46296</v>
      </c>
      <c r="C1228" t="s">
        <v>31</v>
      </c>
      <c r="D1228" t="s">
        <v>62</v>
      </c>
      <c r="E1228" t="s">
        <v>37</v>
      </c>
      <c r="F1228" s="10" t="s">
        <v>57</v>
      </c>
      <c r="G1228" s="3" t="s">
        <v>58</v>
      </c>
      <c r="H1228" s="3" t="s">
        <v>6</v>
      </c>
      <c r="I1228" s="3" t="s">
        <v>65</v>
      </c>
      <c r="J1228" s="1">
        <v>0</v>
      </c>
      <c r="K1228" s="12">
        <v>0</v>
      </c>
      <c r="L1228" s="1"/>
      <c r="M1228" s="12"/>
      <c r="N1228"/>
      <c r="O1228"/>
      <c r="P1228" s="2" t="str">
        <f>IF(BD_Receitas[[#This Row],[TIPO DE COBRANÇA]]="Operação Normal",
_xlfn.XLOOKUP(BD_Receitas[[#This Row],[ID]],TabCondicoesComerciais[ID],TabCondicoesComerciais[Volume mínimo 
(m3)],0),"")</f>
        <v/>
      </c>
      <c r="Q1228" s="2">
        <f>_xlfn.XLOOKUP(BD_Receitas[[#This Row],[ID]],TabCondicoesComerciais[ID],TabCondicoesComerciais[Vol. 1ºGiro],0)</f>
        <v>1070</v>
      </c>
      <c r="R12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8" s="1">
        <f xml:space="preserve"> IF(BD_Receitas[[#This Row],[TIPO DE COBRANÇA]]="Operação Normal",
_xlfn.XLOOKUP(BD_Receitas[[#This Row],[ID]],TabCondicoesComerciais[ID],TabCondicoesComerciais[Tarifa 2º Giro],0),0)</f>
        <v>0</v>
      </c>
      <c r="T12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29" spans="1:24" x14ac:dyDescent="0.35">
      <c r="A1229" s="3" t="s">
        <v>343</v>
      </c>
      <c r="B1229" s="11">
        <v>46296</v>
      </c>
      <c r="C1229" t="s">
        <v>31</v>
      </c>
      <c r="D1229" t="s">
        <v>203</v>
      </c>
      <c r="E1229" t="s">
        <v>34</v>
      </c>
      <c r="F1229" s="10" t="s">
        <v>26</v>
      </c>
      <c r="G1229" s="3" t="s">
        <v>19</v>
      </c>
      <c r="H1229" s="3" t="s">
        <v>13</v>
      </c>
      <c r="I1229" s="3" t="s">
        <v>7</v>
      </c>
      <c r="J1229" s="1">
        <v>0</v>
      </c>
      <c r="K1229" s="12">
        <v>0</v>
      </c>
      <c r="L1229" s="1"/>
      <c r="M1229" s="12"/>
      <c r="N1229"/>
      <c r="O1229"/>
      <c r="P1229" s="2" t="str">
        <f>IF(BD_Receitas[[#This Row],[TIPO DE COBRANÇA]]="Operação Normal",
_xlfn.XLOOKUP(BD_Receitas[[#This Row],[ID]],TabCondicoesComerciais[ID],TabCondicoesComerciais[Volume mínimo 
(m3)],0),"")</f>
        <v/>
      </c>
      <c r="Q1229" s="2">
        <f>_xlfn.XLOOKUP(BD_Receitas[[#This Row],[ID]],TabCondicoesComerciais[ID],TabCondicoesComerciais[Vol. 1ºGiro],0)</f>
        <v>340</v>
      </c>
      <c r="R122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29" s="1">
        <f xml:space="preserve"> IF(BD_Receitas[[#This Row],[TIPO DE COBRANÇA]]="Operação Normal",
_xlfn.XLOOKUP(BD_Receitas[[#This Row],[ID]],TabCondicoesComerciais[ID],TabCondicoesComerciais[Tarifa 2º Giro],0),0)</f>
        <v>0</v>
      </c>
      <c r="T122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2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2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2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2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0" spans="1:24" x14ac:dyDescent="0.35">
      <c r="A1230" s="3" t="s">
        <v>343</v>
      </c>
      <c r="B1230" s="11">
        <v>46296</v>
      </c>
      <c r="C1230" t="s">
        <v>31</v>
      </c>
      <c r="D1230" t="s">
        <v>203</v>
      </c>
      <c r="E1230" t="s">
        <v>34</v>
      </c>
      <c r="F1230" s="10" t="s">
        <v>26</v>
      </c>
      <c r="G1230" s="3" t="s">
        <v>19</v>
      </c>
      <c r="H1230" s="3" t="s">
        <v>13</v>
      </c>
      <c r="I1230" s="3" t="s">
        <v>8</v>
      </c>
      <c r="J1230" s="1">
        <v>0</v>
      </c>
      <c r="K1230" s="12">
        <v>0</v>
      </c>
      <c r="L1230" s="1"/>
      <c r="M1230" s="12"/>
      <c r="N1230"/>
      <c r="O1230"/>
      <c r="P1230" s="2" t="str">
        <f>IF(BD_Receitas[[#This Row],[TIPO DE COBRANÇA]]="Operação Normal",
_xlfn.XLOOKUP(BD_Receitas[[#This Row],[ID]],TabCondicoesComerciais[ID],TabCondicoesComerciais[Volume mínimo 
(m3)],0),"")</f>
        <v/>
      </c>
      <c r="Q1230" s="2">
        <f>_xlfn.XLOOKUP(BD_Receitas[[#This Row],[ID]],TabCondicoesComerciais[ID],TabCondicoesComerciais[Vol. 1ºGiro],0)</f>
        <v>340</v>
      </c>
      <c r="R123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230" s="1">
        <f xml:space="preserve"> IF(BD_Receitas[[#This Row],[TIPO DE COBRANÇA]]="Operação Normal",
_xlfn.XLOOKUP(BD_Receitas[[#This Row],[ID]],TabCondicoesComerciais[ID],TabCondicoesComerciais[Tarifa 2º Giro],0),0)</f>
        <v>0</v>
      </c>
      <c r="T123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1" spans="1:24" x14ac:dyDescent="0.35">
      <c r="A1231" s="3" t="s">
        <v>343</v>
      </c>
      <c r="B1231" s="11">
        <v>46296</v>
      </c>
      <c r="C1231" t="s">
        <v>31</v>
      </c>
      <c r="D1231" t="s">
        <v>203</v>
      </c>
      <c r="E1231" t="s">
        <v>34</v>
      </c>
      <c r="F1231" s="10" t="s">
        <v>26</v>
      </c>
      <c r="G1231" s="3" t="s">
        <v>19</v>
      </c>
      <c r="H1231" s="3" t="s">
        <v>13</v>
      </c>
      <c r="I1231" s="3" t="s">
        <v>15</v>
      </c>
      <c r="J1231" s="1">
        <v>15310.52</v>
      </c>
      <c r="K1231" s="12">
        <v>510</v>
      </c>
      <c r="L1231" s="1"/>
      <c r="M1231" s="12"/>
      <c r="N1231"/>
      <c r="O1231"/>
      <c r="P1231" s="2">
        <f>IF(BD_Receitas[[#This Row],[TIPO DE COBRANÇA]]="Operação Normal",
_xlfn.XLOOKUP(BD_Receitas[[#This Row],[ID]],TabCondicoesComerciais[ID],TabCondicoesComerciais[Volume mínimo 
(m3)],0),"")</f>
        <v>0</v>
      </c>
      <c r="Q1231" s="2">
        <f>_xlfn.XLOOKUP(BD_Receitas[[#This Row],[ID]],TabCondicoesComerciais[ID],TabCondicoesComerciais[Vol. 1ºGiro],0)</f>
        <v>340</v>
      </c>
      <c r="R123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31" s="1">
        <f xml:space="preserve"> IF(BD_Receitas[[#This Row],[TIPO DE COBRANÇA]]="Operação Normal",
_xlfn.XLOOKUP(BD_Receitas[[#This Row],[ID]],TabCondicoesComerciais[ID],TabCondicoesComerciais[Tarifa 2º Giro],0),0)</f>
        <v>28</v>
      </c>
      <c r="T123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3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3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3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3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32" spans="1:24" hidden="1" x14ac:dyDescent="0.35">
      <c r="A1232" s="3" t="s">
        <v>343</v>
      </c>
      <c r="B1232" s="11">
        <v>46296</v>
      </c>
      <c r="C1232" t="s">
        <v>31</v>
      </c>
      <c r="D1232" t="s">
        <v>203</v>
      </c>
      <c r="E1232" t="s">
        <v>34</v>
      </c>
      <c r="F1232" s="10" t="s">
        <v>26</v>
      </c>
      <c r="G1232" s="3" t="s">
        <v>19</v>
      </c>
      <c r="H1232" s="3" t="s">
        <v>13</v>
      </c>
      <c r="I1232" s="3" t="s">
        <v>65</v>
      </c>
      <c r="J1232" s="1">
        <v>0</v>
      </c>
      <c r="K1232" s="12">
        <v>0</v>
      </c>
      <c r="L1232" s="1"/>
      <c r="M1232" s="12"/>
      <c r="N1232"/>
      <c r="O1232"/>
      <c r="P1232" s="2" t="str">
        <f>IF(BD_Receitas[[#This Row],[TIPO DE COBRANÇA]]="Operação Normal",
_xlfn.XLOOKUP(BD_Receitas[[#This Row],[ID]],TabCondicoesComerciais[ID],TabCondicoesComerciais[Volume mínimo 
(m3)],0),"")</f>
        <v/>
      </c>
      <c r="Q1232" s="2">
        <f>_xlfn.XLOOKUP(BD_Receitas[[#This Row],[ID]],TabCondicoesComerciais[ID],TabCondicoesComerciais[Vol. 1ºGiro],0)</f>
        <v>340</v>
      </c>
      <c r="R123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32" s="1">
        <f xml:space="preserve"> IF(BD_Receitas[[#This Row],[TIPO DE COBRANÇA]]="Operação Normal",
_xlfn.XLOOKUP(BD_Receitas[[#This Row],[ID]],TabCondicoesComerciais[ID],TabCondicoesComerciais[Tarifa 2º Giro],0),0)</f>
        <v>0</v>
      </c>
      <c r="T123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3" spans="1:24" hidden="1" x14ac:dyDescent="0.35">
      <c r="A1233" s="3" t="s">
        <v>274</v>
      </c>
      <c r="B1233" s="11">
        <v>46327</v>
      </c>
      <c r="C1233" t="s">
        <v>31</v>
      </c>
      <c r="D1233" t="s">
        <v>202</v>
      </c>
      <c r="E1233" t="s">
        <v>36</v>
      </c>
      <c r="F1233" s="10" t="s">
        <v>48</v>
      </c>
      <c r="G1233" s="3" t="s">
        <v>49</v>
      </c>
      <c r="H1233" s="3" t="s">
        <v>52</v>
      </c>
      <c r="I1233" s="3" t="s">
        <v>7</v>
      </c>
      <c r="J1233" s="1">
        <v>0</v>
      </c>
      <c r="K1233" s="12">
        <v>0</v>
      </c>
      <c r="L1233" s="1"/>
      <c r="M1233" s="12"/>
      <c r="N1233"/>
      <c r="O1233"/>
      <c r="P1233" s="2" t="str">
        <f>IF(BD_Receitas[[#This Row],[TIPO DE COBRANÇA]]="Operação Normal",
_xlfn.XLOOKUP(BD_Receitas[[#This Row],[ID]],TabCondicoesComerciais[ID],TabCondicoesComerciais[Volume mínimo 
(m3)],0),"")</f>
        <v/>
      </c>
      <c r="Q1233" s="2">
        <f>_xlfn.XLOOKUP(BD_Receitas[[#This Row],[ID]],TabCondicoesComerciais[ID],TabCondicoesComerciais[Vol. 1ºGiro],0)</f>
        <v>360</v>
      </c>
      <c r="R123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233" s="1">
        <f xml:space="preserve"> IF(BD_Receitas[[#This Row],[TIPO DE COBRANÇA]]="Operação Normal",
_xlfn.XLOOKUP(BD_Receitas[[#This Row],[ID]],TabCondicoesComerciais[ID],TabCondicoesComerciais[Tarifa 2º Giro],0),0)</f>
        <v>0</v>
      </c>
      <c r="T123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4" spans="1:24" hidden="1" x14ac:dyDescent="0.35">
      <c r="A1234" s="3" t="s">
        <v>274</v>
      </c>
      <c r="B1234" s="11">
        <v>46327</v>
      </c>
      <c r="C1234" t="s">
        <v>31</v>
      </c>
      <c r="D1234" t="s">
        <v>202</v>
      </c>
      <c r="E1234" t="s">
        <v>36</v>
      </c>
      <c r="F1234" s="10" t="s">
        <v>48</v>
      </c>
      <c r="G1234" s="3" t="s">
        <v>49</v>
      </c>
      <c r="H1234" s="3" t="s">
        <v>52</v>
      </c>
      <c r="I1234" s="3" t="s">
        <v>8</v>
      </c>
      <c r="J1234" s="1">
        <v>0</v>
      </c>
      <c r="K1234" s="12">
        <v>0</v>
      </c>
      <c r="L1234" s="1"/>
      <c r="M1234" s="12"/>
      <c r="N1234"/>
      <c r="O1234"/>
      <c r="P1234" s="2" t="str">
        <f>IF(BD_Receitas[[#This Row],[TIPO DE COBRANÇA]]="Operação Normal",
_xlfn.XLOOKUP(BD_Receitas[[#This Row],[ID]],TabCondicoesComerciais[ID],TabCondicoesComerciais[Volume mínimo 
(m3)],0),"")</f>
        <v/>
      </c>
      <c r="Q1234" s="2">
        <f>_xlfn.XLOOKUP(BD_Receitas[[#This Row],[ID]],TabCondicoesComerciais[ID],TabCondicoesComerciais[Vol. 1ºGiro],0)</f>
        <v>360</v>
      </c>
      <c r="R123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234" s="1">
        <f xml:space="preserve"> IF(BD_Receitas[[#This Row],[TIPO DE COBRANÇA]]="Operação Normal",
_xlfn.XLOOKUP(BD_Receitas[[#This Row],[ID]],TabCondicoesComerciais[ID],TabCondicoesComerciais[Tarifa 2º Giro],0),0)</f>
        <v>0</v>
      </c>
      <c r="T123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5" spans="1:24" hidden="1" x14ac:dyDescent="0.35">
      <c r="A1235" s="3" t="s">
        <v>274</v>
      </c>
      <c r="B1235" s="11">
        <v>46327</v>
      </c>
      <c r="C1235" t="s">
        <v>31</v>
      </c>
      <c r="D1235" t="s">
        <v>202</v>
      </c>
      <c r="E1235" t="s">
        <v>36</v>
      </c>
      <c r="F1235" s="10" t="s">
        <v>48</v>
      </c>
      <c r="G1235" s="3" t="s">
        <v>49</v>
      </c>
      <c r="H1235" s="3" t="s">
        <v>52</v>
      </c>
      <c r="I1235" s="3" t="s">
        <v>15</v>
      </c>
      <c r="J1235" s="1">
        <v>93380.944900000002</v>
      </c>
      <c r="K1235" s="12">
        <v>2040</v>
      </c>
      <c r="L1235" s="1"/>
      <c r="M1235" s="12"/>
      <c r="N1235"/>
      <c r="O1235"/>
      <c r="P1235" s="2">
        <f>IF(BD_Receitas[[#This Row],[TIPO DE COBRANÇA]]="Operação Normal",
_xlfn.XLOOKUP(BD_Receitas[[#This Row],[ID]],TabCondicoesComerciais[ID],TabCondicoesComerciais[Volume mínimo 
(m3)],0),"")</f>
        <v>2040</v>
      </c>
      <c r="Q1235" s="2">
        <f>_xlfn.XLOOKUP(BD_Receitas[[#This Row],[ID]],TabCondicoesComerciais[ID],TabCondicoesComerciais[Vol. 1ºGiro],0)</f>
        <v>360</v>
      </c>
      <c r="R123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235" s="1">
        <f xml:space="preserve"> IF(BD_Receitas[[#This Row],[TIPO DE COBRANÇA]]="Operação Normal",
_xlfn.XLOOKUP(BD_Receitas[[#This Row],[ID]],TabCondicoesComerciais[ID],TabCondicoesComerciais[Tarifa 2º Giro],0),0)</f>
        <v>43.92</v>
      </c>
      <c r="T123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3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3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23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3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36" spans="1:24" hidden="1" x14ac:dyDescent="0.35">
      <c r="A1236" s="3" t="s">
        <v>274</v>
      </c>
      <c r="B1236" s="11">
        <v>46327</v>
      </c>
      <c r="C1236" t="s">
        <v>31</v>
      </c>
      <c r="D1236" t="s">
        <v>202</v>
      </c>
      <c r="E1236" t="s">
        <v>36</v>
      </c>
      <c r="F1236" s="10" t="s">
        <v>48</v>
      </c>
      <c r="G1236" s="3" t="s">
        <v>49</v>
      </c>
      <c r="H1236" s="3" t="s">
        <v>52</v>
      </c>
      <c r="I1236" s="3" t="s">
        <v>65</v>
      </c>
      <c r="J1236" s="1">
        <v>0</v>
      </c>
      <c r="K1236" s="12">
        <v>0</v>
      </c>
      <c r="L1236" s="1"/>
      <c r="M1236" s="12"/>
      <c r="N1236"/>
      <c r="O1236"/>
      <c r="P1236" s="2" t="str">
        <f>IF(BD_Receitas[[#This Row],[TIPO DE COBRANÇA]]="Operação Normal",
_xlfn.XLOOKUP(BD_Receitas[[#This Row],[ID]],TabCondicoesComerciais[ID],TabCondicoesComerciais[Volume mínimo 
(m3)],0),"")</f>
        <v/>
      </c>
      <c r="Q1236" s="2">
        <f>_xlfn.XLOOKUP(BD_Receitas[[#This Row],[ID]],TabCondicoesComerciais[ID],TabCondicoesComerciais[Vol. 1ºGiro],0)</f>
        <v>360</v>
      </c>
      <c r="R123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36" s="1">
        <f xml:space="preserve"> IF(BD_Receitas[[#This Row],[TIPO DE COBRANÇA]]="Operação Normal",
_xlfn.XLOOKUP(BD_Receitas[[#This Row],[ID]],TabCondicoesComerciais[ID],TabCondicoesComerciais[Tarifa 2º Giro],0),0)</f>
        <v>0</v>
      </c>
      <c r="T123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7" spans="1:24" hidden="1" x14ac:dyDescent="0.35">
      <c r="A1237" s="3" t="s">
        <v>275</v>
      </c>
      <c r="B1237" s="11">
        <v>46327</v>
      </c>
      <c r="C1237" t="s">
        <v>31</v>
      </c>
      <c r="D1237" t="s">
        <v>202</v>
      </c>
      <c r="E1237" t="s">
        <v>36</v>
      </c>
      <c r="F1237" s="10" t="s">
        <v>48</v>
      </c>
      <c r="G1237" s="3" t="s">
        <v>49</v>
      </c>
      <c r="H1237" s="3" t="s">
        <v>14</v>
      </c>
      <c r="I1237" s="3" t="s">
        <v>7</v>
      </c>
      <c r="J1237" s="1">
        <v>0</v>
      </c>
      <c r="K1237" s="12">
        <v>0</v>
      </c>
      <c r="L1237" s="1"/>
      <c r="M1237" s="12"/>
      <c r="N1237"/>
      <c r="O1237"/>
      <c r="P1237" s="2" t="str">
        <f>IF(BD_Receitas[[#This Row],[TIPO DE COBRANÇA]]="Operação Normal",
_xlfn.XLOOKUP(BD_Receitas[[#This Row],[ID]],TabCondicoesComerciais[ID],TabCondicoesComerciais[Volume mínimo 
(m3)],0),"")</f>
        <v/>
      </c>
      <c r="Q1237" s="2">
        <f>_xlfn.XLOOKUP(BD_Receitas[[#This Row],[ID]],TabCondicoesComerciais[ID],TabCondicoesComerciais[Vol. 1ºGiro],0)</f>
        <v>365</v>
      </c>
      <c r="R123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37" s="1">
        <f xml:space="preserve"> IF(BD_Receitas[[#This Row],[TIPO DE COBRANÇA]]="Operação Normal",
_xlfn.XLOOKUP(BD_Receitas[[#This Row],[ID]],TabCondicoesComerciais[ID],TabCondicoesComerciais[Tarifa 2º Giro],0),0)</f>
        <v>0</v>
      </c>
      <c r="T123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8" spans="1:24" hidden="1" x14ac:dyDescent="0.35">
      <c r="A1238" s="3" t="s">
        <v>275</v>
      </c>
      <c r="B1238" s="11">
        <v>46327</v>
      </c>
      <c r="C1238" t="s">
        <v>31</v>
      </c>
      <c r="D1238" t="s">
        <v>202</v>
      </c>
      <c r="E1238" t="s">
        <v>36</v>
      </c>
      <c r="F1238" s="10" t="s">
        <v>48</v>
      </c>
      <c r="G1238" s="3" t="s">
        <v>49</v>
      </c>
      <c r="H1238" s="3" t="s">
        <v>14</v>
      </c>
      <c r="I1238" s="3" t="s">
        <v>8</v>
      </c>
      <c r="J1238" s="1">
        <v>0</v>
      </c>
      <c r="K1238" s="12">
        <v>0</v>
      </c>
      <c r="L1238" s="1"/>
      <c r="M1238" s="12"/>
      <c r="N1238"/>
      <c r="O1238"/>
      <c r="P1238" s="2" t="str">
        <f>IF(BD_Receitas[[#This Row],[TIPO DE COBRANÇA]]="Operação Normal",
_xlfn.XLOOKUP(BD_Receitas[[#This Row],[ID]],TabCondicoesComerciais[ID],TabCondicoesComerciais[Volume mínimo 
(m3)],0),"")</f>
        <v/>
      </c>
      <c r="Q1238" s="2">
        <f>_xlfn.XLOOKUP(BD_Receitas[[#This Row],[ID]],TabCondicoesComerciais[ID],TabCondicoesComerciais[Vol. 1ºGiro],0)</f>
        <v>365</v>
      </c>
      <c r="R123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38" s="1">
        <f xml:space="preserve"> IF(BD_Receitas[[#This Row],[TIPO DE COBRANÇA]]="Operação Normal",
_xlfn.XLOOKUP(BD_Receitas[[#This Row],[ID]],TabCondicoesComerciais[ID],TabCondicoesComerciais[Tarifa 2º Giro],0),0)</f>
        <v>0</v>
      </c>
      <c r="T123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3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3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3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3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39" spans="1:24" hidden="1" x14ac:dyDescent="0.35">
      <c r="A1239" s="3" t="s">
        <v>275</v>
      </c>
      <c r="B1239" s="11">
        <v>46327</v>
      </c>
      <c r="C1239" t="s">
        <v>31</v>
      </c>
      <c r="D1239" t="s">
        <v>202</v>
      </c>
      <c r="E1239" t="s">
        <v>36</v>
      </c>
      <c r="F1239" s="10" t="s">
        <v>48</v>
      </c>
      <c r="G1239" s="3" t="s">
        <v>49</v>
      </c>
      <c r="H1239" s="3" t="s">
        <v>14</v>
      </c>
      <c r="I1239" s="3" t="s">
        <v>15</v>
      </c>
      <c r="J1239" s="1">
        <v>18715.400000000001</v>
      </c>
      <c r="K1239" s="12">
        <v>936</v>
      </c>
      <c r="L1239" s="1"/>
      <c r="M1239" s="12"/>
      <c r="N1239"/>
      <c r="O1239"/>
      <c r="P1239" s="2">
        <f>IF(BD_Receitas[[#This Row],[TIPO DE COBRANÇA]]="Operação Normal",
_xlfn.XLOOKUP(BD_Receitas[[#This Row],[ID]],TabCondicoesComerciais[ID],TabCondicoesComerciais[Volume mínimo 
(m3)],0),"")</f>
        <v>936</v>
      </c>
      <c r="Q1239" s="2">
        <f>_xlfn.XLOOKUP(BD_Receitas[[#This Row],[ID]],TabCondicoesComerciais[ID],TabCondicoesComerciais[Vol. 1ºGiro],0)</f>
        <v>365</v>
      </c>
      <c r="R123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239" s="1">
        <f xml:space="preserve"> IF(BD_Receitas[[#This Row],[TIPO DE COBRANÇA]]="Operação Normal",
_xlfn.XLOOKUP(BD_Receitas[[#This Row],[ID]],TabCondicoesComerciais[ID],TabCondicoesComerciais[Tarifa 2º Giro],0),0)</f>
        <v>18.93</v>
      </c>
      <c r="T123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3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3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23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3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40" spans="1:24" hidden="1" x14ac:dyDescent="0.35">
      <c r="A1240" s="3" t="s">
        <v>275</v>
      </c>
      <c r="B1240" s="11">
        <v>46327</v>
      </c>
      <c r="C1240" t="s">
        <v>31</v>
      </c>
      <c r="D1240" t="s">
        <v>202</v>
      </c>
      <c r="E1240" t="s">
        <v>36</v>
      </c>
      <c r="F1240" s="10" t="s">
        <v>48</v>
      </c>
      <c r="G1240" s="3" t="s">
        <v>49</v>
      </c>
      <c r="H1240" s="3" t="s">
        <v>14</v>
      </c>
      <c r="I1240" s="3" t="s">
        <v>65</v>
      </c>
      <c r="J1240" s="1">
        <v>0</v>
      </c>
      <c r="K1240" s="12">
        <v>0</v>
      </c>
      <c r="L1240" s="1"/>
      <c r="M1240" s="12"/>
      <c r="N1240"/>
      <c r="O1240"/>
      <c r="P1240" s="2" t="str">
        <f>IF(BD_Receitas[[#This Row],[TIPO DE COBRANÇA]]="Operação Normal",
_xlfn.XLOOKUP(BD_Receitas[[#This Row],[ID]],TabCondicoesComerciais[ID],TabCondicoesComerciais[Volume mínimo 
(m3)],0),"")</f>
        <v/>
      </c>
      <c r="Q1240" s="2">
        <f>_xlfn.XLOOKUP(BD_Receitas[[#This Row],[ID]],TabCondicoesComerciais[ID],TabCondicoesComerciais[Vol. 1ºGiro],0)</f>
        <v>365</v>
      </c>
      <c r="R124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0" s="1">
        <f xml:space="preserve"> IF(BD_Receitas[[#This Row],[TIPO DE COBRANÇA]]="Operação Normal",
_xlfn.XLOOKUP(BD_Receitas[[#This Row],[ID]],TabCondicoesComerciais[ID],TabCondicoesComerciais[Tarifa 2º Giro],0),0)</f>
        <v>0</v>
      </c>
      <c r="T124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1" spans="1:24" hidden="1" x14ac:dyDescent="0.35">
      <c r="A1241" s="3" t="s">
        <v>208</v>
      </c>
      <c r="B1241" s="11">
        <v>46327</v>
      </c>
      <c r="C1241" t="s">
        <v>31</v>
      </c>
      <c r="D1241" t="s">
        <v>202</v>
      </c>
      <c r="E1241" t="s">
        <v>35</v>
      </c>
      <c r="F1241" s="10" t="s">
        <v>22</v>
      </c>
      <c r="G1241" s="3" t="s">
        <v>11</v>
      </c>
      <c r="H1241" s="3" t="s">
        <v>207</v>
      </c>
      <c r="I1241" s="3" t="s">
        <v>7</v>
      </c>
      <c r="J1241" s="1">
        <v>0</v>
      </c>
      <c r="K1241" s="12">
        <v>0</v>
      </c>
      <c r="L1241" s="1"/>
      <c r="M1241" s="12"/>
      <c r="N1241"/>
      <c r="O1241"/>
      <c r="P1241" s="2" t="str">
        <f>IF(BD_Receitas[[#This Row],[TIPO DE COBRANÇA]]="Operação Normal",
_xlfn.XLOOKUP(BD_Receitas[[#This Row],[ID]],TabCondicoesComerciais[ID],TabCondicoesComerciais[Volume mínimo 
(m3)],0),"")</f>
        <v/>
      </c>
      <c r="Q1241" s="2">
        <f>_xlfn.XLOOKUP(BD_Receitas[[#This Row],[ID]],TabCondicoesComerciais[ID],TabCondicoesComerciais[Vol. 1ºGiro],0)</f>
        <v>625</v>
      </c>
      <c r="R124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241" s="1">
        <f xml:space="preserve"> IF(BD_Receitas[[#This Row],[TIPO DE COBRANÇA]]="Operação Normal",
_xlfn.XLOOKUP(BD_Receitas[[#This Row],[ID]],TabCondicoesComerciais[ID],TabCondicoesComerciais[Tarifa 2º Giro],0),0)</f>
        <v>0</v>
      </c>
      <c r="T124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2" spans="1:24" hidden="1" x14ac:dyDescent="0.35">
      <c r="A1242" s="3" t="s">
        <v>208</v>
      </c>
      <c r="B1242" s="11">
        <v>46327</v>
      </c>
      <c r="C1242" t="s">
        <v>31</v>
      </c>
      <c r="D1242" t="s">
        <v>202</v>
      </c>
      <c r="E1242" t="s">
        <v>35</v>
      </c>
      <c r="F1242" s="10" t="s">
        <v>22</v>
      </c>
      <c r="G1242" s="3" t="s">
        <v>11</v>
      </c>
      <c r="H1242" s="3" t="s">
        <v>207</v>
      </c>
      <c r="I1242" s="3" t="s">
        <v>8</v>
      </c>
      <c r="J1242" s="1">
        <v>0</v>
      </c>
      <c r="K1242" s="12">
        <v>0</v>
      </c>
      <c r="L1242" s="1"/>
      <c r="M1242" s="12"/>
      <c r="N1242"/>
      <c r="O1242"/>
      <c r="P1242" s="2" t="str">
        <f>IF(BD_Receitas[[#This Row],[TIPO DE COBRANÇA]]="Operação Normal",
_xlfn.XLOOKUP(BD_Receitas[[#This Row],[ID]],TabCondicoesComerciais[ID],TabCondicoesComerciais[Volume mínimo 
(m3)],0),"")</f>
        <v/>
      </c>
      <c r="Q1242" s="2">
        <f>_xlfn.XLOOKUP(BD_Receitas[[#This Row],[ID]],TabCondicoesComerciais[ID],TabCondicoesComerciais[Vol. 1ºGiro],0)</f>
        <v>625</v>
      </c>
      <c r="R124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242" s="1">
        <f xml:space="preserve"> IF(BD_Receitas[[#This Row],[TIPO DE COBRANÇA]]="Operação Normal",
_xlfn.XLOOKUP(BD_Receitas[[#This Row],[ID]],TabCondicoesComerciais[ID],TabCondicoesComerciais[Tarifa 2º Giro],0),0)</f>
        <v>0</v>
      </c>
      <c r="T124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3" spans="1:24" hidden="1" x14ac:dyDescent="0.35">
      <c r="A1243" s="3" t="s">
        <v>208</v>
      </c>
      <c r="B1243" s="11">
        <v>46327</v>
      </c>
      <c r="C1243" t="s">
        <v>31</v>
      </c>
      <c r="D1243" t="s">
        <v>202</v>
      </c>
      <c r="E1243" t="s">
        <v>35</v>
      </c>
      <c r="F1243" s="10" t="s">
        <v>22</v>
      </c>
      <c r="G1243" s="3" t="s">
        <v>11</v>
      </c>
      <c r="H1243" s="3" t="s">
        <v>207</v>
      </c>
      <c r="I1243" s="3" t="s">
        <v>15</v>
      </c>
      <c r="J1243" s="1">
        <v>47210.53</v>
      </c>
      <c r="K1243" s="12">
        <v>1875</v>
      </c>
      <c r="L1243" s="1"/>
      <c r="M1243" s="12"/>
      <c r="N1243"/>
      <c r="O1243"/>
      <c r="P1243" s="2">
        <f>IF(BD_Receitas[[#This Row],[TIPO DE COBRANÇA]]="Operação Normal",
_xlfn.XLOOKUP(BD_Receitas[[#This Row],[ID]],TabCondicoesComerciais[ID],TabCondicoesComerciais[Volume mínimo 
(m3)],0),"")</f>
        <v>1875</v>
      </c>
      <c r="Q1243" s="2">
        <f>_xlfn.XLOOKUP(BD_Receitas[[#This Row],[ID]],TabCondicoesComerciais[ID],TabCondicoesComerciais[Vol. 1ºGiro],0)</f>
        <v>625</v>
      </c>
      <c r="R124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243" s="1">
        <f xml:space="preserve"> IF(BD_Receitas[[#This Row],[TIPO DE COBRANÇA]]="Operação Normal",
_xlfn.XLOOKUP(BD_Receitas[[#This Row],[ID]],TabCondicoesComerciais[ID],TabCondicoesComerciais[Tarifa 2º Giro],0),0)</f>
        <v>33</v>
      </c>
      <c r="T124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4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4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24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4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44" spans="1:24" hidden="1" x14ac:dyDescent="0.35">
      <c r="A1244" s="3" t="s">
        <v>208</v>
      </c>
      <c r="B1244" s="11">
        <v>46327</v>
      </c>
      <c r="C1244" t="s">
        <v>31</v>
      </c>
      <c r="D1244" t="s">
        <v>202</v>
      </c>
      <c r="E1244" t="s">
        <v>35</v>
      </c>
      <c r="F1244" s="10" t="s">
        <v>22</v>
      </c>
      <c r="G1244" s="3" t="s">
        <v>11</v>
      </c>
      <c r="H1244" s="3" t="s">
        <v>207</v>
      </c>
      <c r="I1244" s="3" t="s">
        <v>65</v>
      </c>
      <c r="J1244" s="1">
        <v>0</v>
      </c>
      <c r="K1244" s="12">
        <v>0</v>
      </c>
      <c r="L1244" s="1"/>
      <c r="M1244" s="12"/>
      <c r="N1244"/>
      <c r="O1244"/>
      <c r="P1244" s="2" t="str">
        <f>IF(BD_Receitas[[#This Row],[TIPO DE COBRANÇA]]="Operação Normal",
_xlfn.XLOOKUP(BD_Receitas[[#This Row],[ID]],TabCondicoesComerciais[ID],TabCondicoesComerciais[Volume mínimo 
(m3)],0),"")</f>
        <v/>
      </c>
      <c r="Q1244" s="2">
        <f>_xlfn.XLOOKUP(BD_Receitas[[#This Row],[ID]],TabCondicoesComerciais[ID],TabCondicoesComerciais[Vol. 1ºGiro],0)</f>
        <v>625</v>
      </c>
      <c r="R124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4" s="1">
        <f xml:space="preserve"> IF(BD_Receitas[[#This Row],[TIPO DE COBRANÇA]]="Operação Normal",
_xlfn.XLOOKUP(BD_Receitas[[#This Row],[ID]],TabCondicoesComerciais[ID],TabCondicoesComerciais[Tarifa 2º Giro],0),0)</f>
        <v>0</v>
      </c>
      <c r="T124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5" spans="1:24" hidden="1" x14ac:dyDescent="0.35">
      <c r="A1245" s="3" t="s">
        <v>190</v>
      </c>
      <c r="B1245" s="11">
        <v>46327</v>
      </c>
      <c r="C1245" t="s">
        <v>31</v>
      </c>
      <c r="D1245" t="s">
        <v>202</v>
      </c>
      <c r="E1245" t="s">
        <v>35</v>
      </c>
      <c r="F1245" s="10" t="s">
        <v>22</v>
      </c>
      <c r="G1245" s="3" t="s">
        <v>11</v>
      </c>
      <c r="H1245" s="3" t="s">
        <v>116</v>
      </c>
      <c r="I1245" s="3" t="s">
        <v>7</v>
      </c>
      <c r="J1245" s="1">
        <v>0</v>
      </c>
      <c r="K1245" s="12">
        <v>0</v>
      </c>
      <c r="L1245" s="1"/>
      <c r="M1245" s="12"/>
      <c r="N1245"/>
      <c r="O1245"/>
      <c r="P1245" s="2" t="str">
        <f>IF(BD_Receitas[[#This Row],[TIPO DE COBRANÇA]]="Operação Normal",
_xlfn.XLOOKUP(BD_Receitas[[#This Row],[ID]],TabCondicoesComerciais[ID],TabCondicoesComerciais[Volume mínimo 
(m3)],0),"")</f>
        <v/>
      </c>
      <c r="Q1245" s="2">
        <f>_xlfn.XLOOKUP(BD_Receitas[[#This Row],[ID]],TabCondicoesComerciais[ID],TabCondicoesComerciais[Vol. 1ºGiro],0)</f>
        <v>580</v>
      </c>
      <c r="R124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5" s="1">
        <f xml:space="preserve"> IF(BD_Receitas[[#This Row],[TIPO DE COBRANÇA]]="Operação Normal",
_xlfn.XLOOKUP(BD_Receitas[[#This Row],[ID]],TabCondicoesComerciais[ID],TabCondicoesComerciais[Tarifa 2º Giro],0),0)</f>
        <v>0</v>
      </c>
      <c r="T124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6" spans="1:24" hidden="1" x14ac:dyDescent="0.35">
      <c r="A1246" s="3" t="s">
        <v>190</v>
      </c>
      <c r="B1246" s="11">
        <v>46327</v>
      </c>
      <c r="C1246" t="s">
        <v>31</v>
      </c>
      <c r="D1246" t="s">
        <v>202</v>
      </c>
      <c r="E1246" t="s">
        <v>35</v>
      </c>
      <c r="F1246" s="10" t="s">
        <v>22</v>
      </c>
      <c r="G1246" s="3" t="s">
        <v>11</v>
      </c>
      <c r="H1246" s="3" t="s">
        <v>116</v>
      </c>
      <c r="I1246" s="3" t="s">
        <v>8</v>
      </c>
      <c r="J1246" s="1">
        <v>0</v>
      </c>
      <c r="K1246" s="12">
        <v>0</v>
      </c>
      <c r="L1246" s="1"/>
      <c r="M1246" s="12"/>
      <c r="N1246"/>
      <c r="O1246"/>
      <c r="P1246" s="2" t="str">
        <f>IF(BD_Receitas[[#This Row],[TIPO DE COBRANÇA]]="Operação Normal",
_xlfn.XLOOKUP(BD_Receitas[[#This Row],[ID]],TabCondicoesComerciais[ID],TabCondicoesComerciais[Volume mínimo 
(m3)],0),"")</f>
        <v/>
      </c>
      <c r="Q1246" s="2">
        <f>_xlfn.XLOOKUP(BD_Receitas[[#This Row],[ID]],TabCondicoesComerciais[ID],TabCondicoesComerciais[Vol. 1ºGiro],0)</f>
        <v>580</v>
      </c>
      <c r="R124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6" s="1">
        <f xml:space="preserve"> IF(BD_Receitas[[#This Row],[TIPO DE COBRANÇA]]="Operação Normal",
_xlfn.XLOOKUP(BD_Receitas[[#This Row],[ID]],TabCondicoesComerciais[ID],TabCondicoesComerciais[Tarifa 2º Giro],0),0)</f>
        <v>0</v>
      </c>
      <c r="T124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7" spans="1:24" hidden="1" x14ac:dyDescent="0.35">
      <c r="A1247" s="3" t="s">
        <v>190</v>
      </c>
      <c r="B1247" s="11">
        <v>46327</v>
      </c>
      <c r="C1247" t="s">
        <v>31</v>
      </c>
      <c r="D1247" t="s">
        <v>202</v>
      </c>
      <c r="E1247" t="s">
        <v>35</v>
      </c>
      <c r="F1247" s="10" t="s">
        <v>22</v>
      </c>
      <c r="G1247" s="3" t="s">
        <v>11</v>
      </c>
      <c r="H1247" s="3" t="s">
        <v>116</v>
      </c>
      <c r="I1247" s="3" t="s">
        <v>15</v>
      </c>
      <c r="J1247" s="1">
        <v>0</v>
      </c>
      <c r="K1247" s="12">
        <v>0</v>
      </c>
      <c r="L1247" s="1"/>
      <c r="M1247" s="12"/>
      <c r="N1247"/>
      <c r="O1247"/>
      <c r="P1247" s="2">
        <f>IF(BD_Receitas[[#This Row],[TIPO DE COBRANÇA]]="Operação Normal",
_xlfn.XLOOKUP(BD_Receitas[[#This Row],[ID]],TabCondicoesComerciais[ID],TabCondicoesComerciais[Volume mínimo 
(m3)],0),"")</f>
        <v>2000</v>
      </c>
      <c r="Q1247" s="2">
        <f>_xlfn.XLOOKUP(BD_Receitas[[#This Row],[ID]],TabCondicoesComerciais[ID],TabCondicoesComerciais[Vol. 1ºGiro],0)</f>
        <v>580</v>
      </c>
      <c r="R124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247" s="1">
        <f xml:space="preserve"> IF(BD_Receitas[[#This Row],[TIPO DE COBRANÇA]]="Operação Normal",
_xlfn.XLOOKUP(BD_Receitas[[#This Row],[ID]],TabCondicoesComerciais[ID],TabCondicoesComerciais[Tarifa 2º Giro],0),0)</f>
        <v>27</v>
      </c>
      <c r="T124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4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4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24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4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48" spans="1:24" hidden="1" x14ac:dyDescent="0.35">
      <c r="A1248" s="3" t="s">
        <v>190</v>
      </c>
      <c r="B1248" s="11">
        <v>46327</v>
      </c>
      <c r="C1248" t="s">
        <v>31</v>
      </c>
      <c r="D1248" t="s">
        <v>202</v>
      </c>
      <c r="E1248" t="s">
        <v>35</v>
      </c>
      <c r="F1248" s="10" t="s">
        <v>22</v>
      </c>
      <c r="G1248" s="3" t="s">
        <v>11</v>
      </c>
      <c r="H1248" s="3" t="s">
        <v>116</v>
      </c>
      <c r="I1248" s="3" t="s">
        <v>65</v>
      </c>
      <c r="J1248" s="1">
        <v>0</v>
      </c>
      <c r="K1248" s="12">
        <v>0</v>
      </c>
      <c r="L1248" s="1"/>
      <c r="M1248" s="12"/>
      <c r="N1248"/>
      <c r="O1248"/>
      <c r="P1248" s="2" t="str">
        <f>IF(BD_Receitas[[#This Row],[TIPO DE COBRANÇA]]="Operação Normal",
_xlfn.XLOOKUP(BD_Receitas[[#This Row],[ID]],TabCondicoesComerciais[ID],TabCondicoesComerciais[Volume mínimo 
(m3)],0),"")</f>
        <v/>
      </c>
      <c r="Q1248" s="2">
        <f>_xlfn.XLOOKUP(BD_Receitas[[#This Row],[ID]],TabCondicoesComerciais[ID],TabCondicoesComerciais[Vol. 1ºGiro],0)</f>
        <v>580</v>
      </c>
      <c r="R124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48" s="1">
        <f xml:space="preserve"> IF(BD_Receitas[[#This Row],[TIPO DE COBRANÇA]]="Operação Normal",
_xlfn.XLOOKUP(BD_Receitas[[#This Row],[ID]],TabCondicoesComerciais[ID],TabCondicoesComerciais[Tarifa 2º Giro],0),0)</f>
        <v>0</v>
      </c>
      <c r="T124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49" spans="1:24" hidden="1" x14ac:dyDescent="0.35">
      <c r="A1249" s="3" t="s">
        <v>172</v>
      </c>
      <c r="B1249" s="11">
        <v>46327</v>
      </c>
      <c r="C1249" t="s">
        <v>31</v>
      </c>
      <c r="D1249" t="s">
        <v>202</v>
      </c>
      <c r="E1249" t="s">
        <v>35</v>
      </c>
      <c r="F1249" s="10" t="s">
        <v>22</v>
      </c>
      <c r="G1249" s="3" t="s">
        <v>11</v>
      </c>
      <c r="H1249" s="3" t="s">
        <v>13</v>
      </c>
      <c r="I1249" s="3" t="s">
        <v>7</v>
      </c>
      <c r="J1249" s="1">
        <v>0</v>
      </c>
      <c r="K1249" s="12">
        <v>0</v>
      </c>
      <c r="L1249" s="1"/>
      <c r="M1249" s="12"/>
      <c r="N1249"/>
      <c r="O1249"/>
      <c r="P1249" s="2" t="str">
        <f>IF(BD_Receitas[[#This Row],[TIPO DE COBRANÇA]]="Operação Normal",
_xlfn.XLOOKUP(BD_Receitas[[#This Row],[ID]],TabCondicoesComerciais[ID],TabCondicoesComerciais[Volume mínimo 
(m3)],0),"")</f>
        <v/>
      </c>
      <c r="Q1249" s="2">
        <f>_xlfn.XLOOKUP(BD_Receitas[[#This Row],[ID]],TabCondicoesComerciais[ID],TabCondicoesComerciais[Vol. 1ºGiro],0)</f>
        <v>750</v>
      </c>
      <c r="R124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49" s="1">
        <f xml:space="preserve"> IF(BD_Receitas[[#This Row],[TIPO DE COBRANÇA]]="Operação Normal",
_xlfn.XLOOKUP(BD_Receitas[[#This Row],[ID]],TabCondicoesComerciais[ID],TabCondicoesComerciais[Tarifa 2º Giro],0),0)</f>
        <v>0</v>
      </c>
      <c r="T124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4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4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4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4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0" spans="1:24" hidden="1" x14ac:dyDescent="0.35">
      <c r="A1250" s="3" t="s">
        <v>172</v>
      </c>
      <c r="B1250" s="11">
        <v>46327</v>
      </c>
      <c r="C1250" t="s">
        <v>31</v>
      </c>
      <c r="D1250" t="s">
        <v>202</v>
      </c>
      <c r="E1250" t="s">
        <v>35</v>
      </c>
      <c r="F1250" s="10" t="s">
        <v>22</v>
      </c>
      <c r="G1250" s="3" t="s">
        <v>11</v>
      </c>
      <c r="H1250" s="3" t="s">
        <v>13</v>
      </c>
      <c r="I1250" s="3" t="s">
        <v>8</v>
      </c>
      <c r="J1250" s="1">
        <v>0</v>
      </c>
      <c r="K1250" s="12">
        <v>0</v>
      </c>
      <c r="L1250" s="1"/>
      <c r="M1250" s="12"/>
      <c r="N1250"/>
      <c r="O1250"/>
      <c r="P1250" s="2" t="str">
        <f>IF(BD_Receitas[[#This Row],[TIPO DE COBRANÇA]]="Operação Normal",
_xlfn.XLOOKUP(BD_Receitas[[#This Row],[ID]],TabCondicoesComerciais[ID],TabCondicoesComerciais[Volume mínimo 
(m3)],0),"")</f>
        <v/>
      </c>
      <c r="Q1250" s="2">
        <f>_xlfn.XLOOKUP(BD_Receitas[[#This Row],[ID]],TabCondicoesComerciais[ID],TabCondicoesComerciais[Vol. 1ºGiro],0)</f>
        <v>750</v>
      </c>
      <c r="R125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50" s="1">
        <f xml:space="preserve"> IF(BD_Receitas[[#This Row],[TIPO DE COBRANÇA]]="Operação Normal",
_xlfn.XLOOKUP(BD_Receitas[[#This Row],[ID]],TabCondicoesComerciais[ID],TabCondicoesComerciais[Tarifa 2º Giro],0),0)</f>
        <v>0</v>
      </c>
      <c r="T125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1" spans="1:24" hidden="1" x14ac:dyDescent="0.35">
      <c r="A1251" s="3" t="s">
        <v>172</v>
      </c>
      <c r="B1251" s="11">
        <v>46327</v>
      </c>
      <c r="C1251" t="s">
        <v>31</v>
      </c>
      <c r="D1251" t="s">
        <v>202</v>
      </c>
      <c r="E1251" t="s">
        <v>35</v>
      </c>
      <c r="F1251" s="10" t="s">
        <v>22</v>
      </c>
      <c r="G1251" s="3" t="s">
        <v>11</v>
      </c>
      <c r="H1251" s="3" t="s">
        <v>13</v>
      </c>
      <c r="I1251" s="3" t="s">
        <v>15</v>
      </c>
      <c r="J1251" s="1">
        <v>0</v>
      </c>
      <c r="K1251" s="12">
        <v>0</v>
      </c>
      <c r="L1251" s="1"/>
      <c r="M1251" s="12"/>
      <c r="N1251"/>
      <c r="O1251"/>
      <c r="P1251" s="2">
        <f>IF(BD_Receitas[[#This Row],[TIPO DE COBRANÇA]]="Operação Normal",
_xlfn.XLOOKUP(BD_Receitas[[#This Row],[ID]],TabCondicoesComerciais[ID],TabCondicoesComerciais[Volume mínimo 
(m3)],0),"")</f>
        <v>0</v>
      </c>
      <c r="Q1251" s="2">
        <f>_xlfn.XLOOKUP(BD_Receitas[[#This Row],[ID]],TabCondicoesComerciais[ID],TabCondicoesComerciais[Vol. 1ºGiro],0)</f>
        <v>750</v>
      </c>
      <c r="R125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251" s="1">
        <f xml:space="preserve"> IF(BD_Receitas[[#This Row],[TIPO DE COBRANÇA]]="Operação Normal",
_xlfn.XLOOKUP(BD_Receitas[[#This Row],[ID]],TabCondicoesComerciais[ID],TabCondicoesComerciais[Tarifa 2º Giro],0),0)</f>
        <v>22.2</v>
      </c>
      <c r="T125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5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5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5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5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52" spans="1:24" hidden="1" x14ac:dyDescent="0.35">
      <c r="A1252" s="3" t="s">
        <v>172</v>
      </c>
      <c r="B1252" s="11">
        <v>46327</v>
      </c>
      <c r="C1252" t="s">
        <v>31</v>
      </c>
      <c r="D1252" t="s">
        <v>202</v>
      </c>
      <c r="E1252" t="s">
        <v>35</v>
      </c>
      <c r="F1252" s="10" t="s">
        <v>22</v>
      </c>
      <c r="G1252" s="3" t="s">
        <v>11</v>
      </c>
      <c r="H1252" s="3" t="s">
        <v>13</v>
      </c>
      <c r="I1252" s="3" t="s">
        <v>65</v>
      </c>
      <c r="J1252" s="1">
        <v>0</v>
      </c>
      <c r="K1252" s="12">
        <v>0</v>
      </c>
      <c r="L1252" s="1"/>
      <c r="M1252" s="12"/>
      <c r="N1252"/>
      <c r="O1252"/>
      <c r="P1252" s="2" t="str">
        <f>IF(BD_Receitas[[#This Row],[TIPO DE COBRANÇA]]="Operação Normal",
_xlfn.XLOOKUP(BD_Receitas[[#This Row],[ID]],TabCondicoesComerciais[ID],TabCondicoesComerciais[Volume mínimo 
(m3)],0),"")</f>
        <v/>
      </c>
      <c r="Q1252" s="2">
        <f>_xlfn.XLOOKUP(BD_Receitas[[#This Row],[ID]],TabCondicoesComerciais[ID],TabCondicoesComerciais[Vol. 1ºGiro],0)</f>
        <v>750</v>
      </c>
      <c r="R125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52" s="1">
        <f xml:space="preserve"> IF(BD_Receitas[[#This Row],[TIPO DE COBRANÇA]]="Operação Normal",
_xlfn.XLOOKUP(BD_Receitas[[#This Row],[ID]],TabCondicoesComerciais[ID],TabCondicoesComerciais[Tarifa 2º Giro],0),0)</f>
        <v>0</v>
      </c>
      <c r="T125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3" spans="1:24" hidden="1" x14ac:dyDescent="0.35">
      <c r="A1253" s="3" t="s">
        <v>201</v>
      </c>
      <c r="B1253" s="11">
        <v>46327</v>
      </c>
      <c r="C1253" t="s">
        <v>31</v>
      </c>
      <c r="D1253" t="s">
        <v>202</v>
      </c>
      <c r="E1253" t="s">
        <v>35</v>
      </c>
      <c r="F1253" s="10" t="s">
        <v>22</v>
      </c>
      <c r="G1253" s="3" t="s">
        <v>11</v>
      </c>
      <c r="H1253" s="3" t="s">
        <v>6</v>
      </c>
      <c r="I1253" s="3" t="s">
        <v>7</v>
      </c>
      <c r="J1253" s="1"/>
      <c r="K1253" s="12"/>
      <c r="L1253" s="1"/>
      <c r="M1253" s="12"/>
      <c r="N1253"/>
      <c r="O1253"/>
      <c r="P1253" s="2" t="str">
        <f>IF(BD_Receitas[[#This Row],[TIPO DE COBRANÇA]]="Operação Normal",
_xlfn.XLOOKUP(BD_Receitas[[#This Row],[ID]],TabCondicoesComerciais[ID],TabCondicoesComerciais[Volume mínimo 
(m3)],0),"")</f>
        <v/>
      </c>
      <c r="Q1253" s="2">
        <f>_xlfn.XLOOKUP(BD_Receitas[[#This Row],[ID]],TabCondicoesComerciais[ID],TabCondicoesComerciais[Vol. 1ºGiro],0)</f>
        <v>300</v>
      </c>
      <c r="R125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53" s="1">
        <f xml:space="preserve"> IF(BD_Receitas[[#This Row],[TIPO DE COBRANÇA]]="Operação Normal",
_xlfn.XLOOKUP(BD_Receitas[[#This Row],[ID]],TabCondicoesComerciais[ID],TabCondicoesComerciais[Tarifa 2º Giro],0),0)</f>
        <v>0</v>
      </c>
      <c r="T125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4" spans="1:24" hidden="1" x14ac:dyDescent="0.35">
      <c r="A1254" s="3" t="s">
        <v>201</v>
      </c>
      <c r="B1254" s="11">
        <v>46327</v>
      </c>
      <c r="C1254" t="s">
        <v>31</v>
      </c>
      <c r="D1254" t="s">
        <v>202</v>
      </c>
      <c r="E1254" t="s">
        <v>35</v>
      </c>
      <c r="F1254" s="10" t="s">
        <v>22</v>
      </c>
      <c r="G1254" s="3" t="s">
        <v>11</v>
      </c>
      <c r="H1254" s="3" t="s">
        <v>6</v>
      </c>
      <c r="I1254" s="3" t="s">
        <v>8</v>
      </c>
      <c r="J1254" s="1"/>
      <c r="K1254" s="12"/>
      <c r="L1254" s="1"/>
      <c r="M1254" s="12"/>
      <c r="N1254"/>
      <c r="O1254"/>
      <c r="P1254" s="2" t="str">
        <f>IF(BD_Receitas[[#This Row],[TIPO DE COBRANÇA]]="Operação Normal",
_xlfn.XLOOKUP(BD_Receitas[[#This Row],[ID]],TabCondicoesComerciais[ID],TabCondicoesComerciais[Volume mínimo 
(m3)],0),"")</f>
        <v/>
      </c>
      <c r="Q1254" s="2">
        <f>_xlfn.XLOOKUP(BD_Receitas[[#This Row],[ID]],TabCondicoesComerciais[ID],TabCondicoesComerciais[Vol. 1ºGiro],0)</f>
        <v>300</v>
      </c>
      <c r="R125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54" s="1">
        <f xml:space="preserve"> IF(BD_Receitas[[#This Row],[TIPO DE COBRANÇA]]="Operação Normal",
_xlfn.XLOOKUP(BD_Receitas[[#This Row],[ID]],TabCondicoesComerciais[ID],TabCondicoesComerciais[Tarifa 2º Giro],0),0)</f>
        <v>0</v>
      </c>
      <c r="T125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5" spans="1:24" hidden="1" x14ac:dyDescent="0.35">
      <c r="A1255" s="3" t="s">
        <v>201</v>
      </c>
      <c r="B1255" s="11">
        <v>46327</v>
      </c>
      <c r="C1255" t="s">
        <v>31</v>
      </c>
      <c r="D1255" t="s">
        <v>202</v>
      </c>
      <c r="E1255" t="s">
        <v>35</v>
      </c>
      <c r="F1255" s="10" t="s">
        <v>22</v>
      </c>
      <c r="G1255" s="3" t="s">
        <v>11</v>
      </c>
      <c r="H1255" s="3" t="s">
        <v>6</v>
      </c>
      <c r="I1255" s="3" t="s">
        <v>15</v>
      </c>
      <c r="J1255" s="1"/>
      <c r="K1255" s="12"/>
      <c r="L1255" s="1"/>
      <c r="M1255" s="12"/>
      <c r="N1255"/>
      <c r="O1255"/>
      <c r="P1255" s="2">
        <f>IF(BD_Receitas[[#This Row],[TIPO DE COBRANÇA]]="Operação Normal",
_xlfn.XLOOKUP(BD_Receitas[[#This Row],[ID]],TabCondicoesComerciais[ID],TabCondicoesComerciais[Volume mínimo 
(m3)],0),"")</f>
        <v>0</v>
      </c>
      <c r="Q1255" s="2">
        <f>_xlfn.XLOOKUP(BD_Receitas[[#This Row],[ID]],TabCondicoesComerciais[ID],TabCondicoesComerciais[Vol. 1ºGiro],0)</f>
        <v>300</v>
      </c>
      <c r="R125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255" s="1">
        <f xml:space="preserve"> IF(BD_Receitas[[#This Row],[TIPO DE COBRANÇA]]="Operação Normal",
_xlfn.XLOOKUP(BD_Receitas[[#This Row],[ID]],TabCondicoesComerciais[ID],TabCondicoesComerciais[Tarifa 2º Giro],0),0)</f>
        <v>30</v>
      </c>
      <c r="T125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5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5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5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5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56" spans="1:24" hidden="1" x14ac:dyDescent="0.35">
      <c r="A1256" s="3" t="s">
        <v>201</v>
      </c>
      <c r="B1256" s="11">
        <v>46327</v>
      </c>
      <c r="C1256" t="s">
        <v>31</v>
      </c>
      <c r="D1256" t="s">
        <v>202</v>
      </c>
      <c r="E1256" t="s">
        <v>35</v>
      </c>
      <c r="F1256" s="10" t="s">
        <v>22</v>
      </c>
      <c r="G1256" s="3" t="s">
        <v>11</v>
      </c>
      <c r="H1256" s="3" t="s">
        <v>6</v>
      </c>
      <c r="I1256" s="3" t="s">
        <v>65</v>
      </c>
      <c r="J1256" s="1"/>
      <c r="K1256" s="12"/>
      <c r="L1256" s="1"/>
      <c r="M1256" s="12"/>
      <c r="N1256"/>
      <c r="O1256"/>
      <c r="P1256" s="2" t="str">
        <f>IF(BD_Receitas[[#This Row],[TIPO DE COBRANÇA]]="Operação Normal",
_xlfn.XLOOKUP(BD_Receitas[[#This Row],[ID]],TabCondicoesComerciais[ID],TabCondicoesComerciais[Volume mínimo 
(m3)],0),"")</f>
        <v/>
      </c>
      <c r="Q1256" s="2">
        <f>_xlfn.XLOOKUP(BD_Receitas[[#This Row],[ID]],TabCondicoesComerciais[ID],TabCondicoesComerciais[Vol. 1ºGiro],0)</f>
        <v>300</v>
      </c>
      <c r="R125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56" s="1">
        <f xml:space="preserve"> IF(BD_Receitas[[#This Row],[TIPO DE COBRANÇA]]="Operação Normal",
_xlfn.XLOOKUP(BD_Receitas[[#This Row],[ID]],TabCondicoesComerciais[ID],TabCondicoesComerciais[Tarifa 2º Giro],0),0)</f>
        <v>0</v>
      </c>
      <c r="T125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7" spans="1:24" hidden="1" x14ac:dyDescent="0.35">
      <c r="A1257" s="3" t="s">
        <v>263</v>
      </c>
      <c r="B1257" s="11">
        <v>46327</v>
      </c>
      <c r="C1257" t="s">
        <v>31</v>
      </c>
      <c r="D1257" t="s">
        <v>62</v>
      </c>
      <c r="E1257" t="s">
        <v>33</v>
      </c>
      <c r="F1257" s="10" t="s">
        <v>46</v>
      </c>
      <c r="G1257" s="3" t="s">
        <v>87</v>
      </c>
      <c r="H1257" s="3" t="s">
        <v>9</v>
      </c>
      <c r="I1257" s="3" t="s">
        <v>7</v>
      </c>
      <c r="J1257" s="1">
        <v>0</v>
      </c>
      <c r="K1257" s="12">
        <v>0</v>
      </c>
      <c r="L1257" s="1"/>
      <c r="M1257" s="12"/>
      <c r="N1257"/>
      <c r="O1257"/>
      <c r="P1257" s="2" t="str">
        <f>IF(BD_Receitas[[#This Row],[TIPO DE COBRANÇA]]="Operação Normal",
_xlfn.XLOOKUP(BD_Receitas[[#This Row],[ID]],TabCondicoesComerciais[ID],TabCondicoesComerciais[Volume mínimo 
(m3)],0),"")</f>
        <v/>
      </c>
      <c r="Q1257" s="2">
        <f>_xlfn.XLOOKUP(BD_Receitas[[#This Row],[ID]],TabCondicoesComerciais[ID],TabCondicoesComerciais[Vol. 1ºGiro],0)</f>
        <v>1070</v>
      </c>
      <c r="R125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257" s="1">
        <f xml:space="preserve"> IF(BD_Receitas[[#This Row],[TIPO DE COBRANÇA]]="Operação Normal",
_xlfn.XLOOKUP(BD_Receitas[[#This Row],[ID]],TabCondicoesComerciais[ID],TabCondicoesComerciais[Tarifa 2º Giro],0),0)</f>
        <v>0</v>
      </c>
      <c r="T125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8" spans="1:24" hidden="1" x14ac:dyDescent="0.35">
      <c r="A1258" s="3" t="s">
        <v>263</v>
      </c>
      <c r="B1258" s="11">
        <v>46327</v>
      </c>
      <c r="C1258" t="s">
        <v>31</v>
      </c>
      <c r="D1258" t="s">
        <v>62</v>
      </c>
      <c r="E1258" t="s">
        <v>33</v>
      </c>
      <c r="F1258" s="10" t="s">
        <v>46</v>
      </c>
      <c r="G1258" s="3" t="s">
        <v>87</v>
      </c>
      <c r="H1258" s="3" t="s">
        <v>9</v>
      </c>
      <c r="I1258" s="3" t="s">
        <v>8</v>
      </c>
      <c r="J1258" s="1">
        <v>0</v>
      </c>
      <c r="K1258" s="12">
        <v>0</v>
      </c>
      <c r="L1258" s="1"/>
      <c r="M1258" s="12"/>
      <c r="N1258"/>
      <c r="O1258"/>
      <c r="P1258" s="2" t="str">
        <f>IF(BD_Receitas[[#This Row],[TIPO DE COBRANÇA]]="Operação Normal",
_xlfn.XLOOKUP(BD_Receitas[[#This Row],[ID]],TabCondicoesComerciais[ID],TabCondicoesComerciais[Volume mínimo 
(m3)],0),"")</f>
        <v/>
      </c>
      <c r="Q1258" s="2">
        <f>_xlfn.XLOOKUP(BD_Receitas[[#This Row],[ID]],TabCondicoesComerciais[ID],TabCondicoesComerciais[Vol. 1ºGiro],0)</f>
        <v>1070</v>
      </c>
      <c r="R125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258" s="1">
        <f xml:space="preserve"> IF(BD_Receitas[[#This Row],[TIPO DE COBRANÇA]]="Operação Normal",
_xlfn.XLOOKUP(BD_Receitas[[#This Row],[ID]],TabCondicoesComerciais[ID],TabCondicoesComerciais[Tarifa 2º Giro],0),0)</f>
        <v>0</v>
      </c>
      <c r="T125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5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5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5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5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59" spans="1:24" hidden="1" x14ac:dyDescent="0.35">
      <c r="A1259" s="3" t="s">
        <v>263</v>
      </c>
      <c r="B1259" s="11">
        <v>46327</v>
      </c>
      <c r="C1259" t="s">
        <v>31</v>
      </c>
      <c r="D1259" t="s">
        <v>62</v>
      </c>
      <c r="E1259" t="s">
        <v>33</v>
      </c>
      <c r="F1259" s="10" t="s">
        <v>46</v>
      </c>
      <c r="G1259" s="3" t="s">
        <v>87</v>
      </c>
      <c r="H1259" s="3" t="s">
        <v>9</v>
      </c>
      <c r="I1259" s="3" t="s">
        <v>15</v>
      </c>
      <c r="J1259" s="1">
        <v>65348.32</v>
      </c>
      <c r="K1259" s="12">
        <v>1926</v>
      </c>
      <c r="L1259" s="1"/>
      <c r="M1259" s="12"/>
      <c r="N1259"/>
      <c r="O1259"/>
      <c r="P1259" s="2">
        <f>IF(BD_Receitas[[#This Row],[TIPO DE COBRANÇA]]="Operação Normal",
_xlfn.XLOOKUP(BD_Receitas[[#This Row],[ID]],TabCondicoesComerciais[ID],TabCondicoesComerciais[Volume mínimo 
(m3)],0),"")</f>
        <v>3210</v>
      </c>
      <c r="Q1259" s="2">
        <f>_xlfn.XLOOKUP(BD_Receitas[[#This Row],[ID]],TabCondicoesComerciais[ID],TabCondicoesComerciais[Vol. 1ºGiro],0)</f>
        <v>1070</v>
      </c>
      <c r="R125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259" s="1">
        <f xml:space="preserve"> IF(BD_Receitas[[#This Row],[TIPO DE COBRANÇA]]="Operação Normal",
_xlfn.XLOOKUP(BD_Receitas[[#This Row],[ID]],TabCondicoesComerciais[ID],TabCondicoesComerciais[Tarifa 2º Giro],0),0)</f>
        <v>32.64</v>
      </c>
      <c r="T125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5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5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25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5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60" spans="1:24" hidden="1" x14ac:dyDescent="0.35">
      <c r="A1260" s="3" t="s">
        <v>263</v>
      </c>
      <c r="B1260" s="11">
        <v>46327</v>
      </c>
      <c r="C1260" t="s">
        <v>31</v>
      </c>
      <c r="D1260" t="s">
        <v>62</v>
      </c>
      <c r="E1260" t="s">
        <v>33</v>
      </c>
      <c r="F1260" s="10" t="s">
        <v>46</v>
      </c>
      <c r="G1260" s="3" t="s">
        <v>87</v>
      </c>
      <c r="H1260" s="3" t="s">
        <v>9</v>
      </c>
      <c r="I1260" s="3" t="s">
        <v>65</v>
      </c>
      <c r="J1260" s="1">
        <v>0</v>
      </c>
      <c r="K1260" s="12">
        <v>0</v>
      </c>
      <c r="L1260" s="1"/>
      <c r="M1260" s="12"/>
      <c r="N1260"/>
      <c r="O1260"/>
      <c r="P1260" s="2" t="str">
        <f>IF(BD_Receitas[[#This Row],[TIPO DE COBRANÇA]]="Operação Normal",
_xlfn.XLOOKUP(BD_Receitas[[#This Row],[ID]],TabCondicoesComerciais[ID],TabCondicoesComerciais[Volume mínimo 
(m3)],0),"")</f>
        <v/>
      </c>
      <c r="Q1260" s="2">
        <f>_xlfn.XLOOKUP(BD_Receitas[[#This Row],[ID]],TabCondicoesComerciais[ID],TabCondicoesComerciais[Vol. 1ºGiro],0)</f>
        <v>1070</v>
      </c>
      <c r="R126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60" s="1">
        <f xml:space="preserve"> IF(BD_Receitas[[#This Row],[TIPO DE COBRANÇA]]="Operação Normal",
_xlfn.XLOOKUP(BD_Receitas[[#This Row],[ID]],TabCondicoesComerciais[ID],TabCondicoesComerciais[Tarifa 2º Giro],0),0)</f>
        <v>0</v>
      </c>
      <c r="T126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1" spans="1:24" hidden="1" x14ac:dyDescent="0.35">
      <c r="A1261" s="3" t="s">
        <v>200</v>
      </c>
      <c r="B1261" s="11">
        <v>46327</v>
      </c>
      <c r="C1261" t="s">
        <v>31</v>
      </c>
      <c r="D1261" t="s">
        <v>203</v>
      </c>
      <c r="E1261" t="s">
        <v>32</v>
      </c>
      <c r="F1261" s="10" t="s">
        <v>25</v>
      </c>
      <c r="G1261" s="3" t="s">
        <v>12</v>
      </c>
      <c r="H1261" s="3" t="s">
        <v>10</v>
      </c>
      <c r="I1261" s="3" t="s">
        <v>7</v>
      </c>
      <c r="J1261" s="1">
        <v>0</v>
      </c>
      <c r="K1261" s="12">
        <v>0</v>
      </c>
      <c r="L1261" s="1"/>
      <c r="M1261" s="12"/>
      <c r="N1261"/>
      <c r="O1261"/>
      <c r="P1261" s="2" t="str">
        <f>IF(BD_Receitas[[#This Row],[TIPO DE COBRANÇA]]="Operação Normal",
_xlfn.XLOOKUP(BD_Receitas[[#This Row],[ID]],TabCondicoesComerciais[ID],TabCondicoesComerciais[Volume mínimo 
(m3)],0),"")</f>
        <v/>
      </c>
      <c r="Q1261" s="2">
        <f>_xlfn.XLOOKUP(BD_Receitas[[#This Row],[ID]],TabCondicoesComerciais[ID],TabCondicoesComerciais[Vol. 1ºGiro],0)</f>
        <v>2000</v>
      </c>
      <c r="R126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61" s="1">
        <f xml:space="preserve"> IF(BD_Receitas[[#This Row],[TIPO DE COBRANÇA]]="Operação Normal",
_xlfn.XLOOKUP(BD_Receitas[[#This Row],[ID]],TabCondicoesComerciais[ID],TabCondicoesComerciais[Tarifa 2º Giro],0),0)</f>
        <v>0</v>
      </c>
      <c r="T126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2" spans="1:24" hidden="1" x14ac:dyDescent="0.35">
      <c r="A1262" s="3" t="s">
        <v>200</v>
      </c>
      <c r="B1262" s="11">
        <v>46327</v>
      </c>
      <c r="C1262" t="s">
        <v>31</v>
      </c>
      <c r="D1262" t="s">
        <v>203</v>
      </c>
      <c r="E1262" t="s">
        <v>32</v>
      </c>
      <c r="F1262" s="10" t="s">
        <v>25</v>
      </c>
      <c r="G1262" s="3" t="s">
        <v>12</v>
      </c>
      <c r="H1262" s="3" t="s">
        <v>10</v>
      </c>
      <c r="I1262" s="3" t="s">
        <v>8</v>
      </c>
      <c r="J1262" s="1">
        <v>0</v>
      </c>
      <c r="K1262" s="12">
        <v>0</v>
      </c>
      <c r="L1262" s="1"/>
      <c r="M1262" s="12"/>
      <c r="N1262"/>
      <c r="O1262"/>
      <c r="P1262" s="2" t="str">
        <f>IF(BD_Receitas[[#This Row],[TIPO DE COBRANÇA]]="Operação Normal",
_xlfn.XLOOKUP(BD_Receitas[[#This Row],[ID]],TabCondicoesComerciais[ID],TabCondicoesComerciais[Volume mínimo 
(m3)],0),"")</f>
        <v/>
      </c>
      <c r="Q1262" s="2">
        <f>_xlfn.XLOOKUP(BD_Receitas[[#This Row],[ID]],TabCondicoesComerciais[ID],TabCondicoesComerciais[Vol. 1ºGiro],0)</f>
        <v>2000</v>
      </c>
      <c r="R126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62" s="1">
        <f xml:space="preserve"> IF(BD_Receitas[[#This Row],[TIPO DE COBRANÇA]]="Operação Normal",
_xlfn.XLOOKUP(BD_Receitas[[#This Row],[ID]],TabCondicoesComerciais[ID],TabCondicoesComerciais[Tarifa 2º Giro],0),0)</f>
        <v>0</v>
      </c>
      <c r="T126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3" spans="1:24" hidden="1" x14ac:dyDescent="0.35">
      <c r="A1263" s="3" t="s">
        <v>200</v>
      </c>
      <c r="B1263" s="11">
        <v>46327</v>
      </c>
      <c r="C1263" t="s">
        <v>31</v>
      </c>
      <c r="D1263" t="s">
        <v>203</v>
      </c>
      <c r="E1263" t="s">
        <v>32</v>
      </c>
      <c r="F1263" s="10" t="s">
        <v>25</v>
      </c>
      <c r="G1263" s="3" t="s">
        <v>12</v>
      </c>
      <c r="H1263" s="3" t="s">
        <v>10</v>
      </c>
      <c r="I1263" s="3" t="s">
        <v>15</v>
      </c>
      <c r="J1263" s="1">
        <v>0</v>
      </c>
      <c r="K1263" s="12">
        <v>0</v>
      </c>
      <c r="L1263" s="1"/>
      <c r="M1263" s="12"/>
      <c r="N1263"/>
      <c r="O1263"/>
      <c r="P1263" s="2">
        <f>IF(BD_Receitas[[#This Row],[TIPO DE COBRANÇA]]="Operação Normal",
_xlfn.XLOOKUP(BD_Receitas[[#This Row],[ID]],TabCondicoesComerciais[ID],TabCondicoesComerciais[Volume mínimo 
(m3)],0),"")</f>
        <v>8000</v>
      </c>
      <c r="Q1263" s="2">
        <f>_xlfn.XLOOKUP(BD_Receitas[[#This Row],[ID]],TabCondicoesComerciais[ID],TabCondicoesComerciais[Vol. 1ºGiro],0)</f>
        <v>2000</v>
      </c>
      <c r="R126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263" s="1">
        <f xml:space="preserve"> IF(BD_Receitas[[#This Row],[TIPO DE COBRANÇA]]="Operação Normal",
_xlfn.XLOOKUP(BD_Receitas[[#This Row],[ID]],TabCondicoesComerciais[ID],TabCondicoesComerciais[Tarifa 2º Giro],0),0)</f>
        <v>20</v>
      </c>
      <c r="T126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6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6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26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6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64" spans="1:24" hidden="1" x14ac:dyDescent="0.35">
      <c r="A1264" s="3" t="s">
        <v>200</v>
      </c>
      <c r="B1264" s="11">
        <v>46327</v>
      </c>
      <c r="C1264" t="s">
        <v>31</v>
      </c>
      <c r="D1264" t="s">
        <v>203</v>
      </c>
      <c r="E1264" t="s">
        <v>32</v>
      </c>
      <c r="F1264" s="10" t="s">
        <v>25</v>
      </c>
      <c r="G1264" s="3" t="s">
        <v>12</v>
      </c>
      <c r="H1264" s="3" t="s">
        <v>10</v>
      </c>
      <c r="I1264" s="3" t="s">
        <v>65</v>
      </c>
      <c r="J1264" s="1">
        <v>0</v>
      </c>
      <c r="K1264" s="12">
        <v>0</v>
      </c>
      <c r="L1264" s="1"/>
      <c r="M1264" s="12"/>
      <c r="N1264"/>
      <c r="O1264"/>
      <c r="P1264" s="2" t="str">
        <f>IF(BD_Receitas[[#This Row],[TIPO DE COBRANÇA]]="Operação Normal",
_xlfn.XLOOKUP(BD_Receitas[[#This Row],[ID]],TabCondicoesComerciais[ID],TabCondicoesComerciais[Volume mínimo 
(m3)],0),"")</f>
        <v/>
      </c>
      <c r="Q1264" s="2">
        <f>_xlfn.XLOOKUP(BD_Receitas[[#This Row],[ID]],TabCondicoesComerciais[ID],TabCondicoesComerciais[Vol. 1ºGiro],0)</f>
        <v>2000</v>
      </c>
      <c r="R126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64" s="1">
        <f xml:space="preserve"> IF(BD_Receitas[[#This Row],[TIPO DE COBRANÇA]]="Operação Normal",
_xlfn.XLOOKUP(BD_Receitas[[#This Row],[ID]],TabCondicoesComerciais[ID],TabCondicoesComerciais[Tarifa 2º Giro],0),0)</f>
        <v>0</v>
      </c>
      <c r="T126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5" spans="1:24" hidden="1" x14ac:dyDescent="0.35">
      <c r="A1265" s="3" t="s">
        <v>342</v>
      </c>
      <c r="B1265" s="11">
        <v>46327</v>
      </c>
      <c r="C1265" t="s">
        <v>31</v>
      </c>
      <c r="D1265" t="s">
        <v>203</v>
      </c>
      <c r="E1265" t="s">
        <v>32</v>
      </c>
      <c r="F1265" s="10" t="s">
        <v>25</v>
      </c>
      <c r="G1265" s="3" t="s">
        <v>12</v>
      </c>
      <c r="H1265" s="3" t="s">
        <v>9</v>
      </c>
      <c r="I1265" s="3" t="s">
        <v>7</v>
      </c>
      <c r="J1265" s="1">
        <v>0</v>
      </c>
      <c r="K1265" s="12">
        <v>0</v>
      </c>
      <c r="L1265" s="1"/>
      <c r="M1265" s="12"/>
      <c r="N1265"/>
      <c r="O1265"/>
      <c r="P1265" s="2" t="str">
        <f>IF(BD_Receitas[[#This Row],[TIPO DE COBRANÇA]]="Operação Normal",
_xlfn.XLOOKUP(BD_Receitas[[#This Row],[ID]],TabCondicoesComerciais[ID],TabCondicoesComerciais[Volume mínimo 
(m3)],0),"")</f>
        <v/>
      </c>
      <c r="Q1265" s="2">
        <f>_xlfn.XLOOKUP(BD_Receitas[[#This Row],[ID]],TabCondicoesComerciais[ID],TabCondicoesComerciais[Vol. 1ºGiro],0)</f>
        <v>1125</v>
      </c>
      <c r="R126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265" s="1">
        <f xml:space="preserve"> IF(BD_Receitas[[#This Row],[TIPO DE COBRANÇA]]="Operação Normal",
_xlfn.XLOOKUP(BD_Receitas[[#This Row],[ID]],TabCondicoesComerciais[ID],TabCondicoesComerciais[Tarifa 2º Giro],0),0)</f>
        <v>0</v>
      </c>
      <c r="T126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6" spans="1:24" hidden="1" x14ac:dyDescent="0.35">
      <c r="A1266" s="3" t="s">
        <v>342</v>
      </c>
      <c r="B1266" s="11">
        <v>46327</v>
      </c>
      <c r="C1266" t="s">
        <v>31</v>
      </c>
      <c r="D1266" t="s">
        <v>203</v>
      </c>
      <c r="E1266" t="s">
        <v>32</v>
      </c>
      <c r="F1266" s="10" t="s">
        <v>25</v>
      </c>
      <c r="G1266" s="3" t="s">
        <v>12</v>
      </c>
      <c r="H1266" s="3" t="s">
        <v>9</v>
      </c>
      <c r="I1266" s="3" t="s">
        <v>8</v>
      </c>
      <c r="J1266" s="1">
        <v>0</v>
      </c>
      <c r="K1266" s="12">
        <v>0</v>
      </c>
      <c r="L1266" s="1"/>
      <c r="M1266" s="12"/>
      <c r="N1266"/>
      <c r="O1266"/>
      <c r="P1266" s="2" t="str">
        <f>IF(BD_Receitas[[#This Row],[TIPO DE COBRANÇA]]="Operação Normal",
_xlfn.XLOOKUP(BD_Receitas[[#This Row],[ID]],TabCondicoesComerciais[ID],TabCondicoesComerciais[Volume mínimo 
(m3)],0),"")</f>
        <v/>
      </c>
      <c r="Q1266" s="2">
        <f>_xlfn.XLOOKUP(BD_Receitas[[#This Row],[ID]],TabCondicoesComerciais[ID],TabCondicoesComerciais[Vol. 1ºGiro],0)</f>
        <v>1125</v>
      </c>
      <c r="R126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266" s="1">
        <f xml:space="preserve"> IF(BD_Receitas[[#This Row],[TIPO DE COBRANÇA]]="Operação Normal",
_xlfn.XLOOKUP(BD_Receitas[[#This Row],[ID]],TabCondicoesComerciais[ID],TabCondicoesComerciais[Tarifa 2º Giro],0),0)</f>
        <v>0</v>
      </c>
      <c r="T126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7" spans="1:24" hidden="1" x14ac:dyDescent="0.35">
      <c r="A1267" s="3" t="s">
        <v>342</v>
      </c>
      <c r="B1267" s="11">
        <v>46327</v>
      </c>
      <c r="C1267" t="s">
        <v>31</v>
      </c>
      <c r="D1267" t="s">
        <v>203</v>
      </c>
      <c r="E1267" t="s">
        <v>32</v>
      </c>
      <c r="F1267" s="10" t="s">
        <v>25</v>
      </c>
      <c r="G1267" s="3" t="s">
        <v>12</v>
      </c>
      <c r="H1267" s="3" t="s">
        <v>9</v>
      </c>
      <c r="I1267" s="3" t="s">
        <v>15</v>
      </c>
      <c r="J1267" s="1">
        <v>165115.51999999999</v>
      </c>
      <c r="K1267" s="12">
        <v>5625</v>
      </c>
      <c r="L1267" s="1"/>
      <c r="M1267" s="12"/>
      <c r="N1267"/>
      <c r="O1267"/>
      <c r="P1267" s="2">
        <f>IF(BD_Receitas[[#This Row],[TIPO DE COBRANÇA]]="Operação Normal",
_xlfn.XLOOKUP(BD_Receitas[[#This Row],[ID]],TabCondicoesComerciais[ID],TabCondicoesComerciais[Volume mínimo 
(m3)],0),"")</f>
        <v>5625</v>
      </c>
      <c r="Q1267" s="2">
        <f>_xlfn.XLOOKUP(BD_Receitas[[#This Row],[ID]],TabCondicoesComerciais[ID],TabCondicoesComerciais[Vol. 1ºGiro],0)</f>
        <v>1125</v>
      </c>
      <c r="R126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267" s="1">
        <f xml:space="preserve"> IF(BD_Receitas[[#This Row],[TIPO DE COBRANÇA]]="Operação Normal",
_xlfn.XLOOKUP(BD_Receitas[[#This Row],[ID]],TabCondicoesComerciais[ID],TabCondicoesComerciais[Tarifa 2º Giro],0),0)</f>
        <v>27.4</v>
      </c>
      <c r="T126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6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6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26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6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68" spans="1:24" hidden="1" x14ac:dyDescent="0.35">
      <c r="A1268" s="3" t="s">
        <v>342</v>
      </c>
      <c r="B1268" s="11">
        <v>46327</v>
      </c>
      <c r="C1268" t="s">
        <v>31</v>
      </c>
      <c r="D1268" t="s">
        <v>203</v>
      </c>
      <c r="E1268" t="s">
        <v>32</v>
      </c>
      <c r="F1268" s="10" t="s">
        <v>25</v>
      </c>
      <c r="G1268" s="3" t="s">
        <v>12</v>
      </c>
      <c r="H1268" s="3" t="s">
        <v>9</v>
      </c>
      <c r="I1268" s="3" t="s">
        <v>65</v>
      </c>
      <c r="J1268" s="1">
        <v>0</v>
      </c>
      <c r="K1268" s="12">
        <v>0</v>
      </c>
      <c r="L1268" s="1"/>
      <c r="M1268" s="12"/>
      <c r="N1268"/>
      <c r="O1268"/>
      <c r="P1268" s="2" t="str">
        <f>IF(BD_Receitas[[#This Row],[TIPO DE COBRANÇA]]="Operação Normal",
_xlfn.XLOOKUP(BD_Receitas[[#This Row],[ID]],TabCondicoesComerciais[ID],TabCondicoesComerciais[Volume mínimo 
(m3)],0),"")</f>
        <v/>
      </c>
      <c r="Q1268" s="2">
        <f>_xlfn.XLOOKUP(BD_Receitas[[#This Row],[ID]],TabCondicoesComerciais[ID],TabCondicoesComerciais[Vol. 1ºGiro],0)</f>
        <v>1125</v>
      </c>
      <c r="R126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68" s="1">
        <f xml:space="preserve"> IF(BD_Receitas[[#This Row],[TIPO DE COBRANÇA]]="Operação Normal",
_xlfn.XLOOKUP(BD_Receitas[[#This Row],[ID]],TabCondicoesComerciais[ID],TabCondicoesComerciais[Tarifa 2º Giro],0),0)</f>
        <v>0</v>
      </c>
      <c r="T126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69" spans="1:24" hidden="1" x14ac:dyDescent="0.35">
      <c r="A1269" s="3" t="s">
        <v>134</v>
      </c>
      <c r="B1269" s="11">
        <v>46327</v>
      </c>
      <c r="C1269" t="s">
        <v>31</v>
      </c>
      <c r="D1269" t="s">
        <v>62</v>
      </c>
      <c r="E1269" t="s">
        <v>37</v>
      </c>
      <c r="F1269" s="10" t="s">
        <v>57</v>
      </c>
      <c r="G1269" s="3" t="s">
        <v>58</v>
      </c>
      <c r="H1269" s="3" t="s">
        <v>10</v>
      </c>
      <c r="I1269" s="3" t="s">
        <v>7</v>
      </c>
      <c r="J1269" s="1">
        <v>0</v>
      </c>
      <c r="K1269" s="12">
        <v>0</v>
      </c>
      <c r="L1269" s="1"/>
      <c r="M1269" s="12"/>
      <c r="N1269"/>
      <c r="O1269"/>
      <c r="P1269" s="2" t="str">
        <f>IF(BD_Receitas[[#This Row],[TIPO DE COBRANÇA]]="Operação Normal",
_xlfn.XLOOKUP(BD_Receitas[[#This Row],[ID]],TabCondicoesComerciais[ID],TabCondicoesComerciais[Volume mínimo 
(m3)],0),"")</f>
        <v/>
      </c>
      <c r="Q1269" s="2">
        <f>_xlfn.XLOOKUP(BD_Receitas[[#This Row],[ID]],TabCondicoesComerciais[ID],TabCondicoesComerciais[Vol. 1ºGiro],0)</f>
        <v>310</v>
      </c>
      <c r="R126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69" s="1">
        <f xml:space="preserve"> IF(BD_Receitas[[#This Row],[TIPO DE COBRANÇA]]="Operação Normal",
_xlfn.XLOOKUP(BD_Receitas[[#This Row],[ID]],TabCondicoesComerciais[ID],TabCondicoesComerciais[Tarifa 2º Giro],0),0)</f>
        <v>0</v>
      </c>
      <c r="T126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6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6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6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6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0" spans="1:24" hidden="1" x14ac:dyDescent="0.35">
      <c r="A1270" s="3" t="s">
        <v>134</v>
      </c>
      <c r="B1270" s="11">
        <v>46327</v>
      </c>
      <c r="C1270" t="s">
        <v>31</v>
      </c>
      <c r="D1270" t="s">
        <v>62</v>
      </c>
      <c r="E1270" t="s">
        <v>37</v>
      </c>
      <c r="F1270" s="10" t="s">
        <v>57</v>
      </c>
      <c r="G1270" s="3" t="s">
        <v>58</v>
      </c>
      <c r="H1270" s="3" t="s">
        <v>10</v>
      </c>
      <c r="I1270" s="3" t="s">
        <v>8</v>
      </c>
      <c r="J1270" s="1">
        <v>0</v>
      </c>
      <c r="K1270" s="12">
        <v>0</v>
      </c>
      <c r="L1270" s="1"/>
      <c r="M1270" s="12"/>
      <c r="N1270"/>
      <c r="O1270"/>
      <c r="P1270" s="2" t="str">
        <f>IF(BD_Receitas[[#This Row],[TIPO DE COBRANÇA]]="Operação Normal",
_xlfn.XLOOKUP(BD_Receitas[[#This Row],[ID]],TabCondicoesComerciais[ID],TabCondicoesComerciais[Volume mínimo 
(m3)],0),"")</f>
        <v/>
      </c>
      <c r="Q1270" s="2">
        <f>_xlfn.XLOOKUP(BD_Receitas[[#This Row],[ID]],TabCondicoesComerciais[ID],TabCondicoesComerciais[Vol. 1ºGiro],0)</f>
        <v>310</v>
      </c>
      <c r="R127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270" s="1">
        <f xml:space="preserve"> IF(BD_Receitas[[#This Row],[TIPO DE COBRANÇA]]="Operação Normal",
_xlfn.XLOOKUP(BD_Receitas[[#This Row],[ID]],TabCondicoesComerciais[ID],TabCondicoesComerciais[Tarifa 2º Giro],0),0)</f>
        <v>0</v>
      </c>
      <c r="T127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1" spans="1:24" hidden="1" x14ac:dyDescent="0.35">
      <c r="A1271" s="3" t="s">
        <v>134</v>
      </c>
      <c r="B1271" s="11">
        <v>46327</v>
      </c>
      <c r="C1271" t="s">
        <v>31</v>
      </c>
      <c r="D1271" t="s">
        <v>62</v>
      </c>
      <c r="E1271" t="s">
        <v>37</v>
      </c>
      <c r="F1271" s="10" t="s">
        <v>57</v>
      </c>
      <c r="G1271" s="3" t="s">
        <v>58</v>
      </c>
      <c r="H1271" s="3" t="s">
        <v>10</v>
      </c>
      <c r="I1271" s="3" t="s">
        <v>15</v>
      </c>
      <c r="J1271" s="1">
        <v>35019.49</v>
      </c>
      <c r="K1271" s="12">
        <v>1100</v>
      </c>
      <c r="L1271" s="1"/>
      <c r="M1271" s="12"/>
      <c r="N1271"/>
      <c r="O1271"/>
      <c r="P1271" s="2">
        <f>IF(BD_Receitas[[#This Row],[TIPO DE COBRANÇA]]="Operação Normal",
_xlfn.XLOOKUP(BD_Receitas[[#This Row],[ID]],TabCondicoesComerciais[ID],TabCondicoesComerciais[Volume mínimo 
(m3)],0),"")</f>
        <v>1100</v>
      </c>
      <c r="Q1271" s="2">
        <f>_xlfn.XLOOKUP(BD_Receitas[[#This Row],[ID]],TabCondicoesComerciais[ID],TabCondicoesComerciais[Vol. 1ºGiro],0)</f>
        <v>310</v>
      </c>
      <c r="R127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271" s="1">
        <f xml:space="preserve"> IF(BD_Receitas[[#This Row],[TIPO DE COBRANÇA]]="Operação Normal",
_xlfn.XLOOKUP(BD_Receitas[[#This Row],[ID]],TabCondicoesComerciais[ID],TabCondicoesComerciais[Tarifa 2º Giro],0),0)</f>
        <v>31.04</v>
      </c>
      <c r="T127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7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7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27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7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72" spans="1:24" hidden="1" x14ac:dyDescent="0.35">
      <c r="A1272" s="3" t="s">
        <v>134</v>
      </c>
      <c r="B1272" s="11">
        <v>46327</v>
      </c>
      <c r="C1272" t="s">
        <v>31</v>
      </c>
      <c r="D1272" t="s">
        <v>62</v>
      </c>
      <c r="E1272" t="s">
        <v>37</v>
      </c>
      <c r="F1272" s="10" t="s">
        <v>57</v>
      </c>
      <c r="G1272" s="3" t="s">
        <v>58</v>
      </c>
      <c r="H1272" s="3" t="s">
        <v>10</v>
      </c>
      <c r="I1272" s="3" t="s">
        <v>65</v>
      </c>
      <c r="J1272" s="1">
        <v>0</v>
      </c>
      <c r="K1272" s="12">
        <v>0</v>
      </c>
      <c r="L1272" s="1"/>
      <c r="M1272" s="12"/>
      <c r="N1272"/>
      <c r="O1272"/>
      <c r="P1272" s="2" t="str">
        <f>IF(BD_Receitas[[#This Row],[TIPO DE COBRANÇA]]="Operação Normal",
_xlfn.XLOOKUP(BD_Receitas[[#This Row],[ID]],TabCondicoesComerciais[ID],TabCondicoesComerciais[Volume mínimo 
(m3)],0),"")</f>
        <v/>
      </c>
      <c r="Q1272" s="2">
        <f>_xlfn.XLOOKUP(BD_Receitas[[#This Row],[ID]],TabCondicoesComerciais[ID],TabCondicoesComerciais[Vol. 1ºGiro],0)</f>
        <v>310</v>
      </c>
      <c r="R127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72" s="1">
        <f xml:space="preserve"> IF(BD_Receitas[[#This Row],[TIPO DE COBRANÇA]]="Operação Normal",
_xlfn.XLOOKUP(BD_Receitas[[#This Row],[ID]],TabCondicoesComerciais[ID],TabCondicoesComerciais[Tarifa 2º Giro],0),0)</f>
        <v>0</v>
      </c>
      <c r="T127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3" spans="1:24" hidden="1" x14ac:dyDescent="0.35">
      <c r="A1273" s="3" t="s">
        <v>173</v>
      </c>
      <c r="B1273" s="11">
        <v>46327</v>
      </c>
      <c r="C1273" t="s">
        <v>31</v>
      </c>
      <c r="D1273" t="s">
        <v>62</v>
      </c>
      <c r="E1273" t="s">
        <v>37</v>
      </c>
      <c r="F1273" s="10" t="s">
        <v>57</v>
      </c>
      <c r="G1273" s="3" t="s">
        <v>58</v>
      </c>
      <c r="H1273" s="3" t="s">
        <v>6</v>
      </c>
      <c r="I1273" s="3" t="s">
        <v>7</v>
      </c>
      <c r="J1273" s="1">
        <v>0</v>
      </c>
      <c r="K1273" s="12">
        <v>0</v>
      </c>
      <c r="L1273" s="1"/>
      <c r="M1273" s="12"/>
      <c r="N1273"/>
      <c r="O1273"/>
      <c r="P1273" s="2" t="str">
        <f>IF(BD_Receitas[[#This Row],[TIPO DE COBRANÇA]]="Operação Normal",
_xlfn.XLOOKUP(BD_Receitas[[#This Row],[ID]],TabCondicoesComerciais[ID],TabCondicoesComerciais[Volume mínimo 
(m3)],0),"")</f>
        <v/>
      </c>
      <c r="Q1273" s="2">
        <f>_xlfn.XLOOKUP(BD_Receitas[[#This Row],[ID]],TabCondicoesComerciais[ID],TabCondicoesComerciais[Vol. 1ºGiro],0)</f>
        <v>1070</v>
      </c>
      <c r="R127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73" s="1">
        <f xml:space="preserve"> IF(BD_Receitas[[#This Row],[TIPO DE COBRANÇA]]="Operação Normal",
_xlfn.XLOOKUP(BD_Receitas[[#This Row],[ID]],TabCondicoesComerciais[ID],TabCondicoesComerciais[Tarifa 2º Giro],0),0)</f>
        <v>0</v>
      </c>
      <c r="T127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4" spans="1:24" hidden="1" x14ac:dyDescent="0.35">
      <c r="A1274" s="3" t="s">
        <v>173</v>
      </c>
      <c r="B1274" s="11">
        <v>46327</v>
      </c>
      <c r="C1274" t="s">
        <v>31</v>
      </c>
      <c r="D1274" t="s">
        <v>62</v>
      </c>
      <c r="E1274" t="s">
        <v>37</v>
      </c>
      <c r="F1274" s="10" t="s">
        <v>57</v>
      </c>
      <c r="G1274" s="3" t="s">
        <v>58</v>
      </c>
      <c r="H1274" s="3" t="s">
        <v>6</v>
      </c>
      <c r="I1274" s="3" t="s">
        <v>8</v>
      </c>
      <c r="J1274" s="1">
        <v>0</v>
      </c>
      <c r="K1274" s="12">
        <v>0</v>
      </c>
      <c r="L1274" s="1"/>
      <c r="M1274" s="12"/>
      <c r="N1274"/>
      <c r="O1274"/>
      <c r="P1274" s="2" t="str">
        <f>IF(BD_Receitas[[#This Row],[TIPO DE COBRANÇA]]="Operação Normal",
_xlfn.XLOOKUP(BD_Receitas[[#This Row],[ID]],TabCondicoesComerciais[ID],TabCondicoesComerciais[Volume mínimo 
(m3)],0),"")</f>
        <v/>
      </c>
      <c r="Q1274" s="2">
        <f>_xlfn.XLOOKUP(BD_Receitas[[#This Row],[ID]],TabCondicoesComerciais[ID],TabCondicoesComerciais[Vol. 1ºGiro],0)</f>
        <v>1070</v>
      </c>
      <c r="R127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74" s="1">
        <f xml:space="preserve"> IF(BD_Receitas[[#This Row],[TIPO DE COBRANÇA]]="Operação Normal",
_xlfn.XLOOKUP(BD_Receitas[[#This Row],[ID]],TabCondicoesComerciais[ID],TabCondicoesComerciais[Tarifa 2º Giro],0),0)</f>
        <v>0</v>
      </c>
      <c r="T127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5" spans="1:24" hidden="1" x14ac:dyDescent="0.35">
      <c r="A1275" s="3" t="s">
        <v>173</v>
      </c>
      <c r="B1275" s="11">
        <v>46327</v>
      </c>
      <c r="C1275" t="s">
        <v>31</v>
      </c>
      <c r="D1275" t="s">
        <v>62</v>
      </c>
      <c r="E1275" t="s">
        <v>37</v>
      </c>
      <c r="F1275" s="10" t="s">
        <v>57</v>
      </c>
      <c r="G1275" s="3" t="s">
        <v>58</v>
      </c>
      <c r="H1275" s="3" t="s">
        <v>6</v>
      </c>
      <c r="I1275" s="3" t="s">
        <v>15</v>
      </c>
      <c r="J1275" s="1">
        <v>82153.039999999994</v>
      </c>
      <c r="K1275" s="12">
        <v>3300</v>
      </c>
      <c r="L1275" s="1"/>
      <c r="M1275" s="12"/>
      <c r="N1275"/>
      <c r="O1275"/>
      <c r="P1275" s="2">
        <f>IF(BD_Receitas[[#This Row],[TIPO DE COBRANÇA]]="Operação Normal",
_xlfn.XLOOKUP(BD_Receitas[[#This Row],[ID]],TabCondicoesComerciais[ID],TabCondicoesComerciais[Volume mínimo 
(m3)],0),"")</f>
        <v>3300</v>
      </c>
      <c r="Q1275" s="2">
        <f>_xlfn.XLOOKUP(BD_Receitas[[#This Row],[ID]],TabCondicoesComerciais[ID],TabCondicoesComerciais[Vol. 1ºGiro],0)</f>
        <v>1070</v>
      </c>
      <c r="R127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275" s="1">
        <f xml:space="preserve"> IF(BD_Receitas[[#This Row],[TIPO DE COBRANÇA]]="Operação Normal",
_xlfn.XLOOKUP(BD_Receitas[[#This Row],[ID]],TabCondicoesComerciais[ID],TabCondicoesComerciais[Tarifa 2º Giro],0),0)</f>
        <v>23.42</v>
      </c>
      <c r="T127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7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7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27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7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76" spans="1:24" hidden="1" x14ac:dyDescent="0.35">
      <c r="A1276" s="3" t="s">
        <v>173</v>
      </c>
      <c r="B1276" s="11">
        <v>46327</v>
      </c>
      <c r="C1276" t="s">
        <v>31</v>
      </c>
      <c r="D1276" t="s">
        <v>62</v>
      </c>
      <c r="E1276" t="s">
        <v>37</v>
      </c>
      <c r="F1276" s="10" t="s">
        <v>57</v>
      </c>
      <c r="G1276" s="3" t="s">
        <v>58</v>
      </c>
      <c r="H1276" s="3" t="s">
        <v>6</v>
      </c>
      <c r="I1276" s="3" t="s">
        <v>65</v>
      </c>
      <c r="J1276" s="1">
        <v>0</v>
      </c>
      <c r="K1276" s="12">
        <v>0</v>
      </c>
      <c r="L1276" s="1"/>
      <c r="M1276" s="12"/>
      <c r="N1276"/>
      <c r="O1276"/>
      <c r="P1276" s="2" t="str">
        <f>IF(BD_Receitas[[#This Row],[TIPO DE COBRANÇA]]="Operação Normal",
_xlfn.XLOOKUP(BD_Receitas[[#This Row],[ID]],TabCondicoesComerciais[ID],TabCondicoesComerciais[Volume mínimo 
(m3)],0),"")</f>
        <v/>
      </c>
      <c r="Q1276" s="2">
        <f>_xlfn.XLOOKUP(BD_Receitas[[#This Row],[ID]],TabCondicoesComerciais[ID],TabCondicoesComerciais[Vol. 1ºGiro],0)</f>
        <v>1070</v>
      </c>
      <c r="R127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76" s="1">
        <f xml:space="preserve"> IF(BD_Receitas[[#This Row],[TIPO DE COBRANÇA]]="Operação Normal",
_xlfn.XLOOKUP(BD_Receitas[[#This Row],[ID]],TabCondicoesComerciais[ID],TabCondicoesComerciais[Tarifa 2º Giro],0),0)</f>
        <v>0</v>
      </c>
      <c r="T127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7" spans="1:24" x14ac:dyDescent="0.35">
      <c r="A1277" s="3" t="s">
        <v>343</v>
      </c>
      <c r="B1277" s="11">
        <v>46327</v>
      </c>
      <c r="C1277" t="s">
        <v>31</v>
      </c>
      <c r="D1277" t="s">
        <v>203</v>
      </c>
      <c r="E1277" t="s">
        <v>34</v>
      </c>
      <c r="F1277" s="10" t="s">
        <v>26</v>
      </c>
      <c r="G1277" s="3" t="s">
        <v>19</v>
      </c>
      <c r="H1277" s="3" t="s">
        <v>13</v>
      </c>
      <c r="I1277" s="3" t="s">
        <v>7</v>
      </c>
      <c r="J1277" s="1">
        <v>0</v>
      </c>
      <c r="K1277" s="12">
        <v>0</v>
      </c>
      <c r="L1277" s="1"/>
      <c r="M1277" s="12"/>
      <c r="N1277"/>
      <c r="O1277"/>
      <c r="P1277" s="2" t="str">
        <f>IF(BD_Receitas[[#This Row],[TIPO DE COBRANÇA]]="Operação Normal",
_xlfn.XLOOKUP(BD_Receitas[[#This Row],[ID]],TabCondicoesComerciais[ID],TabCondicoesComerciais[Volume mínimo 
(m3)],0),"")</f>
        <v/>
      </c>
      <c r="Q1277" s="2">
        <f>_xlfn.XLOOKUP(BD_Receitas[[#This Row],[ID]],TabCondicoesComerciais[ID],TabCondicoesComerciais[Vol. 1ºGiro],0)</f>
        <v>340</v>
      </c>
      <c r="R127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77" s="1">
        <f xml:space="preserve"> IF(BD_Receitas[[#This Row],[TIPO DE COBRANÇA]]="Operação Normal",
_xlfn.XLOOKUP(BD_Receitas[[#This Row],[ID]],TabCondicoesComerciais[ID],TabCondicoesComerciais[Tarifa 2º Giro],0),0)</f>
        <v>0</v>
      </c>
      <c r="T127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8" spans="1:24" x14ac:dyDescent="0.35">
      <c r="A1278" s="3" t="s">
        <v>343</v>
      </c>
      <c r="B1278" s="11">
        <v>46327</v>
      </c>
      <c r="C1278" t="s">
        <v>31</v>
      </c>
      <c r="D1278" t="s">
        <v>203</v>
      </c>
      <c r="E1278" t="s">
        <v>34</v>
      </c>
      <c r="F1278" s="10" t="s">
        <v>26</v>
      </c>
      <c r="G1278" s="3" t="s">
        <v>19</v>
      </c>
      <c r="H1278" s="3" t="s">
        <v>13</v>
      </c>
      <c r="I1278" s="3" t="s">
        <v>8</v>
      </c>
      <c r="J1278" s="1">
        <v>0</v>
      </c>
      <c r="K1278" s="12">
        <v>0</v>
      </c>
      <c r="L1278" s="1"/>
      <c r="M1278" s="12"/>
      <c r="N1278"/>
      <c r="O1278"/>
      <c r="P1278" s="2" t="str">
        <f>IF(BD_Receitas[[#This Row],[TIPO DE COBRANÇA]]="Operação Normal",
_xlfn.XLOOKUP(BD_Receitas[[#This Row],[ID]],TabCondicoesComerciais[ID],TabCondicoesComerciais[Volume mínimo 
(m3)],0),"")</f>
        <v/>
      </c>
      <c r="Q1278" s="2">
        <f>_xlfn.XLOOKUP(BD_Receitas[[#This Row],[ID]],TabCondicoesComerciais[ID],TabCondicoesComerciais[Vol. 1ºGiro],0)</f>
        <v>340</v>
      </c>
      <c r="R127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278" s="1">
        <f xml:space="preserve"> IF(BD_Receitas[[#This Row],[TIPO DE COBRANÇA]]="Operação Normal",
_xlfn.XLOOKUP(BD_Receitas[[#This Row],[ID]],TabCondicoesComerciais[ID],TabCondicoesComerciais[Tarifa 2º Giro],0),0)</f>
        <v>0</v>
      </c>
      <c r="T127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7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7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7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7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79" spans="1:24" x14ac:dyDescent="0.35">
      <c r="A1279" s="3" t="s">
        <v>343</v>
      </c>
      <c r="B1279" s="11">
        <v>46327</v>
      </c>
      <c r="C1279" t="s">
        <v>31</v>
      </c>
      <c r="D1279" t="s">
        <v>203</v>
      </c>
      <c r="E1279" t="s">
        <v>34</v>
      </c>
      <c r="F1279" s="10" t="s">
        <v>26</v>
      </c>
      <c r="G1279" s="3" t="s">
        <v>19</v>
      </c>
      <c r="H1279" s="3" t="s">
        <v>13</v>
      </c>
      <c r="I1279" s="3" t="s">
        <v>15</v>
      </c>
      <c r="J1279" s="1">
        <v>15310.52</v>
      </c>
      <c r="K1279" s="12">
        <v>510</v>
      </c>
      <c r="L1279" s="1"/>
      <c r="M1279" s="12"/>
      <c r="N1279"/>
      <c r="O1279"/>
      <c r="P1279" s="2">
        <f>IF(BD_Receitas[[#This Row],[TIPO DE COBRANÇA]]="Operação Normal",
_xlfn.XLOOKUP(BD_Receitas[[#This Row],[ID]],TabCondicoesComerciais[ID],TabCondicoesComerciais[Volume mínimo 
(m3)],0),"")</f>
        <v>0</v>
      </c>
      <c r="Q1279" s="2">
        <f>_xlfn.XLOOKUP(BD_Receitas[[#This Row],[ID]],TabCondicoesComerciais[ID],TabCondicoesComerciais[Vol. 1ºGiro],0)</f>
        <v>340</v>
      </c>
      <c r="R127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279" s="1">
        <f xml:space="preserve"> IF(BD_Receitas[[#This Row],[TIPO DE COBRANÇA]]="Operação Normal",
_xlfn.XLOOKUP(BD_Receitas[[#This Row],[ID]],TabCondicoesComerciais[ID],TabCondicoesComerciais[Tarifa 2º Giro],0),0)</f>
        <v>28</v>
      </c>
      <c r="T127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7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7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7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7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280" spans="1:24" hidden="1" x14ac:dyDescent="0.35">
      <c r="A1280" s="3" t="s">
        <v>343</v>
      </c>
      <c r="B1280" s="11">
        <v>46327</v>
      </c>
      <c r="C1280" t="s">
        <v>31</v>
      </c>
      <c r="D1280" t="s">
        <v>203</v>
      </c>
      <c r="E1280" t="s">
        <v>34</v>
      </c>
      <c r="F1280" s="10" t="s">
        <v>26</v>
      </c>
      <c r="G1280" s="3" t="s">
        <v>19</v>
      </c>
      <c r="H1280" s="3" t="s">
        <v>13</v>
      </c>
      <c r="I1280" s="3" t="s">
        <v>65</v>
      </c>
      <c r="J1280" s="1">
        <v>0</v>
      </c>
      <c r="K1280" s="12">
        <v>0</v>
      </c>
      <c r="L1280" s="1"/>
      <c r="M1280" s="12"/>
      <c r="N1280"/>
      <c r="O1280"/>
      <c r="P1280" s="2" t="str">
        <f>IF(BD_Receitas[[#This Row],[TIPO DE COBRANÇA]]="Operação Normal",
_xlfn.XLOOKUP(BD_Receitas[[#This Row],[ID]],TabCondicoesComerciais[ID],TabCondicoesComerciais[Volume mínimo 
(m3)],0),"")</f>
        <v/>
      </c>
      <c r="Q1280" s="2">
        <f>_xlfn.XLOOKUP(BD_Receitas[[#This Row],[ID]],TabCondicoesComerciais[ID],TabCondicoesComerciais[Vol. 1ºGiro],0)</f>
        <v>340</v>
      </c>
      <c r="R128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0" s="1">
        <f xml:space="preserve"> IF(BD_Receitas[[#This Row],[TIPO DE COBRANÇA]]="Operação Normal",
_xlfn.XLOOKUP(BD_Receitas[[#This Row],[ID]],TabCondicoesComerciais[ID],TabCondicoesComerciais[Tarifa 2º Giro],0),0)</f>
        <v>0</v>
      </c>
      <c r="T128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1" spans="1:24" hidden="1" x14ac:dyDescent="0.35">
      <c r="A1281" s="3" t="s">
        <v>274</v>
      </c>
      <c r="B1281" s="11">
        <v>46357</v>
      </c>
      <c r="C1281" t="s">
        <v>31</v>
      </c>
      <c r="D1281" t="s">
        <v>202</v>
      </c>
      <c r="E1281" t="s">
        <v>36</v>
      </c>
      <c r="F1281" s="10" t="s">
        <v>48</v>
      </c>
      <c r="G1281" s="3" t="s">
        <v>49</v>
      </c>
      <c r="H1281" s="3" t="s">
        <v>52</v>
      </c>
      <c r="I1281" s="3" t="s">
        <v>7</v>
      </c>
      <c r="J1281" s="1">
        <v>0</v>
      </c>
      <c r="K1281" s="12">
        <v>0</v>
      </c>
      <c r="L1281" s="1"/>
      <c r="M1281" s="12"/>
      <c r="N1281"/>
      <c r="O1281"/>
      <c r="P1281" s="2" t="str">
        <f>IF(BD_Receitas[[#This Row],[TIPO DE COBRANÇA]]="Operação Normal",
_xlfn.XLOOKUP(BD_Receitas[[#This Row],[ID]],TabCondicoesComerciais[ID],TabCondicoesComerciais[Volume mínimo 
(m3)],0),"")</f>
        <v/>
      </c>
      <c r="Q1281" s="2">
        <f>_xlfn.XLOOKUP(BD_Receitas[[#This Row],[ID]],TabCondicoesComerciais[ID],TabCondicoesComerciais[Vol. 1ºGiro],0)</f>
        <v>360</v>
      </c>
      <c r="R128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281" s="1">
        <f xml:space="preserve"> IF(BD_Receitas[[#This Row],[TIPO DE COBRANÇA]]="Operação Normal",
_xlfn.XLOOKUP(BD_Receitas[[#This Row],[ID]],TabCondicoesComerciais[ID],TabCondicoesComerciais[Tarifa 2º Giro],0),0)</f>
        <v>0</v>
      </c>
      <c r="T128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2" spans="1:24" hidden="1" x14ac:dyDescent="0.35">
      <c r="A1282" s="3" t="s">
        <v>274</v>
      </c>
      <c r="B1282" s="11">
        <v>46357</v>
      </c>
      <c r="C1282" t="s">
        <v>31</v>
      </c>
      <c r="D1282" t="s">
        <v>202</v>
      </c>
      <c r="E1282" t="s">
        <v>36</v>
      </c>
      <c r="F1282" s="10" t="s">
        <v>48</v>
      </c>
      <c r="G1282" s="3" t="s">
        <v>49</v>
      </c>
      <c r="H1282" s="3" t="s">
        <v>52</v>
      </c>
      <c r="I1282" s="3" t="s">
        <v>8</v>
      </c>
      <c r="J1282" s="1">
        <v>0</v>
      </c>
      <c r="K1282" s="12">
        <v>0</v>
      </c>
      <c r="L1282" s="1"/>
      <c r="M1282" s="12"/>
      <c r="N1282"/>
      <c r="O1282"/>
      <c r="P1282" s="2" t="str">
        <f>IF(BD_Receitas[[#This Row],[TIPO DE COBRANÇA]]="Operação Normal",
_xlfn.XLOOKUP(BD_Receitas[[#This Row],[ID]],TabCondicoesComerciais[ID],TabCondicoesComerciais[Volume mínimo 
(m3)],0),"")</f>
        <v/>
      </c>
      <c r="Q1282" s="2">
        <f>_xlfn.XLOOKUP(BD_Receitas[[#This Row],[ID]],TabCondicoesComerciais[ID],TabCondicoesComerciais[Vol. 1ºGiro],0)</f>
        <v>360</v>
      </c>
      <c r="R128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17.568000000000001</v>
      </c>
      <c r="S1282" s="1">
        <f xml:space="preserve"> IF(BD_Receitas[[#This Row],[TIPO DE COBRANÇA]]="Operação Normal",
_xlfn.XLOOKUP(BD_Receitas[[#This Row],[ID]],TabCondicoesComerciais[ID],TabCondicoesComerciais[Tarifa 2º Giro],0),0)</f>
        <v>0</v>
      </c>
      <c r="T128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3" spans="1:24" hidden="1" x14ac:dyDescent="0.35">
      <c r="A1283" s="3" t="s">
        <v>274</v>
      </c>
      <c r="B1283" s="11">
        <v>46357</v>
      </c>
      <c r="C1283" t="s">
        <v>31</v>
      </c>
      <c r="D1283" t="s">
        <v>202</v>
      </c>
      <c r="E1283" t="s">
        <v>36</v>
      </c>
      <c r="F1283" s="10" t="s">
        <v>48</v>
      </c>
      <c r="G1283" s="3" t="s">
        <v>49</v>
      </c>
      <c r="H1283" s="3" t="s">
        <v>52</v>
      </c>
      <c r="I1283" s="3" t="s">
        <v>15</v>
      </c>
      <c r="J1283" s="1">
        <v>93380.944900000002</v>
      </c>
      <c r="K1283" s="12">
        <v>2040</v>
      </c>
      <c r="L1283" s="1"/>
      <c r="M1283" s="12"/>
      <c r="N1283"/>
      <c r="O1283"/>
      <c r="P1283" s="2">
        <f>IF(BD_Receitas[[#This Row],[TIPO DE COBRANÇA]]="Operação Normal",
_xlfn.XLOOKUP(BD_Receitas[[#This Row],[ID]],TabCondicoesComerciais[ID],TabCondicoesComerciais[Volume mínimo 
(m3)],0),"")</f>
        <v>2040</v>
      </c>
      <c r="Q1283" s="2">
        <f>_xlfn.XLOOKUP(BD_Receitas[[#This Row],[ID]],TabCondicoesComerciais[ID],TabCondicoesComerciais[Vol. 1ºGiro],0)</f>
        <v>360</v>
      </c>
      <c r="R128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43.92</v>
      </c>
      <c r="S1283" s="1">
        <f xml:space="preserve"> IF(BD_Receitas[[#This Row],[TIPO DE COBRANÇA]]="Operação Normal",
_xlfn.XLOOKUP(BD_Receitas[[#This Row],[ID]],TabCondicoesComerciais[ID],TabCondicoesComerciais[Tarifa 2º Giro],0),0)</f>
        <v>43.92</v>
      </c>
      <c r="T128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8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8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89596.800000000003</v>
      </c>
      <c r="W128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8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84" spans="1:24" hidden="1" x14ac:dyDescent="0.35">
      <c r="A1284" s="3" t="s">
        <v>274</v>
      </c>
      <c r="B1284" s="11">
        <v>46357</v>
      </c>
      <c r="C1284" t="s">
        <v>31</v>
      </c>
      <c r="D1284" t="s">
        <v>202</v>
      </c>
      <c r="E1284" t="s">
        <v>36</v>
      </c>
      <c r="F1284" s="10" t="s">
        <v>48</v>
      </c>
      <c r="G1284" s="3" t="s">
        <v>49</v>
      </c>
      <c r="H1284" s="3" t="s">
        <v>52</v>
      </c>
      <c r="I1284" s="3" t="s">
        <v>65</v>
      </c>
      <c r="J1284" s="1">
        <v>0</v>
      </c>
      <c r="K1284" s="12">
        <v>0</v>
      </c>
      <c r="L1284" s="1"/>
      <c r="M1284" s="12"/>
      <c r="N1284"/>
      <c r="O1284"/>
      <c r="P1284" s="2" t="str">
        <f>IF(BD_Receitas[[#This Row],[TIPO DE COBRANÇA]]="Operação Normal",
_xlfn.XLOOKUP(BD_Receitas[[#This Row],[ID]],TabCondicoesComerciais[ID],TabCondicoesComerciais[Volume mínimo 
(m3)],0),"")</f>
        <v/>
      </c>
      <c r="Q1284" s="2">
        <f>_xlfn.XLOOKUP(BD_Receitas[[#This Row],[ID]],TabCondicoesComerciais[ID],TabCondicoesComerciais[Vol. 1ºGiro],0)</f>
        <v>360</v>
      </c>
      <c r="R128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4" s="1">
        <f xml:space="preserve"> IF(BD_Receitas[[#This Row],[TIPO DE COBRANÇA]]="Operação Normal",
_xlfn.XLOOKUP(BD_Receitas[[#This Row],[ID]],TabCondicoesComerciais[ID],TabCondicoesComerciais[Tarifa 2º Giro],0),0)</f>
        <v>0</v>
      </c>
      <c r="T128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5" spans="1:24" hidden="1" x14ac:dyDescent="0.35">
      <c r="A1285" s="3" t="s">
        <v>275</v>
      </c>
      <c r="B1285" s="11">
        <v>46357</v>
      </c>
      <c r="C1285" t="s">
        <v>31</v>
      </c>
      <c r="D1285" t="s">
        <v>202</v>
      </c>
      <c r="E1285" t="s">
        <v>36</v>
      </c>
      <c r="F1285" s="10" t="s">
        <v>48</v>
      </c>
      <c r="G1285" s="3" t="s">
        <v>49</v>
      </c>
      <c r="H1285" s="3" t="s">
        <v>14</v>
      </c>
      <c r="I1285" s="3" t="s">
        <v>7</v>
      </c>
      <c r="J1285" s="1">
        <v>0</v>
      </c>
      <c r="K1285" s="12">
        <v>0</v>
      </c>
      <c r="L1285" s="1"/>
      <c r="M1285" s="12"/>
      <c r="N1285"/>
      <c r="O1285"/>
      <c r="P1285" s="2" t="str">
        <f>IF(BD_Receitas[[#This Row],[TIPO DE COBRANÇA]]="Operação Normal",
_xlfn.XLOOKUP(BD_Receitas[[#This Row],[ID]],TabCondicoesComerciais[ID],TabCondicoesComerciais[Volume mínimo 
(m3)],0),"")</f>
        <v/>
      </c>
      <c r="Q1285" s="2">
        <f>_xlfn.XLOOKUP(BD_Receitas[[#This Row],[ID]],TabCondicoesComerciais[ID],TabCondicoesComerciais[Vol. 1ºGiro],0)</f>
        <v>365</v>
      </c>
      <c r="R128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5" s="1">
        <f xml:space="preserve"> IF(BD_Receitas[[#This Row],[TIPO DE COBRANÇA]]="Operação Normal",
_xlfn.XLOOKUP(BD_Receitas[[#This Row],[ID]],TabCondicoesComerciais[ID],TabCondicoesComerciais[Tarifa 2º Giro],0),0)</f>
        <v>0</v>
      </c>
      <c r="T128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6" spans="1:24" hidden="1" x14ac:dyDescent="0.35">
      <c r="A1286" s="3" t="s">
        <v>275</v>
      </c>
      <c r="B1286" s="11">
        <v>46357</v>
      </c>
      <c r="C1286" t="s">
        <v>31</v>
      </c>
      <c r="D1286" t="s">
        <v>202</v>
      </c>
      <c r="E1286" t="s">
        <v>36</v>
      </c>
      <c r="F1286" s="10" t="s">
        <v>48</v>
      </c>
      <c r="G1286" s="3" t="s">
        <v>49</v>
      </c>
      <c r="H1286" s="3" t="s">
        <v>14</v>
      </c>
      <c r="I1286" s="3" t="s">
        <v>8</v>
      </c>
      <c r="J1286" s="1">
        <v>0</v>
      </c>
      <c r="K1286" s="12">
        <v>0</v>
      </c>
      <c r="L1286" s="1"/>
      <c r="M1286" s="12"/>
      <c r="N1286"/>
      <c r="O1286"/>
      <c r="P1286" s="2" t="str">
        <f>IF(BD_Receitas[[#This Row],[TIPO DE COBRANÇA]]="Operação Normal",
_xlfn.XLOOKUP(BD_Receitas[[#This Row],[ID]],TabCondicoesComerciais[ID],TabCondicoesComerciais[Volume mínimo 
(m3)],0),"")</f>
        <v/>
      </c>
      <c r="Q1286" s="2">
        <f>_xlfn.XLOOKUP(BD_Receitas[[#This Row],[ID]],TabCondicoesComerciais[ID],TabCondicoesComerciais[Vol. 1ºGiro],0)</f>
        <v>365</v>
      </c>
      <c r="R128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6" s="1">
        <f xml:space="preserve"> IF(BD_Receitas[[#This Row],[TIPO DE COBRANÇA]]="Operação Normal",
_xlfn.XLOOKUP(BD_Receitas[[#This Row],[ID]],TabCondicoesComerciais[ID],TabCondicoesComerciais[Tarifa 2º Giro],0),0)</f>
        <v>0</v>
      </c>
      <c r="T128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7" spans="1:24" hidden="1" x14ac:dyDescent="0.35">
      <c r="A1287" s="3" t="s">
        <v>275</v>
      </c>
      <c r="B1287" s="11">
        <v>46357</v>
      </c>
      <c r="C1287" t="s">
        <v>31</v>
      </c>
      <c r="D1287" t="s">
        <v>202</v>
      </c>
      <c r="E1287" t="s">
        <v>36</v>
      </c>
      <c r="F1287" s="10" t="s">
        <v>48</v>
      </c>
      <c r="G1287" s="3" t="s">
        <v>49</v>
      </c>
      <c r="H1287" s="3" t="s">
        <v>14</v>
      </c>
      <c r="I1287" s="3" t="s">
        <v>15</v>
      </c>
      <c r="J1287" s="1">
        <v>18715.400000000001</v>
      </c>
      <c r="K1287" s="12">
        <v>936</v>
      </c>
      <c r="L1287" s="1"/>
      <c r="M1287" s="12"/>
      <c r="N1287"/>
      <c r="O1287"/>
      <c r="P1287" s="2">
        <f>IF(BD_Receitas[[#This Row],[TIPO DE COBRANÇA]]="Operação Normal",
_xlfn.XLOOKUP(BD_Receitas[[#This Row],[ID]],TabCondicoesComerciais[ID],TabCondicoesComerciais[Volume mínimo 
(m3)],0),"")</f>
        <v>936</v>
      </c>
      <c r="Q1287" s="2">
        <f>_xlfn.XLOOKUP(BD_Receitas[[#This Row],[ID]],TabCondicoesComerciais[ID],TabCondicoesComerciais[Vol. 1ºGiro],0)</f>
        <v>365</v>
      </c>
      <c r="R128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18.93</v>
      </c>
      <c r="S1287" s="1">
        <f xml:space="preserve"> IF(BD_Receitas[[#This Row],[TIPO DE COBRANÇA]]="Operação Normal",
_xlfn.XLOOKUP(BD_Receitas[[#This Row],[ID]],TabCondicoesComerciais[ID],TabCondicoesComerciais[Tarifa 2º Giro],0),0)</f>
        <v>18.93</v>
      </c>
      <c r="T128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8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8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17718.48</v>
      </c>
      <c r="W128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8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88" spans="1:24" hidden="1" x14ac:dyDescent="0.35">
      <c r="A1288" s="3" t="s">
        <v>275</v>
      </c>
      <c r="B1288" s="11">
        <v>46357</v>
      </c>
      <c r="C1288" t="s">
        <v>31</v>
      </c>
      <c r="D1288" t="s">
        <v>202</v>
      </c>
      <c r="E1288" t="s">
        <v>36</v>
      </c>
      <c r="F1288" s="10" t="s">
        <v>48</v>
      </c>
      <c r="G1288" s="3" t="s">
        <v>49</v>
      </c>
      <c r="H1288" s="3" t="s">
        <v>14</v>
      </c>
      <c r="I1288" s="3" t="s">
        <v>65</v>
      </c>
      <c r="J1288" s="1">
        <v>0</v>
      </c>
      <c r="K1288" s="12">
        <v>0</v>
      </c>
      <c r="L1288" s="1"/>
      <c r="M1288" s="12"/>
      <c r="N1288"/>
      <c r="O1288"/>
      <c r="P1288" s="2" t="str">
        <f>IF(BD_Receitas[[#This Row],[TIPO DE COBRANÇA]]="Operação Normal",
_xlfn.XLOOKUP(BD_Receitas[[#This Row],[ID]],TabCondicoesComerciais[ID],TabCondicoesComerciais[Volume mínimo 
(m3)],0),"")</f>
        <v/>
      </c>
      <c r="Q1288" s="2">
        <f>_xlfn.XLOOKUP(BD_Receitas[[#This Row],[ID]],TabCondicoesComerciais[ID],TabCondicoesComerciais[Vol. 1ºGiro],0)</f>
        <v>365</v>
      </c>
      <c r="R128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88" s="1">
        <f xml:space="preserve"> IF(BD_Receitas[[#This Row],[TIPO DE COBRANÇA]]="Operação Normal",
_xlfn.XLOOKUP(BD_Receitas[[#This Row],[ID]],TabCondicoesComerciais[ID],TabCondicoesComerciais[Tarifa 2º Giro],0),0)</f>
        <v>0</v>
      </c>
      <c r="T128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89" spans="1:24" hidden="1" x14ac:dyDescent="0.35">
      <c r="A1289" s="3" t="s">
        <v>208</v>
      </c>
      <c r="B1289" s="11">
        <v>46357</v>
      </c>
      <c r="C1289" t="s">
        <v>31</v>
      </c>
      <c r="D1289" t="s">
        <v>202</v>
      </c>
      <c r="E1289" t="s">
        <v>35</v>
      </c>
      <c r="F1289" s="10" t="s">
        <v>22</v>
      </c>
      <c r="G1289" s="3" t="s">
        <v>11</v>
      </c>
      <c r="H1289" s="3" t="s">
        <v>207</v>
      </c>
      <c r="I1289" s="3" t="s">
        <v>7</v>
      </c>
      <c r="J1289" s="1">
        <v>0</v>
      </c>
      <c r="K1289" s="12">
        <v>0</v>
      </c>
      <c r="L1289" s="1"/>
      <c r="M1289" s="12"/>
      <c r="N1289"/>
      <c r="O1289"/>
      <c r="P1289" s="2" t="str">
        <f>IF(BD_Receitas[[#This Row],[TIPO DE COBRANÇA]]="Operação Normal",
_xlfn.XLOOKUP(BD_Receitas[[#This Row],[ID]],TabCondicoesComerciais[ID],TabCondicoesComerciais[Volume mínimo 
(m3)],0),"")</f>
        <v/>
      </c>
      <c r="Q1289" s="2">
        <f>_xlfn.XLOOKUP(BD_Receitas[[#This Row],[ID]],TabCondicoesComerciais[ID],TabCondicoesComerciais[Vol. 1ºGiro],0)</f>
        <v>625</v>
      </c>
      <c r="R128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289" s="1">
        <f xml:space="preserve"> IF(BD_Receitas[[#This Row],[TIPO DE COBRANÇA]]="Operação Normal",
_xlfn.XLOOKUP(BD_Receitas[[#This Row],[ID]],TabCondicoesComerciais[ID],TabCondicoesComerciais[Tarifa 2º Giro],0),0)</f>
        <v>0</v>
      </c>
      <c r="T128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8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8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8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8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0" spans="1:24" hidden="1" x14ac:dyDescent="0.35">
      <c r="A1290" s="3" t="s">
        <v>208</v>
      </c>
      <c r="B1290" s="11">
        <v>46357</v>
      </c>
      <c r="C1290" t="s">
        <v>31</v>
      </c>
      <c r="D1290" t="s">
        <v>202</v>
      </c>
      <c r="E1290" t="s">
        <v>35</v>
      </c>
      <c r="F1290" s="10" t="s">
        <v>22</v>
      </c>
      <c r="G1290" s="3" t="s">
        <v>11</v>
      </c>
      <c r="H1290" s="3" t="s">
        <v>207</v>
      </c>
      <c r="I1290" s="3" t="s">
        <v>8</v>
      </c>
      <c r="J1290" s="1">
        <v>0</v>
      </c>
      <c r="K1290" s="12">
        <v>0</v>
      </c>
      <c r="L1290" s="1"/>
      <c r="M1290" s="12"/>
      <c r="N1290"/>
      <c r="O1290"/>
      <c r="P1290" s="2" t="str">
        <f>IF(BD_Receitas[[#This Row],[TIPO DE COBRANÇA]]="Operação Normal",
_xlfn.XLOOKUP(BD_Receitas[[#This Row],[ID]],TabCondicoesComerciais[ID],TabCondicoesComerciais[Volume mínimo 
(m3)],0),"")</f>
        <v/>
      </c>
      <c r="Q1290" s="2">
        <f>_xlfn.XLOOKUP(BD_Receitas[[#This Row],[ID]],TabCondicoesComerciais[ID],TabCondicoesComerciais[Vol. 1ºGiro],0)</f>
        <v>625</v>
      </c>
      <c r="R129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13.2</v>
      </c>
      <c r="S1290" s="1">
        <f xml:space="preserve"> IF(BD_Receitas[[#This Row],[TIPO DE COBRANÇA]]="Operação Normal",
_xlfn.XLOOKUP(BD_Receitas[[#This Row],[ID]],TabCondicoesComerciais[ID],TabCondicoesComerciais[Tarifa 2º Giro],0),0)</f>
        <v>0</v>
      </c>
      <c r="T129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1" spans="1:24" hidden="1" x14ac:dyDescent="0.35">
      <c r="A1291" s="3" t="s">
        <v>208</v>
      </c>
      <c r="B1291" s="11">
        <v>46357</v>
      </c>
      <c r="C1291" t="s">
        <v>31</v>
      </c>
      <c r="D1291" t="s">
        <v>202</v>
      </c>
      <c r="E1291" t="s">
        <v>35</v>
      </c>
      <c r="F1291" s="10" t="s">
        <v>22</v>
      </c>
      <c r="G1291" s="3" t="s">
        <v>11</v>
      </c>
      <c r="H1291" s="3" t="s">
        <v>207</v>
      </c>
      <c r="I1291" s="3" t="s">
        <v>15</v>
      </c>
      <c r="J1291" s="1">
        <v>47210.53</v>
      </c>
      <c r="K1291" s="12">
        <v>1875</v>
      </c>
      <c r="L1291" s="1"/>
      <c r="M1291" s="12"/>
      <c r="N1291"/>
      <c r="O1291"/>
      <c r="P1291" s="2">
        <f>IF(BD_Receitas[[#This Row],[TIPO DE COBRANÇA]]="Operação Normal",
_xlfn.XLOOKUP(BD_Receitas[[#This Row],[ID]],TabCondicoesComerciais[ID],TabCondicoesComerciais[Volume mínimo 
(m3)],0),"")</f>
        <v>1875</v>
      </c>
      <c r="Q1291" s="2">
        <f>_xlfn.XLOOKUP(BD_Receitas[[#This Row],[ID]],TabCondicoesComerciais[ID],TabCondicoesComerciais[Vol. 1ºGiro],0)</f>
        <v>625</v>
      </c>
      <c r="R129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33</v>
      </c>
      <c r="S1291" s="1">
        <f xml:space="preserve"> IF(BD_Receitas[[#This Row],[TIPO DE COBRANÇA]]="Operação Normal",
_xlfn.XLOOKUP(BD_Receitas[[#This Row],[ID]],TabCondicoesComerciais[ID],TabCondicoesComerciais[Tarifa 2º Giro],0),0)</f>
        <v>33</v>
      </c>
      <c r="T129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9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9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61875</v>
      </c>
      <c r="W129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9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92" spans="1:24" hidden="1" x14ac:dyDescent="0.35">
      <c r="A1292" s="3" t="s">
        <v>208</v>
      </c>
      <c r="B1292" s="11">
        <v>46357</v>
      </c>
      <c r="C1292" t="s">
        <v>31</v>
      </c>
      <c r="D1292" t="s">
        <v>202</v>
      </c>
      <c r="E1292" t="s">
        <v>35</v>
      </c>
      <c r="F1292" s="10" t="s">
        <v>22</v>
      </c>
      <c r="G1292" s="3" t="s">
        <v>11</v>
      </c>
      <c r="H1292" s="3" t="s">
        <v>207</v>
      </c>
      <c r="I1292" s="3" t="s">
        <v>65</v>
      </c>
      <c r="J1292" s="1">
        <v>0</v>
      </c>
      <c r="K1292" s="12">
        <v>0</v>
      </c>
      <c r="L1292" s="1"/>
      <c r="M1292" s="12"/>
      <c r="N1292"/>
      <c r="O1292"/>
      <c r="P1292" s="2" t="str">
        <f>IF(BD_Receitas[[#This Row],[TIPO DE COBRANÇA]]="Operação Normal",
_xlfn.XLOOKUP(BD_Receitas[[#This Row],[ID]],TabCondicoesComerciais[ID],TabCondicoesComerciais[Volume mínimo 
(m3)],0),"")</f>
        <v/>
      </c>
      <c r="Q1292" s="2">
        <f>_xlfn.XLOOKUP(BD_Receitas[[#This Row],[ID]],TabCondicoesComerciais[ID],TabCondicoesComerciais[Vol. 1ºGiro],0)</f>
        <v>625</v>
      </c>
      <c r="R129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92" s="1">
        <f xml:space="preserve"> IF(BD_Receitas[[#This Row],[TIPO DE COBRANÇA]]="Operação Normal",
_xlfn.XLOOKUP(BD_Receitas[[#This Row],[ID]],TabCondicoesComerciais[ID],TabCondicoesComerciais[Tarifa 2º Giro],0),0)</f>
        <v>0</v>
      </c>
      <c r="T129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3" spans="1:24" hidden="1" x14ac:dyDescent="0.35">
      <c r="A1293" s="3" t="s">
        <v>190</v>
      </c>
      <c r="B1293" s="11">
        <v>46357</v>
      </c>
      <c r="C1293" t="s">
        <v>31</v>
      </c>
      <c r="D1293" t="s">
        <v>202</v>
      </c>
      <c r="E1293" t="s">
        <v>35</v>
      </c>
      <c r="F1293" s="10" t="s">
        <v>22</v>
      </c>
      <c r="G1293" s="3" t="s">
        <v>11</v>
      </c>
      <c r="H1293" s="3" t="s">
        <v>116</v>
      </c>
      <c r="I1293" s="3" t="s">
        <v>7</v>
      </c>
      <c r="J1293" s="1">
        <v>0</v>
      </c>
      <c r="K1293" s="12">
        <v>0</v>
      </c>
      <c r="L1293" s="1"/>
      <c r="M1293" s="12"/>
      <c r="N1293"/>
      <c r="O1293"/>
      <c r="P1293" s="2" t="str">
        <f>IF(BD_Receitas[[#This Row],[TIPO DE COBRANÇA]]="Operação Normal",
_xlfn.XLOOKUP(BD_Receitas[[#This Row],[ID]],TabCondicoesComerciais[ID],TabCondicoesComerciais[Volume mínimo 
(m3)],0),"")</f>
        <v/>
      </c>
      <c r="Q1293" s="2">
        <f>_xlfn.XLOOKUP(BD_Receitas[[#This Row],[ID]],TabCondicoesComerciais[ID],TabCondicoesComerciais[Vol. 1ºGiro],0)</f>
        <v>580</v>
      </c>
      <c r="R129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93" s="1">
        <f xml:space="preserve"> IF(BD_Receitas[[#This Row],[TIPO DE COBRANÇA]]="Operação Normal",
_xlfn.XLOOKUP(BD_Receitas[[#This Row],[ID]],TabCondicoesComerciais[ID],TabCondicoesComerciais[Tarifa 2º Giro],0),0)</f>
        <v>0</v>
      </c>
      <c r="T129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4" spans="1:24" hidden="1" x14ac:dyDescent="0.35">
      <c r="A1294" s="3" t="s">
        <v>190</v>
      </c>
      <c r="B1294" s="11">
        <v>46357</v>
      </c>
      <c r="C1294" t="s">
        <v>31</v>
      </c>
      <c r="D1294" t="s">
        <v>202</v>
      </c>
      <c r="E1294" t="s">
        <v>35</v>
      </c>
      <c r="F1294" s="10" t="s">
        <v>22</v>
      </c>
      <c r="G1294" s="3" t="s">
        <v>11</v>
      </c>
      <c r="H1294" s="3" t="s">
        <v>116</v>
      </c>
      <c r="I1294" s="3" t="s">
        <v>8</v>
      </c>
      <c r="J1294" s="1">
        <v>0</v>
      </c>
      <c r="K1294" s="12">
        <v>0</v>
      </c>
      <c r="L1294" s="1"/>
      <c r="M1294" s="12"/>
      <c r="N1294"/>
      <c r="O1294"/>
      <c r="P1294" s="2" t="str">
        <f>IF(BD_Receitas[[#This Row],[TIPO DE COBRANÇA]]="Operação Normal",
_xlfn.XLOOKUP(BD_Receitas[[#This Row],[ID]],TabCondicoesComerciais[ID],TabCondicoesComerciais[Volume mínimo 
(m3)],0),"")</f>
        <v/>
      </c>
      <c r="Q1294" s="2">
        <f>_xlfn.XLOOKUP(BD_Receitas[[#This Row],[ID]],TabCondicoesComerciais[ID],TabCondicoesComerciais[Vol. 1ºGiro],0)</f>
        <v>580</v>
      </c>
      <c r="R129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94" s="1">
        <f xml:space="preserve"> IF(BD_Receitas[[#This Row],[TIPO DE COBRANÇA]]="Operação Normal",
_xlfn.XLOOKUP(BD_Receitas[[#This Row],[ID]],TabCondicoesComerciais[ID],TabCondicoesComerciais[Tarifa 2º Giro],0),0)</f>
        <v>0</v>
      </c>
      <c r="T129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5" spans="1:24" hidden="1" x14ac:dyDescent="0.35">
      <c r="A1295" s="3" t="s">
        <v>190</v>
      </c>
      <c r="B1295" s="11">
        <v>46357</v>
      </c>
      <c r="C1295" t="s">
        <v>31</v>
      </c>
      <c r="D1295" t="s">
        <v>202</v>
      </c>
      <c r="E1295" t="s">
        <v>35</v>
      </c>
      <c r="F1295" s="10" t="s">
        <v>22</v>
      </c>
      <c r="G1295" s="3" t="s">
        <v>11</v>
      </c>
      <c r="H1295" s="3" t="s">
        <v>116</v>
      </c>
      <c r="I1295" s="3" t="s">
        <v>15</v>
      </c>
      <c r="J1295" s="1">
        <v>0</v>
      </c>
      <c r="K1295" s="12">
        <v>0</v>
      </c>
      <c r="L1295" s="1"/>
      <c r="M1295" s="12"/>
      <c r="N1295"/>
      <c r="O1295"/>
      <c r="P1295" s="2">
        <f>IF(BD_Receitas[[#This Row],[TIPO DE COBRANÇA]]="Operação Normal",
_xlfn.XLOOKUP(BD_Receitas[[#This Row],[ID]],TabCondicoesComerciais[ID],TabCondicoesComerciais[Volume mínimo 
(m3)],0),"")</f>
        <v>2000</v>
      </c>
      <c r="Q1295" s="2">
        <f>_xlfn.XLOOKUP(BD_Receitas[[#This Row],[ID]],TabCondicoesComerciais[ID],TabCondicoesComerciais[Vol. 1ºGiro],0)</f>
        <v>580</v>
      </c>
      <c r="R129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</v>
      </c>
      <c r="S1295" s="1">
        <f xml:space="preserve"> IF(BD_Receitas[[#This Row],[TIPO DE COBRANÇA]]="Operação Normal",
_xlfn.XLOOKUP(BD_Receitas[[#This Row],[ID]],TabCondicoesComerciais[ID],TabCondicoesComerciais[Tarifa 2º Giro],0),0)</f>
        <v>27</v>
      </c>
      <c r="T129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9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9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54000</v>
      </c>
      <c r="W129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9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296" spans="1:24" hidden="1" x14ac:dyDescent="0.35">
      <c r="A1296" s="3" t="s">
        <v>190</v>
      </c>
      <c r="B1296" s="11">
        <v>46357</v>
      </c>
      <c r="C1296" t="s">
        <v>31</v>
      </c>
      <c r="D1296" t="s">
        <v>202</v>
      </c>
      <c r="E1296" t="s">
        <v>35</v>
      </c>
      <c r="F1296" s="10" t="s">
        <v>22</v>
      </c>
      <c r="G1296" s="3" t="s">
        <v>11</v>
      </c>
      <c r="H1296" s="3" t="s">
        <v>116</v>
      </c>
      <c r="I1296" s="3" t="s">
        <v>65</v>
      </c>
      <c r="J1296" s="1">
        <v>0</v>
      </c>
      <c r="K1296" s="12">
        <v>0</v>
      </c>
      <c r="L1296" s="1"/>
      <c r="M1296" s="12"/>
      <c r="N1296"/>
      <c r="O1296"/>
      <c r="P1296" s="2" t="str">
        <f>IF(BD_Receitas[[#This Row],[TIPO DE COBRANÇA]]="Operação Normal",
_xlfn.XLOOKUP(BD_Receitas[[#This Row],[ID]],TabCondicoesComerciais[ID],TabCondicoesComerciais[Volume mínimo 
(m3)],0),"")</f>
        <v/>
      </c>
      <c r="Q1296" s="2">
        <f>_xlfn.XLOOKUP(BD_Receitas[[#This Row],[ID]],TabCondicoesComerciais[ID],TabCondicoesComerciais[Vol. 1ºGiro],0)</f>
        <v>580</v>
      </c>
      <c r="R129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296" s="1">
        <f xml:space="preserve"> IF(BD_Receitas[[#This Row],[TIPO DE COBRANÇA]]="Operação Normal",
_xlfn.XLOOKUP(BD_Receitas[[#This Row],[ID]],TabCondicoesComerciais[ID],TabCondicoesComerciais[Tarifa 2º Giro],0),0)</f>
        <v>0</v>
      </c>
      <c r="T129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7" spans="1:24" hidden="1" x14ac:dyDescent="0.35">
      <c r="A1297" s="3" t="s">
        <v>172</v>
      </c>
      <c r="B1297" s="11">
        <v>46357</v>
      </c>
      <c r="C1297" t="s">
        <v>31</v>
      </c>
      <c r="D1297" t="s">
        <v>202</v>
      </c>
      <c r="E1297" t="s">
        <v>35</v>
      </c>
      <c r="F1297" s="10" t="s">
        <v>22</v>
      </c>
      <c r="G1297" s="3" t="s">
        <v>11</v>
      </c>
      <c r="H1297" s="3" t="s">
        <v>13</v>
      </c>
      <c r="I1297" s="3" t="s">
        <v>7</v>
      </c>
      <c r="J1297" s="1">
        <v>0</v>
      </c>
      <c r="K1297" s="12">
        <v>0</v>
      </c>
      <c r="L1297" s="1"/>
      <c r="M1297" s="12"/>
      <c r="N1297"/>
      <c r="O1297"/>
      <c r="P1297" s="2" t="str">
        <f>IF(BD_Receitas[[#This Row],[TIPO DE COBRANÇA]]="Operação Normal",
_xlfn.XLOOKUP(BD_Receitas[[#This Row],[ID]],TabCondicoesComerciais[ID],TabCondicoesComerciais[Volume mínimo 
(m3)],0),"")</f>
        <v/>
      </c>
      <c r="Q1297" s="2">
        <f>_xlfn.XLOOKUP(BD_Receitas[[#This Row],[ID]],TabCondicoesComerciais[ID],TabCondicoesComerciais[Vol. 1ºGiro],0)</f>
        <v>750</v>
      </c>
      <c r="R129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97" s="1">
        <f xml:space="preserve"> IF(BD_Receitas[[#This Row],[TIPO DE COBRANÇA]]="Operação Normal",
_xlfn.XLOOKUP(BD_Receitas[[#This Row],[ID]],TabCondicoesComerciais[ID],TabCondicoesComerciais[Tarifa 2º Giro],0),0)</f>
        <v>0</v>
      </c>
      <c r="T129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8" spans="1:24" hidden="1" x14ac:dyDescent="0.35">
      <c r="A1298" s="3" t="s">
        <v>172</v>
      </c>
      <c r="B1298" s="11">
        <v>46357</v>
      </c>
      <c r="C1298" t="s">
        <v>31</v>
      </c>
      <c r="D1298" t="s">
        <v>202</v>
      </c>
      <c r="E1298" t="s">
        <v>35</v>
      </c>
      <c r="F1298" s="10" t="s">
        <v>22</v>
      </c>
      <c r="G1298" s="3" t="s">
        <v>11</v>
      </c>
      <c r="H1298" s="3" t="s">
        <v>13</v>
      </c>
      <c r="I1298" s="3" t="s">
        <v>8</v>
      </c>
      <c r="J1298" s="1">
        <v>0</v>
      </c>
      <c r="K1298" s="12">
        <v>0</v>
      </c>
      <c r="L1298" s="1"/>
      <c r="M1298" s="12"/>
      <c r="N1298"/>
      <c r="O1298"/>
      <c r="P1298" s="2" t="str">
        <f>IF(BD_Receitas[[#This Row],[TIPO DE COBRANÇA]]="Operação Normal",
_xlfn.XLOOKUP(BD_Receitas[[#This Row],[ID]],TabCondicoesComerciais[ID],TabCondicoesComerciais[Volume mínimo 
(m3)],0),"")</f>
        <v/>
      </c>
      <c r="Q1298" s="2">
        <f>_xlfn.XLOOKUP(BD_Receitas[[#This Row],[ID]],TabCondicoesComerciais[ID],TabCondicoesComerciais[Vol. 1ºGiro],0)</f>
        <v>750</v>
      </c>
      <c r="R129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8.8800000000000008</v>
      </c>
      <c r="S1298" s="1">
        <f xml:space="preserve"> IF(BD_Receitas[[#This Row],[TIPO DE COBRANÇA]]="Operação Normal",
_xlfn.XLOOKUP(BD_Receitas[[#This Row],[ID]],TabCondicoesComerciais[ID],TabCondicoesComerciais[Tarifa 2º Giro],0),0)</f>
        <v>0</v>
      </c>
      <c r="T129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29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29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29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29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299" spans="1:24" hidden="1" x14ac:dyDescent="0.35">
      <c r="A1299" s="3" t="s">
        <v>172</v>
      </c>
      <c r="B1299" s="11">
        <v>46357</v>
      </c>
      <c r="C1299" t="s">
        <v>31</v>
      </c>
      <c r="D1299" t="s">
        <v>202</v>
      </c>
      <c r="E1299" t="s">
        <v>35</v>
      </c>
      <c r="F1299" s="10" t="s">
        <v>22</v>
      </c>
      <c r="G1299" s="3" t="s">
        <v>11</v>
      </c>
      <c r="H1299" s="3" t="s">
        <v>13</v>
      </c>
      <c r="I1299" s="3" t="s">
        <v>15</v>
      </c>
      <c r="J1299" s="1">
        <v>0</v>
      </c>
      <c r="K1299" s="12">
        <v>0</v>
      </c>
      <c r="L1299" s="1"/>
      <c r="M1299" s="12"/>
      <c r="N1299"/>
      <c r="O1299"/>
      <c r="P1299" s="2">
        <f>IF(BD_Receitas[[#This Row],[TIPO DE COBRANÇA]]="Operação Normal",
_xlfn.XLOOKUP(BD_Receitas[[#This Row],[ID]],TabCondicoesComerciais[ID],TabCondicoesComerciais[Volume mínimo 
(m3)],0),"")</f>
        <v>0</v>
      </c>
      <c r="Q1299" s="2">
        <f>_xlfn.XLOOKUP(BD_Receitas[[#This Row],[ID]],TabCondicoesComerciais[ID],TabCondicoesComerciais[Vol. 1ºGiro],0)</f>
        <v>750</v>
      </c>
      <c r="R129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22.2</v>
      </c>
      <c r="S1299" s="1">
        <f xml:space="preserve"> IF(BD_Receitas[[#This Row],[TIPO DE COBRANÇA]]="Operação Normal",
_xlfn.XLOOKUP(BD_Receitas[[#This Row],[ID]],TabCondicoesComerciais[ID],TabCondicoesComerciais[Tarifa 2º Giro],0),0)</f>
        <v>22.2</v>
      </c>
      <c r="T129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29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29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29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29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300" spans="1:24" hidden="1" x14ac:dyDescent="0.35">
      <c r="A1300" s="3" t="s">
        <v>172</v>
      </c>
      <c r="B1300" s="11">
        <v>46357</v>
      </c>
      <c r="C1300" t="s">
        <v>31</v>
      </c>
      <c r="D1300" t="s">
        <v>202</v>
      </c>
      <c r="E1300" t="s">
        <v>35</v>
      </c>
      <c r="F1300" s="10" t="s">
        <v>22</v>
      </c>
      <c r="G1300" s="3" t="s">
        <v>11</v>
      </c>
      <c r="H1300" s="3" t="s">
        <v>13</v>
      </c>
      <c r="I1300" s="3" t="s">
        <v>65</v>
      </c>
      <c r="J1300" s="1">
        <v>0</v>
      </c>
      <c r="K1300" s="12">
        <v>0</v>
      </c>
      <c r="L1300" s="1"/>
      <c r="M1300" s="12"/>
      <c r="N1300"/>
      <c r="O1300"/>
      <c r="P1300" s="2" t="str">
        <f>IF(BD_Receitas[[#This Row],[TIPO DE COBRANÇA]]="Operação Normal",
_xlfn.XLOOKUP(BD_Receitas[[#This Row],[ID]],TabCondicoesComerciais[ID],TabCondicoesComerciais[Volume mínimo 
(m3)],0),"")</f>
        <v/>
      </c>
      <c r="Q1300" s="2">
        <f>_xlfn.XLOOKUP(BD_Receitas[[#This Row],[ID]],TabCondicoesComerciais[ID],TabCondicoesComerciais[Vol. 1ºGiro],0)</f>
        <v>750</v>
      </c>
      <c r="R130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00" s="1">
        <f xml:space="preserve"> IF(BD_Receitas[[#This Row],[TIPO DE COBRANÇA]]="Operação Normal",
_xlfn.XLOOKUP(BD_Receitas[[#This Row],[ID]],TabCondicoesComerciais[ID],TabCondicoesComerciais[Tarifa 2º Giro],0),0)</f>
        <v>0</v>
      </c>
      <c r="T130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1" spans="1:24" hidden="1" x14ac:dyDescent="0.35">
      <c r="A1301" s="3" t="s">
        <v>201</v>
      </c>
      <c r="B1301" s="11">
        <v>46357</v>
      </c>
      <c r="C1301" t="s">
        <v>31</v>
      </c>
      <c r="D1301" t="s">
        <v>202</v>
      </c>
      <c r="E1301" t="s">
        <v>35</v>
      </c>
      <c r="F1301" s="10" t="s">
        <v>22</v>
      </c>
      <c r="G1301" s="3" t="s">
        <v>11</v>
      </c>
      <c r="H1301" s="3" t="s">
        <v>6</v>
      </c>
      <c r="I1301" s="3" t="s">
        <v>7</v>
      </c>
      <c r="J1301" s="1"/>
      <c r="K1301" s="12"/>
      <c r="L1301" s="1"/>
      <c r="M1301" s="12"/>
      <c r="N1301"/>
      <c r="O1301"/>
      <c r="P1301" s="2" t="str">
        <f>IF(BD_Receitas[[#This Row],[TIPO DE COBRANÇA]]="Operação Normal",
_xlfn.XLOOKUP(BD_Receitas[[#This Row],[ID]],TabCondicoesComerciais[ID],TabCondicoesComerciais[Volume mínimo 
(m3)],0),"")</f>
        <v/>
      </c>
      <c r="Q1301" s="2">
        <f>_xlfn.XLOOKUP(BD_Receitas[[#This Row],[ID]],TabCondicoesComerciais[ID],TabCondicoesComerciais[Vol. 1ºGiro],0)</f>
        <v>300</v>
      </c>
      <c r="R130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01" s="1">
        <f xml:space="preserve"> IF(BD_Receitas[[#This Row],[TIPO DE COBRANÇA]]="Operação Normal",
_xlfn.XLOOKUP(BD_Receitas[[#This Row],[ID]],TabCondicoesComerciais[ID],TabCondicoesComerciais[Tarifa 2º Giro],0),0)</f>
        <v>0</v>
      </c>
      <c r="T130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2" spans="1:24" hidden="1" x14ac:dyDescent="0.35">
      <c r="A1302" s="3" t="s">
        <v>201</v>
      </c>
      <c r="B1302" s="11">
        <v>46357</v>
      </c>
      <c r="C1302" t="s">
        <v>31</v>
      </c>
      <c r="D1302" t="s">
        <v>202</v>
      </c>
      <c r="E1302" t="s">
        <v>35</v>
      </c>
      <c r="F1302" s="10" t="s">
        <v>22</v>
      </c>
      <c r="G1302" s="3" t="s">
        <v>11</v>
      </c>
      <c r="H1302" s="3" t="s">
        <v>6</v>
      </c>
      <c r="I1302" s="3" t="s">
        <v>8</v>
      </c>
      <c r="J1302" s="1"/>
      <c r="K1302" s="12"/>
      <c r="L1302" s="1"/>
      <c r="M1302" s="12"/>
      <c r="N1302"/>
      <c r="O1302"/>
      <c r="P1302" s="2" t="str">
        <f>IF(BD_Receitas[[#This Row],[TIPO DE COBRANÇA]]="Operação Normal",
_xlfn.XLOOKUP(BD_Receitas[[#This Row],[ID]],TabCondicoesComerciais[ID],TabCondicoesComerciais[Volume mínimo 
(m3)],0),"")</f>
        <v/>
      </c>
      <c r="Q1302" s="2">
        <f>_xlfn.XLOOKUP(BD_Receitas[[#This Row],[ID]],TabCondicoesComerciais[ID],TabCondicoesComerciais[Vol. 1ºGiro],0)</f>
        <v>300</v>
      </c>
      <c r="R130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02" s="1">
        <f xml:space="preserve"> IF(BD_Receitas[[#This Row],[TIPO DE COBRANÇA]]="Operação Normal",
_xlfn.XLOOKUP(BD_Receitas[[#This Row],[ID]],TabCondicoesComerciais[ID],TabCondicoesComerciais[Tarifa 2º Giro],0),0)</f>
        <v>0</v>
      </c>
      <c r="T130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3" spans="1:24" hidden="1" x14ac:dyDescent="0.35">
      <c r="A1303" s="3" t="s">
        <v>201</v>
      </c>
      <c r="B1303" s="11">
        <v>46357</v>
      </c>
      <c r="C1303" t="s">
        <v>31</v>
      </c>
      <c r="D1303" t="s">
        <v>202</v>
      </c>
      <c r="E1303" t="s">
        <v>35</v>
      </c>
      <c r="F1303" s="10" t="s">
        <v>22</v>
      </c>
      <c r="G1303" s="3" t="s">
        <v>11</v>
      </c>
      <c r="H1303" s="3" t="s">
        <v>6</v>
      </c>
      <c r="I1303" s="3" t="s">
        <v>15</v>
      </c>
      <c r="J1303" s="1"/>
      <c r="K1303" s="12"/>
      <c r="L1303" s="1"/>
      <c r="M1303" s="12"/>
      <c r="N1303"/>
      <c r="O1303"/>
      <c r="P1303" s="2">
        <f>IF(BD_Receitas[[#This Row],[TIPO DE COBRANÇA]]="Operação Normal",
_xlfn.XLOOKUP(BD_Receitas[[#This Row],[ID]],TabCondicoesComerciais[ID],TabCondicoesComerciais[Volume mínimo 
(m3)],0),"")</f>
        <v>0</v>
      </c>
      <c r="Q1303" s="2">
        <f>_xlfn.XLOOKUP(BD_Receitas[[#This Row],[ID]],TabCondicoesComerciais[ID],TabCondicoesComerciais[Vol. 1ºGiro],0)</f>
        <v>300</v>
      </c>
      <c r="R130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30</v>
      </c>
      <c r="S1303" s="1">
        <f xml:space="preserve"> IF(BD_Receitas[[#This Row],[TIPO DE COBRANÇA]]="Operação Normal",
_xlfn.XLOOKUP(BD_Receitas[[#This Row],[ID]],TabCondicoesComerciais[ID],TabCondicoesComerciais[Tarifa 2º Giro],0),0)</f>
        <v>30</v>
      </c>
      <c r="T130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0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0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30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0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304" spans="1:24" hidden="1" x14ac:dyDescent="0.35">
      <c r="A1304" s="3" t="s">
        <v>201</v>
      </c>
      <c r="B1304" s="11">
        <v>46357</v>
      </c>
      <c r="C1304" t="s">
        <v>31</v>
      </c>
      <c r="D1304" t="s">
        <v>202</v>
      </c>
      <c r="E1304" t="s">
        <v>35</v>
      </c>
      <c r="F1304" s="10" t="s">
        <v>22</v>
      </c>
      <c r="G1304" s="3" t="s">
        <v>11</v>
      </c>
      <c r="H1304" s="3" t="s">
        <v>6</v>
      </c>
      <c r="I1304" s="3" t="s">
        <v>65</v>
      </c>
      <c r="J1304" s="1"/>
      <c r="K1304" s="12"/>
      <c r="L1304" s="1"/>
      <c r="M1304" s="12"/>
      <c r="N1304"/>
      <c r="O1304"/>
      <c r="P1304" s="2" t="str">
        <f>IF(BD_Receitas[[#This Row],[TIPO DE COBRANÇA]]="Operação Normal",
_xlfn.XLOOKUP(BD_Receitas[[#This Row],[ID]],TabCondicoesComerciais[ID],TabCondicoesComerciais[Volume mínimo 
(m3)],0),"")</f>
        <v/>
      </c>
      <c r="Q1304" s="2">
        <f>_xlfn.XLOOKUP(BD_Receitas[[#This Row],[ID]],TabCondicoesComerciais[ID],TabCondicoesComerciais[Vol. 1ºGiro],0)</f>
        <v>300</v>
      </c>
      <c r="R130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04" s="1">
        <f xml:space="preserve"> IF(BD_Receitas[[#This Row],[TIPO DE COBRANÇA]]="Operação Normal",
_xlfn.XLOOKUP(BD_Receitas[[#This Row],[ID]],TabCondicoesComerciais[ID],TabCondicoesComerciais[Tarifa 2º Giro],0),0)</f>
        <v>0</v>
      </c>
      <c r="T130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5" spans="1:24" hidden="1" x14ac:dyDescent="0.35">
      <c r="A1305" s="3" t="s">
        <v>263</v>
      </c>
      <c r="B1305" s="11">
        <v>46357</v>
      </c>
      <c r="C1305" t="s">
        <v>31</v>
      </c>
      <c r="D1305" t="s">
        <v>62</v>
      </c>
      <c r="E1305" t="s">
        <v>33</v>
      </c>
      <c r="F1305" s="10" t="s">
        <v>46</v>
      </c>
      <c r="G1305" s="3" t="s">
        <v>87</v>
      </c>
      <c r="H1305" s="3" t="s">
        <v>9</v>
      </c>
      <c r="I1305" s="3" t="s">
        <v>7</v>
      </c>
      <c r="J1305" s="1">
        <v>0</v>
      </c>
      <c r="K1305" s="12">
        <v>0</v>
      </c>
      <c r="L1305" s="1"/>
      <c r="M1305" s="12"/>
      <c r="N1305"/>
      <c r="O1305"/>
      <c r="P1305" s="2" t="str">
        <f>IF(BD_Receitas[[#This Row],[TIPO DE COBRANÇA]]="Operação Normal",
_xlfn.XLOOKUP(BD_Receitas[[#This Row],[ID]],TabCondicoesComerciais[ID],TabCondicoesComerciais[Volume mínimo 
(m3)],0),"")</f>
        <v/>
      </c>
      <c r="Q1305" s="2">
        <f>_xlfn.XLOOKUP(BD_Receitas[[#This Row],[ID]],TabCondicoesComerciais[ID],TabCondicoesComerciais[Vol. 1ºGiro],0)</f>
        <v>1070</v>
      </c>
      <c r="R130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305" s="1">
        <f xml:space="preserve"> IF(BD_Receitas[[#This Row],[TIPO DE COBRANÇA]]="Operação Normal",
_xlfn.XLOOKUP(BD_Receitas[[#This Row],[ID]],TabCondicoesComerciais[ID],TabCondicoesComerciais[Tarifa 2º Giro],0),0)</f>
        <v>0</v>
      </c>
      <c r="T130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6" spans="1:24" hidden="1" x14ac:dyDescent="0.35">
      <c r="A1306" s="3" t="s">
        <v>263</v>
      </c>
      <c r="B1306" s="11">
        <v>46357</v>
      </c>
      <c r="C1306" t="s">
        <v>31</v>
      </c>
      <c r="D1306" t="s">
        <v>62</v>
      </c>
      <c r="E1306" t="s">
        <v>33</v>
      </c>
      <c r="F1306" s="10" t="s">
        <v>46</v>
      </c>
      <c r="G1306" s="3" t="s">
        <v>87</v>
      </c>
      <c r="H1306" s="3" t="s">
        <v>9</v>
      </c>
      <c r="I1306" s="3" t="s">
        <v>8</v>
      </c>
      <c r="J1306" s="1">
        <v>0</v>
      </c>
      <c r="K1306" s="12">
        <v>0</v>
      </c>
      <c r="L1306" s="1"/>
      <c r="M1306" s="12"/>
      <c r="N1306"/>
      <c r="O1306"/>
      <c r="P1306" s="2" t="str">
        <f>IF(BD_Receitas[[#This Row],[TIPO DE COBRANÇA]]="Operação Normal",
_xlfn.XLOOKUP(BD_Receitas[[#This Row],[ID]],TabCondicoesComerciais[ID],TabCondicoesComerciais[Volume mínimo 
(m3)],0),"")</f>
        <v/>
      </c>
      <c r="Q1306" s="2">
        <f>_xlfn.XLOOKUP(BD_Receitas[[#This Row],[ID]],TabCondicoesComerciais[ID],TabCondicoesComerciais[Vol. 1ºGiro],0)</f>
        <v>1070</v>
      </c>
      <c r="R130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13.05</v>
      </c>
      <c r="S1306" s="1">
        <f xml:space="preserve"> IF(BD_Receitas[[#This Row],[TIPO DE COBRANÇA]]="Operação Normal",
_xlfn.XLOOKUP(BD_Receitas[[#This Row],[ID]],TabCondicoesComerciais[ID],TabCondicoesComerciais[Tarifa 2º Giro],0),0)</f>
        <v>0</v>
      </c>
      <c r="T130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7" spans="1:24" hidden="1" x14ac:dyDescent="0.35">
      <c r="A1307" s="3" t="s">
        <v>263</v>
      </c>
      <c r="B1307" s="11">
        <v>46357</v>
      </c>
      <c r="C1307" t="s">
        <v>31</v>
      </c>
      <c r="D1307" t="s">
        <v>62</v>
      </c>
      <c r="E1307" t="s">
        <v>33</v>
      </c>
      <c r="F1307" s="10" t="s">
        <v>46</v>
      </c>
      <c r="G1307" s="3" t="s">
        <v>87</v>
      </c>
      <c r="H1307" s="3" t="s">
        <v>9</v>
      </c>
      <c r="I1307" s="3" t="s">
        <v>15</v>
      </c>
      <c r="J1307" s="1">
        <v>65348.32</v>
      </c>
      <c r="K1307" s="12">
        <v>1926</v>
      </c>
      <c r="L1307" s="1"/>
      <c r="M1307" s="12"/>
      <c r="N1307"/>
      <c r="O1307"/>
      <c r="P1307" s="2">
        <f>IF(BD_Receitas[[#This Row],[TIPO DE COBRANÇA]]="Operação Normal",
_xlfn.XLOOKUP(BD_Receitas[[#This Row],[ID]],TabCondicoesComerciais[ID],TabCondicoesComerciais[Volume mínimo 
(m3)],0),"")</f>
        <v>3210</v>
      </c>
      <c r="Q1307" s="2">
        <f>_xlfn.XLOOKUP(BD_Receitas[[#This Row],[ID]],TabCondicoesComerciais[ID],TabCondicoesComerciais[Vol. 1ºGiro],0)</f>
        <v>1070</v>
      </c>
      <c r="R130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32.64</v>
      </c>
      <c r="S1307" s="1">
        <f xml:space="preserve"> IF(BD_Receitas[[#This Row],[TIPO DE COBRANÇA]]="Operação Normal",
_xlfn.XLOOKUP(BD_Receitas[[#This Row],[ID]],TabCondicoesComerciais[ID],TabCondicoesComerciais[Tarifa 2º Giro],0),0)</f>
        <v>32.64</v>
      </c>
      <c r="T130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0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0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104774.40000000001</v>
      </c>
      <c r="W130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0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08" spans="1:24" hidden="1" x14ac:dyDescent="0.35">
      <c r="A1308" s="3" t="s">
        <v>263</v>
      </c>
      <c r="B1308" s="11">
        <v>46357</v>
      </c>
      <c r="C1308" t="s">
        <v>31</v>
      </c>
      <c r="D1308" t="s">
        <v>62</v>
      </c>
      <c r="E1308" t="s">
        <v>33</v>
      </c>
      <c r="F1308" s="10" t="s">
        <v>46</v>
      </c>
      <c r="G1308" s="3" t="s">
        <v>87</v>
      </c>
      <c r="H1308" s="3" t="s">
        <v>9</v>
      </c>
      <c r="I1308" s="3" t="s">
        <v>65</v>
      </c>
      <c r="J1308" s="1">
        <v>0</v>
      </c>
      <c r="K1308" s="12">
        <v>0</v>
      </c>
      <c r="L1308" s="1"/>
      <c r="M1308" s="12"/>
      <c r="N1308"/>
      <c r="O1308"/>
      <c r="P1308" s="2" t="str">
        <f>IF(BD_Receitas[[#This Row],[TIPO DE COBRANÇA]]="Operação Normal",
_xlfn.XLOOKUP(BD_Receitas[[#This Row],[ID]],TabCondicoesComerciais[ID],TabCondicoesComerciais[Volume mínimo 
(m3)],0),"")</f>
        <v/>
      </c>
      <c r="Q1308" s="2">
        <f>_xlfn.XLOOKUP(BD_Receitas[[#This Row],[ID]],TabCondicoesComerciais[ID],TabCondicoesComerciais[Vol. 1ºGiro],0)</f>
        <v>1070</v>
      </c>
      <c r="R130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08" s="1">
        <f xml:space="preserve"> IF(BD_Receitas[[#This Row],[TIPO DE COBRANÇA]]="Operação Normal",
_xlfn.XLOOKUP(BD_Receitas[[#This Row],[ID]],TabCondicoesComerciais[ID],TabCondicoesComerciais[Tarifa 2º Giro],0),0)</f>
        <v>0</v>
      </c>
      <c r="T130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09" spans="1:24" hidden="1" x14ac:dyDescent="0.35">
      <c r="A1309" s="3" t="s">
        <v>200</v>
      </c>
      <c r="B1309" s="11">
        <v>46357</v>
      </c>
      <c r="C1309" t="s">
        <v>31</v>
      </c>
      <c r="D1309" t="s">
        <v>203</v>
      </c>
      <c r="E1309" t="s">
        <v>32</v>
      </c>
      <c r="F1309" s="10" t="s">
        <v>25</v>
      </c>
      <c r="G1309" s="3" t="s">
        <v>12</v>
      </c>
      <c r="H1309" s="3" t="s">
        <v>10</v>
      </c>
      <c r="I1309" s="3" t="s">
        <v>7</v>
      </c>
      <c r="J1309" s="1">
        <v>0</v>
      </c>
      <c r="K1309" s="12">
        <v>0</v>
      </c>
      <c r="L1309" s="1"/>
      <c r="M1309" s="12"/>
      <c r="N1309"/>
      <c r="O1309"/>
      <c r="P1309" s="2" t="str">
        <f>IF(BD_Receitas[[#This Row],[TIPO DE COBRANÇA]]="Operação Normal",
_xlfn.XLOOKUP(BD_Receitas[[#This Row],[ID]],TabCondicoesComerciais[ID],TabCondicoesComerciais[Volume mínimo 
(m3)],0),"")</f>
        <v/>
      </c>
      <c r="Q1309" s="2">
        <f>_xlfn.XLOOKUP(BD_Receitas[[#This Row],[ID]],TabCondicoesComerciais[ID],TabCondicoesComerciais[Vol. 1ºGiro],0)</f>
        <v>2000</v>
      </c>
      <c r="R130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309" s="1">
        <f xml:space="preserve"> IF(BD_Receitas[[#This Row],[TIPO DE COBRANÇA]]="Operação Normal",
_xlfn.XLOOKUP(BD_Receitas[[#This Row],[ID]],TabCondicoesComerciais[ID],TabCondicoesComerciais[Tarifa 2º Giro],0),0)</f>
        <v>0</v>
      </c>
      <c r="T1309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09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09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09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0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0" spans="1:24" hidden="1" x14ac:dyDescent="0.35">
      <c r="A1310" s="3" t="s">
        <v>200</v>
      </c>
      <c r="B1310" s="11">
        <v>46357</v>
      </c>
      <c r="C1310" t="s">
        <v>31</v>
      </c>
      <c r="D1310" t="s">
        <v>203</v>
      </c>
      <c r="E1310" t="s">
        <v>32</v>
      </c>
      <c r="F1310" s="10" t="s">
        <v>25</v>
      </c>
      <c r="G1310" s="3" t="s">
        <v>12</v>
      </c>
      <c r="H1310" s="3" t="s">
        <v>10</v>
      </c>
      <c r="I1310" s="3" t="s">
        <v>8</v>
      </c>
      <c r="J1310" s="1">
        <v>0</v>
      </c>
      <c r="K1310" s="12">
        <v>0</v>
      </c>
      <c r="L1310" s="1"/>
      <c r="M1310" s="12"/>
      <c r="N1310"/>
      <c r="O1310"/>
      <c r="P1310" s="2" t="str">
        <f>IF(BD_Receitas[[#This Row],[TIPO DE COBRANÇA]]="Operação Normal",
_xlfn.XLOOKUP(BD_Receitas[[#This Row],[ID]],TabCondicoesComerciais[ID],TabCondicoesComerciais[Volume mínimo 
(m3)],0),"")</f>
        <v/>
      </c>
      <c r="Q1310" s="2">
        <f>_xlfn.XLOOKUP(BD_Receitas[[#This Row],[ID]],TabCondicoesComerciais[ID],TabCondicoesComerciais[Vol. 1ºGiro],0)</f>
        <v>2000</v>
      </c>
      <c r="R131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310" s="1">
        <f xml:space="preserve"> IF(BD_Receitas[[#This Row],[TIPO DE COBRANÇA]]="Operação Normal",
_xlfn.XLOOKUP(BD_Receitas[[#This Row],[ID]],TabCondicoesComerciais[ID],TabCondicoesComerciais[Tarifa 2º Giro],0),0)</f>
        <v>0</v>
      </c>
      <c r="T131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1" spans="1:24" hidden="1" x14ac:dyDescent="0.35">
      <c r="A1311" s="3" t="s">
        <v>200</v>
      </c>
      <c r="B1311" s="11">
        <v>46357</v>
      </c>
      <c r="C1311" t="s">
        <v>31</v>
      </c>
      <c r="D1311" t="s">
        <v>203</v>
      </c>
      <c r="E1311" t="s">
        <v>32</v>
      </c>
      <c r="F1311" s="10" t="s">
        <v>25</v>
      </c>
      <c r="G1311" s="3" t="s">
        <v>12</v>
      </c>
      <c r="H1311" s="3" t="s">
        <v>10</v>
      </c>
      <c r="I1311" s="3" t="s">
        <v>15</v>
      </c>
      <c r="J1311" s="1">
        <v>0</v>
      </c>
      <c r="K1311" s="12">
        <v>0</v>
      </c>
      <c r="L1311" s="1"/>
      <c r="M1311" s="12"/>
      <c r="N1311"/>
      <c r="O1311"/>
      <c r="P1311" s="2">
        <f>IF(BD_Receitas[[#This Row],[TIPO DE COBRANÇA]]="Operação Normal",
_xlfn.XLOOKUP(BD_Receitas[[#This Row],[ID]],TabCondicoesComerciais[ID],TabCondicoesComerciais[Volume mínimo 
(m3)],0),"")</f>
        <v>8000</v>
      </c>
      <c r="Q1311" s="2">
        <f>_xlfn.XLOOKUP(BD_Receitas[[#This Row],[ID]],TabCondicoesComerciais[ID],TabCondicoesComerciais[Vol. 1ºGiro],0)</f>
        <v>2000</v>
      </c>
      <c r="R131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20</v>
      </c>
      <c r="S1311" s="1">
        <f xml:space="preserve"> IF(BD_Receitas[[#This Row],[TIPO DE COBRANÇA]]="Operação Normal",
_xlfn.XLOOKUP(BD_Receitas[[#This Row],[ID]],TabCondicoesComerciais[ID],TabCondicoesComerciais[Tarifa 2º Giro],0),0)</f>
        <v>20</v>
      </c>
      <c r="T1311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11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11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160000</v>
      </c>
      <c r="W1311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1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12" spans="1:24" hidden="1" x14ac:dyDescent="0.35">
      <c r="A1312" s="3" t="s">
        <v>200</v>
      </c>
      <c r="B1312" s="11">
        <v>46357</v>
      </c>
      <c r="C1312" t="s">
        <v>31</v>
      </c>
      <c r="D1312" t="s">
        <v>203</v>
      </c>
      <c r="E1312" t="s">
        <v>32</v>
      </c>
      <c r="F1312" s="10" t="s">
        <v>25</v>
      </c>
      <c r="G1312" s="3" t="s">
        <v>12</v>
      </c>
      <c r="H1312" s="3" t="s">
        <v>10</v>
      </c>
      <c r="I1312" s="3" t="s">
        <v>65</v>
      </c>
      <c r="J1312" s="1">
        <v>0</v>
      </c>
      <c r="K1312" s="12">
        <v>0</v>
      </c>
      <c r="L1312" s="1"/>
      <c r="M1312" s="12"/>
      <c r="N1312"/>
      <c r="O1312"/>
      <c r="P1312" s="2" t="str">
        <f>IF(BD_Receitas[[#This Row],[TIPO DE COBRANÇA]]="Operação Normal",
_xlfn.XLOOKUP(BD_Receitas[[#This Row],[ID]],TabCondicoesComerciais[ID],TabCondicoesComerciais[Volume mínimo 
(m3)],0),"")</f>
        <v/>
      </c>
      <c r="Q1312" s="2">
        <f>_xlfn.XLOOKUP(BD_Receitas[[#This Row],[ID]],TabCondicoesComerciais[ID],TabCondicoesComerciais[Vol. 1ºGiro],0)</f>
        <v>2000</v>
      </c>
      <c r="R131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12" s="1">
        <f xml:space="preserve"> IF(BD_Receitas[[#This Row],[TIPO DE COBRANÇA]]="Operação Normal",
_xlfn.XLOOKUP(BD_Receitas[[#This Row],[ID]],TabCondicoesComerciais[ID],TabCondicoesComerciais[Tarifa 2º Giro],0),0)</f>
        <v>0</v>
      </c>
      <c r="T131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3" spans="1:24" hidden="1" x14ac:dyDescent="0.35">
      <c r="A1313" s="3" t="s">
        <v>342</v>
      </c>
      <c r="B1313" s="11">
        <v>46357</v>
      </c>
      <c r="C1313" t="s">
        <v>31</v>
      </c>
      <c r="D1313" t="s">
        <v>203</v>
      </c>
      <c r="E1313" t="s">
        <v>32</v>
      </c>
      <c r="F1313" s="10" t="s">
        <v>25</v>
      </c>
      <c r="G1313" s="3" t="s">
        <v>12</v>
      </c>
      <c r="H1313" s="3" t="s">
        <v>9</v>
      </c>
      <c r="I1313" s="3" t="s">
        <v>7</v>
      </c>
      <c r="J1313" s="1">
        <v>0</v>
      </c>
      <c r="K1313" s="12">
        <v>0</v>
      </c>
      <c r="L1313" s="1"/>
      <c r="M1313" s="12"/>
      <c r="N1313"/>
      <c r="O1313"/>
      <c r="P1313" s="2" t="str">
        <f>IF(BD_Receitas[[#This Row],[TIPO DE COBRANÇA]]="Operação Normal",
_xlfn.XLOOKUP(BD_Receitas[[#This Row],[ID]],TabCondicoesComerciais[ID],TabCondicoesComerciais[Volume mínimo 
(m3)],0),"")</f>
        <v/>
      </c>
      <c r="Q1313" s="2">
        <f>_xlfn.XLOOKUP(BD_Receitas[[#This Row],[ID]],TabCondicoesComerciais[ID],TabCondicoesComerciais[Vol. 1ºGiro],0)</f>
        <v>1125</v>
      </c>
      <c r="R131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313" s="1">
        <f xml:space="preserve"> IF(BD_Receitas[[#This Row],[TIPO DE COBRANÇA]]="Operação Normal",
_xlfn.XLOOKUP(BD_Receitas[[#This Row],[ID]],TabCondicoesComerciais[ID],TabCondicoesComerciais[Tarifa 2º Giro],0),0)</f>
        <v>0</v>
      </c>
      <c r="T1313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3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3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3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4" spans="1:24" hidden="1" x14ac:dyDescent="0.35">
      <c r="A1314" s="3" t="s">
        <v>342</v>
      </c>
      <c r="B1314" s="11">
        <v>46357</v>
      </c>
      <c r="C1314" t="s">
        <v>31</v>
      </c>
      <c r="D1314" t="s">
        <v>203</v>
      </c>
      <c r="E1314" t="s">
        <v>32</v>
      </c>
      <c r="F1314" s="10" t="s">
        <v>25</v>
      </c>
      <c r="G1314" s="3" t="s">
        <v>12</v>
      </c>
      <c r="H1314" s="3" t="s">
        <v>9</v>
      </c>
      <c r="I1314" s="3" t="s">
        <v>8</v>
      </c>
      <c r="J1314" s="1">
        <v>0</v>
      </c>
      <c r="K1314" s="12">
        <v>0</v>
      </c>
      <c r="L1314" s="1"/>
      <c r="M1314" s="12"/>
      <c r="N1314"/>
      <c r="O1314"/>
      <c r="P1314" s="2" t="str">
        <f>IF(BD_Receitas[[#This Row],[TIPO DE COBRANÇA]]="Operação Normal",
_xlfn.XLOOKUP(BD_Receitas[[#This Row],[ID]],TabCondicoesComerciais[ID],TabCondicoesComerciais[Volume mínimo 
(m3)],0),"")</f>
        <v/>
      </c>
      <c r="Q1314" s="2">
        <f>_xlfn.XLOOKUP(BD_Receitas[[#This Row],[ID]],TabCondicoesComerciais[ID],TabCondicoesComerciais[Vol. 1ºGiro],0)</f>
        <v>1125</v>
      </c>
      <c r="R131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10.96</v>
      </c>
      <c r="S1314" s="1">
        <f xml:space="preserve"> IF(BD_Receitas[[#This Row],[TIPO DE COBRANÇA]]="Operação Normal",
_xlfn.XLOOKUP(BD_Receitas[[#This Row],[ID]],TabCondicoesComerciais[ID],TabCondicoesComerciais[Tarifa 2º Giro],0),0)</f>
        <v>0</v>
      </c>
      <c r="T131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5" spans="1:24" hidden="1" x14ac:dyDescent="0.35">
      <c r="A1315" s="3" t="s">
        <v>342</v>
      </c>
      <c r="B1315" s="11">
        <v>46357</v>
      </c>
      <c r="C1315" t="s">
        <v>31</v>
      </c>
      <c r="D1315" t="s">
        <v>203</v>
      </c>
      <c r="E1315" t="s">
        <v>32</v>
      </c>
      <c r="F1315" s="10" t="s">
        <v>25</v>
      </c>
      <c r="G1315" s="3" t="s">
        <v>12</v>
      </c>
      <c r="H1315" s="3" t="s">
        <v>9</v>
      </c>
      <c r="I1315" s="3" t="s">
        <v>15</v>
      </c>
      <c r="J1315" s="1">
        <v>165115.51999999999</v>
      </c>
      <c r="K1315" s="12">
        <v>5625</v>
      </c>
      <c r="L1315" s="1"/>
      <c r="M1315" s="12"/>
      <c r="N1315"/>
      <c r="O1315"/>
      <c r="P1315" s="2">
        <f>IF(BD_Receitas[[#This Row],[TIPO DE COBRANÇA]]="Operação Normal",
_xlfn.XLOOKUP(BD_Receitas[[#This Row],[ID]],TabCondicoesComerciais[ID],TabCondicoesComerciais[Volume mínimo 
(m3)],0),"")</f>
        <v>5625</v>
      </c>
      <c r="Q1315" s="2">
        <f>_xlfn.XLOOKUP(BD_Receitas[[#This Row],[ID]],TabCondicoesComerciais[ID],TabCondicoesComerciais[Vol. 1ºGiro],0)</f>
        <v>1125</v>
      </c>
      <c r="R131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27.4</v>
      </c>
      <c r="S1315" s="1">
        <f xml:space="preserve"> IF(BD_Receitas[[#This Row],[TIPO DE COBRANÇA]]="Operação Normal",
_xlfn.XLOOKUP(BD_Receitas[[#This Row],[ID]],TabCondicoesComerciais[ID],TabCondicoesComerciais[Tarifa 2º Giro],0),0)</f>
        <v>27.4</v>
      </c>
      <c r="T1315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15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15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154125</v>
      </c>
      <c r="W1315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1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16" spans="1:24" hidden="1" x14ac:dyDescent="0.35">
      <c r="A1316" s="3" t="s">
        <v>342</v>
      </c>
      <c r="B1316" s="11">
        <v>46357</v>
      </c>
      <c r="C1316" t="s">
        <v>31</v>
      </c>
      <c r="D1316" t="s">
        <v>203</v>
      </c>
      <c r="E1316" t="s">
        <v>32</v>
      </c>
      <c r="F1316" s="10" t="s">
        <v>25</v>
      </c>
      <c r="G1316" s="3" t="s">
        <v>12</v>
      </c>
      <c r="H1316" s="3" t="s">
        <v>9</v>
      </c>
      <c r="I1316" s="3" t="s">
        <v>65</v>
      </c>
      <c r="J1316" s="1">
        <v>0</v>
      </c>
      <c r="K1316" s="12">
        <v>0</v>
      </c>
      <c r="L1316" s="1"/>
      <c r="M1316" s="12"/>
      <c r="N1316"/>
      <c r="O1316"/>
      <c r="P1316" s="2" t="str">
        <f>IF(BD_Receitas[[#This Row],[TIPO DE COBRANÇA]]="Operação Normal",
_xlfn.XLOOKUP(BD_Receitas[[#This Row],[ID]],TabCondicoesComerciais[ID],TabCondicoesComerciais[Volume mínimo 
(m3)],0),"")</f>
        <v/>
      </c>
      <c r="Q1316" s="2">
        <f>_xlfn.XLOOKUP(BD_Receitas[[#This Row],[ID]],TabCondicoesComerciais[ID],TabCondicoesComerciais[Vol. 1ºGiro],0)</f>
        <v>1125</v>
      </c>
      <c r="R131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16" s="1">
        <f xml:space="preserve"> IF(BD_Receitas[[#This Row],[TIPO DE COBRANÇA]]="Operação Normal",
_xlfn.XLOOKUP(BD_Receitas[[#This Row],[ID]],TabCondicoesComerciais[ID],TabCondicoesComerciais[Tarifa 2º Giro],0),0)</f>
        <v>0</v>
      </c>
      <c r="T131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7" spans="1:24" hidden="1" x14ac:dyDescent="0.35">
      <c r="A1317" s="3" t="s">
        <v>134</v>
      </c>
      <c r="B1317" s="11">
        <v>46357</v>
      </c>
      <c r="C1317" t="s">
        <v>31</v>
      </c>
      <c r="D1317" t="s">
        <v>62</v>
      </c>
      <c r="E1317" t="s">
        <v>37</v>
      </c>
      <c r="F1317" s="10" t="s">
        <v>57</v>
      </c>
      <c r="G1317" s="3" t="s">
        <v>58</v>
      </c>
      <c r="H1317" s="3" t="s">
        <v>10</v>
      </c>
      <c r="I1317" s="3" t="s">
        <v>7</v>
      </c>
      <c r="J1317" s="1">
        <v>0</v>
      </c>
      <c r="K1317" s="12">
        <v>0</v>
      </c>
      <c r="L1317" s="1"/>
      <c r="M1317" s="12"/>
      <c r="N1317"/>
      <c r="O1317"/>
      <c r="P1317" s="2" t="str">
        <f>IF(BD_Receitas[[#This Row],[TIPO DE COBRANÇA]]="Operação Normal",
_xlfn.XLOOKUP(BD_Receitas[[#This Row],[ID]],TabCondicoesComerciais[ID],TabCondicoesComerciais[Volume mínimo 
(m3)],0),"")</f>
        <v/>
      </c>
      <c r="Q1317" s="2">
        <f>_xlfn.XLOOKUP(BD_Receitas[[#This Row],[ID]],TabCondicoesComerciais[ID],TabCondicoesComerciais[Vol. 1ºGiro],0)</f>
        <v>310</v>
      </c>
      <c r="R131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17" s="1">
        <f xml:space="preserve"> IF(BD_Receitas[[#This Row],[TIPO DE COBRANÇA]]="Operação Normal",
_xlfn.XLOOKUP(BD_Receitas[[#This Row],[ID]],TabCondicoesComerciais[ID],TabCondicoesComerciais[Tarifa 2º Giro],0),0)</f>
        <v>0</v>
      </c>
      <c r="T1317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7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7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7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8" spans="1:24" hidden="1" x14ac:dyDescent="0.35">
      <c r="A1318" s="3" t="s">
        <v>134</v>
      </c>
      <c r="B1318" s="11">
        <v>46357</v>
      </c>
      <c r="C1318" t="s">
        <v>31</v>
      </c>
      <c r="D1318" t="s">
        <v>62</v>
      </c>
      <c r="E1318" t="s">
        <v>37</v>
      </c>
      <c r="F1318" s="10" t="s">
        <v>57</v>
      </c>
      <c r="G1318" s="3" t="s">
        <v>58</v>
      </c>
      <c r="H1318" s="3" t="s">
        <v>10</v>
      </c>
      <c r="I1318" s="3" t="s">
        <v>8</v>
      </c>
      <c r="J1318" s="1">
        <v>0</v>
      </c>
      <c r="K1318" s="12">
        <v>0</v>
      </c>
      <c r="L1318" s="1"/>
      <c r="M1318" s="12"/>
      <c r="N1318"/>
      <c r="O1318"/>
      <c r="P1318" s="2" t="str">
        <f>IF(BD_Receitas[[#This Row],[TIPO DE COBRANÇA]]="Operação Normal",
_xlfn.XLOOKUP(BD_Receitas[[#This Row],[ID]],TabCondicoesComerciais[ID],TabCondicoesComerciais[Volume mínimo 
(m3)],0),"")</f>
        <v/>
      </c>
      <c r="Q1318" s="2">
        <f>_xlfn.XLOOKUP(BD_Receitas[[#This Row],[ID]],TabCondicoesComerciais[ID],TabCondicoesComerciais[Vol. 1ºGiro],0)</f>
        <v>310</v>
      </c>
      <c r="R131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12.41</v>
      </c>
      <c r="S1318" s="1">
        <f xml:space="preserve"> IF(BD_Receitas[[#This Row],[TIPO DE COBRANÇA]]="Operação Normal",
_xlfn.XLOOKUP(BD_Receitas[[#This Row],[ID]],TabCondicoesComerciais[ID],TabCondicoesComerciais[Tarifa 2º Giro],0),0)</f>
        <v>0</v>
      </c>
      <c r="T131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1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1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1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1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19" spans="1:24" hidden="1" x14ac:dyDescent="0.35">
      <c r="A1319" s="3" t="s">
        <v>134</v>
      </c>
      <c r="B1319" s="11">
        <v>46357</v>
      </c>
      <c r="C1319" t="s">
        <v>31</v>
      </c>
      <c r="D1319" t="s">
        <v>62</v>
      </c>
      <c r="E1319" t="s">
        <v>37</v>
      </c>
      <c r="F1319" s="10" t="s">
        <v>57</v>
      </c>
      <c r="G1319" s="3" t="s">
        <v>58</v>
      </c>
      <c r="H1319" s="3" t="s">
        <v>10</v>
      </c>
      <c r="I1319" s="3" t="s">
        <v>15</v>
      </c>
      <c r="J1319" s="1">
        <v>36294.29</v>
      </c>
      <c r="K1319" s="12">
        <v>1100</v>
      </c>
      <c r="L1319" s="1"/>
      <c r="M1319" s="12"/>
      <c r="N1319"/>
      <c r="O1319"/>
      <c r="P1319" s="2">
        <f>IF(BD_Receitas[[#This Row],[TIPO DE COBRANÇA]]="Operação Normal",
_xlfn.XLOOKUP(BD_Receitas[[#This Row],[ID]],TabCondicoesComerciais[ID],TabCondicoesComerciais[Volume mínimo 
(m3)],0),"")</f>
        <v>1100</v>
      </c>
      <c r="Q1319" s="2">
        <f>_xlfn.XLOOKUP(BD_Receitas[[#This Row],[ID]],TabCondicoesComerciais[ID],TabCondicoesComerciais[Vol. 1ºGiro],0)</f>
        <v>310</v>
      </c>
      <c r="R1319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31.04</v>
      </c>
      <c r="S1319" s="1">
        <f xml:space="preserve"> IF(BD_Receitas[[#This Row],[TIPO DE COBRANÇA]]="Operação Normal",
_xlfn.XLOOKUP(BD_Receitas[[#This Row],[ID]],TabCondicoesComerciais[ID],TabCondicoesComerciais[Tarifa 2º Giro],0),0)</f>
        <v>31.04</v>
      </c>
      <c r="T1319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19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19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34144</v>
      </c>
      <c r="W1319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19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20" spans="1:24" hidden="1" x14ac:dyDescent="0.35">
      <c r="A1320" s="3" t="s">
        <v>134</v>
      </c>
      <c r="B1320" s="11">
        <v>46357</v>
      </c>
      <c r="C1320" t="s">
        <v>31</v>
      </c>
      <c r="D1320" t="s">
        <v>62</v>
      </c>
      <c r="E1320" t="s">
        <v>37</v>
      </c>
      <c r="F1320" s="10" t="s">
        <v>57</v>
      </c>
      <c r="G1320" s="3" t="s">
        <v>58</v>
      </c>
      <c r="H1320" s="3" t="s">
        <v>10</v>
      </c>
      <c r="I1320" s="3" t="s">
        <v>65</v>
      </c>
      <c r="J1320" s="1">
        <v>0</v>
      </c>
      <c r="K1320" s="12">
        <v>0</v>
      </c>
      <c r="L1320" s="1"/>
      <c r="M1320" s="12"/>
      <c r="N1320"/>
      <c r="O1320"/>
      <c r="P1320" s="2" t="str">
        <f>IF(BD_Receitas[[#This Row],[TIPO DE COBRANÇA]]="Operação Normal",
_xlfn.XLOOKUP(BD_Receitas[[#This Row],[ID]],TabCondicoesComerciais[ID],TabCondicoesComerciais[Volume mínimo 
(m3)],0),"")</f>
        <v/>
      </c>
      <c r="Q1320" s="2">
        <f>_xlfn.XLOOKUP(BD_Receitas[[#This Row],[ID]],TabCondicoesComerciais[ID],TabCondicoesComerciais[Vol. 1ºGiro],0)</f>
        <v>310</v>
      </c>
      <c r="R1320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0" s="1">
        <f xml:space="preserve"> IF(BD_Receitas[[#This Row],[TIPO DE COBRANÇA]]="Operação Normal",
_xlfn.XLOOKUP(BD_Receitas[[#This Row],[ID]],TabCondicoesComerciais[ID],TabCondicoesComerciais[Tarifa 2º Giro],0),0)</f>
        <v>0</v>
      </c>
      <c r="T1320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0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0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0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0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1" spans="1:24" hidden="1" x14ac:dyDescent="0.35">
      <c r="A1321" s="3" t="s">
        <v>173</v>
      </c>
      <c r="B1321" s="11">
        <v>46357</v>
      </c>
      <c r="C1321" t="s">
        <v>31</v>
      </c>
      <c r="D1321" t="s">
        <v>62</v>
      </c>
      <c r="E1321" t="s">
        <v>37</v>
      </c>
      <c r="F1321" s="10" t="s">
        <v>57</v>
      </c>
      <c r="G1321" s="3" t="s">
        <v>58</v>
      </c>
      <c r="H1321" s="3" t="s">
        <v>6</v>
      </c>
      <c r="I1321" s="3" t="s">
        <v>7</v>
      </c>
      <c r="J1321" s="1">
        <v>0</v>
      </c>
      <c r="K1321" s="12">
        <v>0</v>
      </c>
      <c r="L1321" s="1"/>
      <c r="M1321" s="12"/>
      <c r="N1321"/>
      <c r="O1321"/>
      <c r="P1321" s="2" t="str">
        <f>IF(BD_Receitas[[#This Row],[TIPO DE COBRANÇA]]="Operação Normal",
_xlfn.XLOOKUP(BD_Receitas[[#This Row],[ID]],TabCondicoesComerciais[ID],TabCondicoesComerciais[Volume mínimo 
(m3)],0),"")</f>
        <v/>
      </c>
      <c r="Q1321" s="2">
        <f>_xlfn.XLOOKUP(BD_Receitas[[#This Row],[ID]],TabCondicoesComerciais[ID],TabCondicoesComerciais[Vol. 1ºGiro],0)</f>
        <v>1070</v>
      </c>
      <c r="R1321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1" s="1">
        <f xml:space="preserve"> IF(BD_Receitas[[#This Row],[TIPO DE COBRANÇA]]="Operação Normal",
_xlfn.XLOOKUP(BD_Receitas[[#This Row],[ID]],TabCondicoesComerciais[ID],TabCondicoesComerciais[Tarifa 2º Giro],0),0)</f>
        <v>0</v>
      </c>
      <c r="T1321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1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1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1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1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2" spans="1:24" hidden="1" x14ac:dyDescent="0.35">
      <c r="A1322" s="3" t="s">
        <v>173</v>
      </c>
      <c r="B1322" s="11">
        <v>46357</v>
      </c>
      <c r="C1322" t="s">
        <v>31</v>
      </c>
      <c r="D1322" t="s">
        <v>62</v>
      </c>
      <c r="E1322" t="s">
        <v>37</v>
      </c>
      <c r="F1322" s="10" t="s">
        <v>57</v>
      </c>
      <c r="G1322" s="3" t="s">
        <v>58</v>
      </c>
      <c r="H1322" s="3" t="s">
        <v>6</v>
      </c>
      <c r="I1322" s="3" t="s">
        <v>8</v>
      </c>
      <c r="J1322" s="1">
        <v>0</v>
      </c>
      <c r="K1322" s="12">
        <v>0</v>
      </c>
      <c r="L1322" s="1"/>
      <c r="M1322" s="12"/>
      <c r="N1322"/>
      <c r="O1322"/>
      <c r="P1322" s="2" t="str">
        <f>IF(BD_Receitas[[#This Row],[TIPO DE COBRANÇA]]="Operação Normal",
_xlfn.XLOOKUP(BD_Receitas[[#This Row],[ID]],TabCondicoesComerciais[ID],TabCondicoesComerciais[Volume mínimo 
(m3)],0),"")</f>
        <v/>
      </c>
      <c r="Q1322" s="2">
        <f>_xlfn.XLOOKUP(BD_Receitas[[#This Row],[ID]],TabCondicoesComerciais[ID],TabCondicoesComerciais[Vol. 1ºGiro],0)</f>
        <v>1070</v>
      </c>
      <c r="R1322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2" s="1">
        <f xml:space="preserve"> IF(BD_Receitas[[#This Row],[TIPO DE COBRANÇA]]="Operação Normal",
_xlfn.XLOOKUP(BD_Receitas[[#This Row],[ID]],TabCondicoesComerciais[ID],TabCondicoesComerciais[Tarifa 2º Giro],0),0)</f>
        <v>0</v>
      </c>
      <c r="T1322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2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2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2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2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3" spans="1:24" hidden="1" x14ac:dyDescent="0.35">
      <c r="A1323" s="3" t="s">
        <v>173</v>
      </c>
      <c r="B1323" s="11">
        <v>46357</v>
      </c>
      <c r="C1323" t="s">
        <v>31</v>
      </c>
      <c r="D1323" t="s">
        <v>62</v>
      </c>
      <c r="E1323" t="s">
        <v>37</v>
      </c>
      <c r="F1323" s="10" t="s">
        <v>57</v>
      </c>
      <c r="G1323" s="3" t="s">
        <v>58</v>
      </c>
      <c r="H1323" s="3" t="s">
        <v>6</v>
      </c>
      <c r="I1323" s="3" t="s">
        <v>15</v>
      </c>
      <c r="J1323" s="1">
        <v>82153.039999999994</v>
      </c>
      <c r="K1323" s="12">
        <v>3300</v>
      </c>
      <c r="L1323" s="1"/>
      <c r="M1323" s="12"/>
      <c r="N1323"/>
      <c r="O1323"/>
      <c r="P1323" s="2">
        <f>IF(BD_Receitas[[#This Row],[TIPO DE COBRANÇA]]="Operação Normal",
_xlfn.XLOOKUP(BD_Receitas[[#This Row],[ID]],TabCondicoesComerciais[ID],TabCondicoesComerciais[Volume mínimo 
(m3)],0),"")</f>
        <v>3300</v>
      </c>
      <c r="Q1323" s="2">
        <f>_xlfn.XLOOKUP(BD_Receitas[[#This Row],[ID]],TabCondicoesComerciais[ID],TabCondicoesComerciais[Vol. 1ºGiro],0)</f>
        <v>1070</v>
      </c>
      <c r="R1323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23.42</v>
      </c>
      <c r="S1323" s="1">
        <f xml:space="preserve"> IF(BD_Receitas[[#This Row],[TIPO DE COBRANÇA]]="Operação Normal",
_xlfn.XLOOKUP(BD_Receitas[[#This Row],[ID]],TabCondicoesComerciais[ID],TabCondicoesComerciais[Tarifa 2º Giro],0),0)</f>
        <v>23.42</v>
      </c>
      <c r="T1323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23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23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77286</v>
      </c>
      <c r="W1323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23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Conferir tarifa cobrada</v>
      </c>
    </row>
    <row r="1324" spans="1:24" hidden="1" x14ac:dyDescent="0.35">
      <c r="A1324" s="3" t="s">
        <v>173</v>
      </c>
      <c r="B1324" s="11">
        <v>46357</v>
      </c>
      <c r="C1324" t="s">
        <v>31</v>
      </c>
      <c r="D1324" t="s">
        <v>62</v>
      </c>
      <c r="E1324" t="s">
        <v>37</v>
      </c>
      <c r="F1324" s="10" t="s">
        <v>57</v>
      </c>
      <c r="G1324" s="3" t="s">
        <v>58</v>
      </c>
      <c r="H1324" s="3" t="s">
        <v>6</v>
      </c>
      <c r="I1324" s="3" t="s">
        <v>65</v>
      </c>
      <c r="J1324" s="1">
        <v>0</v>
      </c>
      <c r="K1324" s="12">
        <v>0</v>
      </c>
      <c r="L1324" s="1"/>
      <c r="M1324" s="12"/>
      <c r="N1324"/>
      <c r="O1324"/>
      <c r="P1324" s="2" t="str">
        <f>IF(BD_Receitas[[#This Row],[TIPO DE COBRANÇA]]="Operação Normal",
_xlfn.XLOOKUP(BD_Receitas[[#This Row],[ID]],TabCondicoesComerciais[ID],TabCondicoesComerciais[Volume mínimo 
(m3)],0),"")</f>
        <v/>
      </c>
      <c r="Q1324" s="2">
        <f>_xlfn.XLOOKUP(BD_Receitas[[#This Row],[ID]],TabCondicoesComerciais[ID],TabCondicoesComerciais[Vol. 1ºGiro],0)</f>
        <v>1070</v>
      </c>
      <c r="R1324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4" s="1">
        <f xml:space="preserve"> IF(BD_Receitas[[#This Row],[TIPO DE COBRANÇA]]="Operação Normal",
_xlfn.XLOOKUP(BD_Receitas[[#This Row],[ID]],TabCondicoesComerciais[ID],TabCondicoesComerciais[Tarifa 2º Giro],0),0)</f>
        <v>0</v>
      </c>
      <c r="T1324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4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4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4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4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5" spans="1:24" x14ac:dyDescent="0.35">
      <c r="A1325" s="3" t="s">
        <v>343</v>
      </c>
      <c r="B1325" s="11">
        <v>46357</v>
      </c>
      <c r="C1325" t="s">
        <v>31</v>
      </c>
      <c r="D1325" t="s">
        <v>203</v>
      </c>
      <c r="E1325" t="s">
        <v>34</v>
      </c>
      <c r="F1325" s="10" t="s">
        <v>26</v>
      </c>
      <c r="G1325" s="3" t="s">
        <v>19</v>
      </c>
      <c r="H1325" s="3" t="s">
        <v>13</v>
      </c>
      <c r="I1325" s="3" t="s">
        <v>7</v>
      </c>
      <c r="J1325" s="1">
        <v>0</v>
      </c>
      <c r="K1325" s="12">
        <v>0</v>
      </c>
      <c r="L1325" s="1"/>
      <c r="M1325" s="12"/>
      <c r="N1325"/>
      <c r="O1325"/>
      <c r="P1325" s="2" t="str">
        <f>IF(BD_Receitas[[#This Row],[TIPO DE COBRANÇA]]="Operação Normal",
_xlfn.XLOOKUP(BD_Receitas[[#This Row],[ID]],TabCondicoesComerciais[ID],TabCondicoesComerciais[Volume mínimo 
(m3)],0),"")</f>
        <v/>
      </c>
      <c r="Q1325" s="2">
        <f>_xlfn.XLOOKUP(BD_Receitas[[#This Row],[ID]],TabCondicoesComerciais[ID],TabCondicoesComerciais[Vol. 1ºGiro],0)</f>
        <v>340</v>
      </c>
      <c r="R1325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5" s="1">
        <f xml:space="preserve"> IF(BD_Receitas[[#This Row],[TIPO DE COBRANÇA]]="Operação Normal",
_xlfn.XLOOKUP(BD_Receitas[[#This Row],[ID]],TabCondicoesComerciais[ID],TabCondicoesComerciais[Tarifa 2º Giro],0),0)</f>
        <v>0</v>
      </c>
      <c r="T1325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5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5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5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5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6" spans="1:24" x14ac:dyDescent="0.35">
      <c r="A1326" s="3" t="s">
        <v>343</v>
      </c>
      <c r="B1326" s="11">
        <v>46357</v>
      </c>
      <c r="C1326" t="s">
        <v>31</v>
      </c>
      <c r="D1326" t="s">
        <v>203</v>
      </c>
      <c r="E1326" t="s">
        <v>34</v>
      </c>
      <c r="F1326" s="10" t="s">
        <v>26</v>
      </c>
      <c r="G1326" s="3" t="s">
        <v>19</v>
      </c>
      <c r="H1326" s="3" t="s">
        <v>13</v>
      </c>
      <c r="I1326" s="3" t="s">
        <v>8</v>
      </c>
      <c r="J1326" s="1">
        <v>0</v>
      </c>
      <c r="K1326" s="12">
        <v>0</v>
      </c>
      <c r="L1326" s="1"/>
      <c r="M1326" s="12"/>
      <c r="N1326"/>
      <c r="O1326"/>
      <c r="P1326" s="2" t="str">
        <f>IF(BD_Receitas[[#This Row],[TIPO DE COBRANÇA]]="Operação Normal",
_xlfn.XLOOKUP(BD_Receitas[[#This Row],[ID]],TabCondicoesComerciais[ID],TabCondicoesComerciais[Volume mínimo 
(m3)],0),"")</f>
        <v/>
      </c>
      <c r="Q1326" s="2">
        <f>_xlfn.XLOOKUP(BD_Receitas[[#This Row],[ID]],TabCondicoesComerciais[ID],TabCondicoesComerciais[Vol. 1ºGiro],0)</f>
        <v>340</v>
      </c>
      <c r="R1326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12</v>
      </c>
      <c r="S1326" s="1">
        <f xml:space="preserve"> IF(BD_Receitas[[#This Row],[TIPO DE COBRANÇA]]="Operação Normal",
_xlfn.XLOOKUP(BD_Receitas[[#This Row],[ID]],TabCondicoesComerciais[ID],TabCondicoesComerciais[Tarifa 2º Giro],0),0)</f>
        <v>0</v>
      </c>
      <c r="T1326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6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6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6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6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7" spans="1:24" x14ac:dyDescent="0.35">
      <c r="A1327" s="3" t="s">
        <v>343</v>
      </c>
      <c r="B1327" s="11">
        <v>46357</v>
      </c>
      <c r="C1327" t="s">
        <v>31</v>
      </c>
      <c r="D1327" t="s">
        <v>203</v>
      </c>
      <c r="E1327" t="s">
        <v>34</v>
      </c>
      <c r="F1327" s="10" t="s">
        <v>26</v>
      </c>
      <c r="G1327" s="3" t="s">
        <v>19</v>
      </c>
      <c r="H1327" s="3" t="s">
        <v>13</v>
      </c>
      <c r="I1327" s="3" t="s">
        <v>15</v>
      </c>
      <c r="J1327" s="1">
        <v>15310.52</v>
      </c>
      <c r="K1327" s="12">
        <v>510</v>
      </c>
      <c r="L1327" s="1"/>
      <c r="M1327" s="12"/>
      <c r="N1327"/>
      <c r="O1327"/>
      <c r="P1327" s="2">
        <f>IF(BD_Receitas[[#This Row],[TIPO DE COBRANÇA]]="Operação Normal",
_xlfn.XLOOKUP(BD_Receitas[[#This Row],[ID]],TabCondicoesComerciais[ID],TabCondicoesComerciais[Volume mínimo 
(m3)],0),"")</f>
        <v>0</v>
      </c>
      <c r="Q1327" s="2">
        <f>_xlfn.XLOOKUP(BD_Receitas[[#This Row],[ID]],TabCondicoesComerciais[ID],TabCondicoesComerciais[Vol. 1ºGiro],0)</f>
        <v>340</v>
      </c>
      <c r="R1327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28</v>
      </c>
      <c r="S1327" s="1">
        <f xml:space="preserve"> IF(BD_Receitas[[#This Row],[TIPO DE COBRANÇA]]="Operação Normal",
_xlfn.XLOOKUP(BD_Receitas[[#This Row],[ID]],TabCondicoesComerciais[ID],TabCondicoesComerciais[Tarifa 2º Giro],0),0)</f>
        <v>28</v>
      </c>
      <c r="T1327" s="5">
        <f>IFERROR(IF(BD_Receitas[[#This Row],[TIPO DE COBRANÇA]]&lt;&gt;"Operação Normal","",BD_Receitas[[#This Row],[Valor Total R$]]/ MAX(BD_Receitas[[#This Row],[Vol. Movimentado M³]],
BD_Receitas[[#This Row],[Volume Mínimo ]])
),0)</f>
        <v>0</v>
      </c>
      <c r="U1327" s="7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>0</v>
      </c>
      <c r="V1327" s="23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>0</v>
      </c>
      <c r="W1327" s="5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>0</v>
      </c>
      <c r="X1327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>Vol. Movimentado igual ao Vol. Mínimo</v>
      </c>
    </row>
    <row r="1328" spans="1:24" hidden="1" x14ac:dyDescent="0.35">
      <c r="A1328" s="3" t="s">
        <v>343</v>
      </c>
      <c r="B1328" s="11">
        <v>46357</v>
      </c>
      <c r="C1328" t="s">
        <v>31</v>
      </c>
      <c r="D1328" t="s">
        <v>203</v>
      </c>
      <c r="E1328" t="s">
        <v>34</v>
      </c>
      <c r="F1328" s="10" t="s">
        <v>26</v>
      </c>
      <c r="G1328" s="3" t="s">
        <v>19</v>
      </c>
      <c r="H1328" s="3" t="s">
        <v>13</v>
      </c>
      <c r="I1328" s="3" t="s">
        <v>65</v>
      </c>
      <c r="J1328" s="1">
        <v>0</v>
      </c>
      <c r="K1328" s="12">
        <v>0</v>
      </c>
      <c r="L1328" s="1"/>
      <c r="M1328" s="12"/>
      <c r="N1328"/>
      <c r="O1328"/>
      <c r="P1328" s="2" t="str">
        <f>IF(BD_Receitas[[#This Row],[TIPO DE COBRANÇA]]="Operação Normal",
_xlfn.XLOOKUP(BD_Receitas[[#This Row],[ID]],TabCondicoesComerciais[ID],TabCondicoesComerciais[Volume mínimo 
(m3)],0),"")</f>
        <v/>
      </c>
      <c r="Q1328" s="2">
        <f>_xlfn.XLOOKUP(BD_Receitas[[#This Row],[ID]],TabCondicoesComerciais[ID],TabCondicoesComerciais[Vol. 1ºGiro],0)</f>
        <v>340</v>
      </c>
      <c r="R1328" s="1">
        <f>IF(BD_Receitas[[#This Row],[TIPO DE COBRANÇA]]="Avanço Espaço",
_xlfn.XLOOKUP(BD_Receitas[[#This Row],[ID]],TabCondicoesComerciais[ID],TabCondicoesComerciais[Avanço Espaço],0),
IF(BD_Receitas[[#This Row],[TIPO DE COBRANÇA]]="Avanço Horário",
_xlfn.XLOOKUP(BD_Receitas[[#This Row],[ID]],TabCondicoesComerciais[ID],TabCondicoesComerciais[Avanço Horário],0),
IF(BD_Receitas[[#This Row],[TIPO DE COBRANÇA]]="Operação Normal",
_xlfn.XLOOKUP(BD_Receitas[[#This Row],[ID]],TabCondicoesComerciais[ID],TabCondicoesComerciais[Tarifa 1º Giro],0),0)))</f>
        <v>0</v>
      </c>
      <c r="S1328" s="1">
        <f xml:space="preserve"> IF(BD_Receitas[[#This Row],[TIPO DE COBRANÇA]]="Operação Normal",
_xlfn.XLOOKUP(BD_Receitas[[#This Row],[ID]],TabCondicoesComerciais[ID],TabCondicoesComerciais[Tarifa 2º Giro],0),0)</f>
        <v>0</v>
      </c>
      <c r="T1328" s="5" t="str">
        <f>IFERROR(IF(BD_Receitas[[#This Row],[TIPO DE COBRANÇA]]&lt;&gt;"Operação Normal","",BD_Receitas[[#This Row],[Valor Total R$]]/ MAX(BD_Receitas[[#This Row],[Vol. Movimentado M³]],
BD_Receitas[[#This Row],[Volume Mínimo ]])
),0)</f>
        <v/>
      </c>
      <c r="U1328" s="7" t="str">
        <f>IFERROR(IF(BD_Receitas[[#This Row],[TIPO DE COBRANÇA]]&lt;&gt;"Operação Normal","",
SUMIFS(BD_Receitas[Valor Total R$],BD_Receitas[CONGENERE],BD_Receitas[[#This Row],[CONGENERE]],BD_Receitas[FILIAL],BD_Receitas[[#This Row],[FILIAL]],BD_Receitas[DATA CONTABIL],BD_Receitas[[#This Row],[DATA CONTABIL]])
 /BD_Receitas[[#This Row],[Vol. Movimentado M³]]
),0)</f>
        <v/>
      </c>
      <c r="V1328" s="23" t="str">
        <f>IF(BD_Receitas[[#This Row],[TIPO DE COBRANÇA]]&lt;&gt;"Operação Normal","",(BD_Receitas[[#This Row],[Volume 1º Giro]]*BD_Receitas[[#This Row],[Tarifa 1º Giro]])+(BD_Receitas[[#This Row],[Volume Mínimo ]]-BD_Receitas[[#This Row],[Volume 1º Giro]])*BD_Receitas[[#This Row],[Tarifa 2º Giro]])</f>
        <v/>
      </c>
      <c r="W1328" s="5" t="str">
        <f>IF(BD_Receitas[[#This Row],[TIPO DE COBRANÇA]]&lt;&gt;"OPERAÇÃO NORMAL","",
IF(BD_Receitas[[#This Row],[Vol. Movimentado M³]]&lt;BD_Receitas[[#This Row],[Volume 1º Giro]],BD_Receitas[[#This Row],[Vol. Movimentado M³]]*
BD_Receitas[[#This Row],[Tarifa 1º Giro]],
(BD_Receitas[[#This Row],[Volume 1º Giro]]*BD_Receitas[[#This Row],[Tarifa 1º Giro]])+(BD_Receitas[[#This Row],[Vol. Movimentado M³]]-BD_Receitas[[#This Row],[Volume 1º Giro]])*BD_Receitas[[#This Row],[Tarifa 2º Giro]])
)</f>
        <v/>
      </c>
      <c r="X1328" s="5" t="str">
        <f>IF(BD_Receitas[[#This Row],[TIPO DE COBRANÇA]] &lt;&gt; "OPERAÇÃO NORMAL","",
IF(BD_Receitas[[#This Row],[Vol. Movimentado M³]]= BD_Receitas[[#This Row],[Volume Mínimo ]], "Vol. Movimentado igual ao Vol. Mínimo",
IF(ROUND(BD_Receitas[[#This Row],[Tarifa 1º Giro]],3) &lt;&gt; ROUND(BD_Receitas[[#This Row],[Tarifa Cobrada]],3), "Conferir tarifa cobrada",
IF(BD_Receitas[[#This Row],[Volume Mínimo ]]=0,"Ok",
IF(BD_Receitas[[#This Row],[Vol. Movimentado M³]]&lt;= BD_Receitas[[#This Row],[Volume Mínimo ]],
IF(ROUND(BD_Receitas[[#This Row],[Valor Total R$]],2) = ROUND(BD_Receitas[[#This Row],[Valor Total R$]],2), "Ok","Verificar Cobrança"),
IF(ROUND(BD_Receitas[[#This Row],[Valor Contrato]],2) = ROUND(BD_Receitas[[#This Row],[Valor Movimentado]],2), "OK","Verificar cobrança")
)))))</f>
        <v/>
      </c>
    </row>
    <row r="1329" spans="1:24" x14ac:dyDescent="0.35">
      <c r="A1329"/>
      <c r="B1329"/>
      <c r="C1329"/>
      <c r="D1329"/>
      <c r="E1329"/>
      <c r="F1329"/>
      <c r="G1329" s="37"/>
      <c r="H1329"/>
      <c r="I1329"/>
      <c r="J1329" s="13">
        <f>SUBTOTAL(109,BD_Receitas[Valor Orçado])</f>
        <v>173033.42149999997</v>
      </c>
      <c r="K1329" s="34">
        <f>SUBTOTAL(109,BD_Receitas[Volume Orçado])</f>
        <v>5715</v>
      </c>
      <c r="L1329" s="13">
        <f>SUBTOTAL(109,BD_Receitas[Valor Total R$])</f>
        <v>107962.84</v>
      </c>
      <c r="M1329" s="36">
        <f>SUBTOTAL(109,BD_Receitas[Vol. Movimentado M³])</f>
        <v>7460.9359999999997</v>
      </c>
      <c r="N1329"/>
      <c r="O1329"/>
      <c r="P1329"/>
      <c r="Q1329"/>
      <c r="R1329"/>
      <c r="S1329"/>
      <c r="T1329" s="7"/>
      <c r="U1329" s="7"/>
      <c r="V1329" s="13"/>
      <c r="W1329" s="3"/>
      <c r="X1329" s="3"/>
    </row>
    <row r="1330" spans="1:24" x14ac:dyDescent="0.35">
      <c r="L1330" s="15"/>
    </row>
    <row r="1331" spans="1:24" x14ac:dyDescent="0.35">
      <c r="F1331" s="23"/>
      <c r="G1331" s="32"/>
      <c r="J1331" s="41"/>
      <c r="K1331" s="41"/>
      <c r="L1331" s="15"/>
      <c r="P1331" s="5"/>
      <c r="R1331" s="5"/>
      <c r="V1331" s="15"/>
    </row>
    <row r="1332" spans="1:24" x14ac:dyDescent="0.35">
      <c r="F1332" s="23"/>
      <c r="G1332" s="22"/>
      <c r="J1332" s="5"/>
      <c r="K1332" s="5"/>
      <c r="P1332" s="5"/>
      <c r="T1332" s="29"/>
      <c r="V1332" s="22"/>
    </row>
    <row r="1333" spans="1:24" x14ac:dyDescent="0.35">
      <c r="F1333" s="23"/>
      <c r="J1333" s="22"/>
      <c r="K1333" s="5"/>
      <c r="P1333" s="5"/>
      <c r="R1333" s="22"/>
      <c r="T1333" s="23"/>
      <c r="V1333" s="43"/>
      <c r="W1333" s="42"/>
    </row>
    <row r="1334" spans="1:24" x14ac:dyDescent="0.35">
      <c r="F1334" s="23"/>
      <c r="J1334" s="22"/>
      <c r="P1334" s="5"/>
      <c r="R1334" s="5"/>
      <c r="U1334" s="23"/>
      <c r="V1334" s="5"/>
    </row>
    <row r="1335" spans="1:24" x14ac:dyDescent="0.35">
      <c r="F1335" s="23"/>
      <c r="G1335" s="22"/>
      <c r="J1335" s="22"/>
      <c r="K1335" s="5"/>
      <c r="L1335" s="5"/>
      <c r="M1335" s="5"/>
      <c r="P1335" s="5"/>
      <c r="R1335" s="5"/>
      <c r="S1335" s="23"/>
    </row>
    <row r="1336" spans="1:24" x14ac:dyDescent="0.35">
      <c r="F1336" s="38"/>
      <c r="G1336" s="28"/>
      <c r="J1336" s="22"/>
      <c r="K1336" s="5"/>
      <c r="L1336" s="5"/>
      <c r="M1336" s="5"/>
      <c r="P1336" s="5"/>
      <c r="R1336" s="5"/>
      <c r="S1336" s="23"/>
      <c r="U1336" s="44"/>
    </row>
    <row r="1337" spans="1:24" x14ac:dyDescent="0.35">
      <c r="G1337" s="28"/>
      <c r="J1337" s="22"/>
      <c r="K1337" s="5"/>
      <c r="L1337" s="5"/>
      <c r="M1337" s="5"/>
      <c r="P1337" s="5"/>
      <c r="R1337" s="22"/>
      <c r="S1337" s="23"/>
    </row>
    <row r="1338" spans="1:24" x14ac:dyDescent="0.35">
      <c r="F1338" s="23"/>
      <c r="J1338" s="22"/>
      <c r="K1338" s="5"/>
      <c r="L1338" s="5"/>
      <c r="M1338" s="5"/>
      <c r="N1338" s="4" t="s">
        <v>141</v>
      </c>
      <c r="P1338" s="15"/>
      <c r="R1338" s="5"/>
      <c r="S1338" s="23"/>
      <c r="T1338" s="23"/>
      <c r="U1338" s="23"/>
    </row>
  </sheetData>
  <phoneticPr fontId="2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FAF0-46A2-4712-9A46-325898AFE673}">
  <dimension ref="A1:R675"/>
  <sheetViews>
    <sheetView topLeftCell="A645" workbookViewId="0">
      <selection activeCell="B670" sqref="B670"/>
    </sheetView>
  </sheetViews>
  <sheetFormatPr defaultRowHeight="14.5" x14ac:dyDescent="0.35"/>
  <cols>
    <col min="1" max="1" width="5.90625" customWidth="1"/>
    <col min="2" max="2" width="10.453125" bestFit="1" customWidth="1"/>
    <col min="3" max="3" width="8" bestFit="1" customWidth="1"/>
    <col min="4" max="4" width="21.453125" bestFit="1" customWidth="1"/>
    <col min="5" max="5" width="15.54296875" bestFit="1" customWidth="1"/>
    <col min="6" max="6" width="15.90625" bestFit="1" customWidth="1"/>
    <col min="7" max="7" width="15.36328125" bestFit="1" customWidth="1"/>
    <col min="8" max="8" width="13" bestFit="1" customWidth="1"/>
    <col min="17" max="17" width="11.54296875" bestFit="1" customWidth="1"/>
    <col min="18" max="18" width="13.36328125" bestFit="1" customWidth="1"/>
  </cols>
  <sheetData>
    <row r="1" spans="1:8" ht="29" x14ac:dyDescent="0.35">
      <c r="A1" s="45" t="s">
        <v>0</v>
      </c>
      <c r="B1" s="46" t="s">
        <v>5</v>
      </c>
      <c r="C1" s="46" t="s">
        <v>1</v>
      </c>
      <c r="D1" s="46" t="s">
        <v>2</v>
      </c>
      <c r="E1" s="46" t="s">
        <v>3</v>
      </c>
      <c r="F1" s="46" t="s">
        <v>4</v>
      </c>
      <c r="G1" s="47" t="s">
        <v>218</v>
      </c>
      <c r="H1" s="48" t="s">
        <v>219</v>
      </c>
    </row>
    <row r="2" spans="1:8" x14ac:dyDescent="0.35">
      <c r="A2" s="49" t="s">
        <v>142</v>
      </c>
      <c r="B2" s="50">
        <v>45658</v>
      </c>
      <c r="C2" s="51" t="s">
        <v>48</v>
      </c>
      <c r="D2" s="51" t="s">
        <v>49</v>
      </c>
      <c r="E2" s="51" t="s">
        <v>52</v>
      </c>
      <c r="F2" s="51" t="s">
        <v>7</v>
      </c>
      <c r="G2" s="52">
        <v>0</v>
      </c>
      <c r="H2" s="53">
        <v>0</v>
      </c>
    </row>
    <row r="3" spans="1:8" x14ac:dyDescent="0.35">
      <c r="A3" s="54" t="s">
        <v>142</v>
      </c>
      <c r="B3" s="55">
        <v>45658</v>
      </c>
      <c r="C3" s="56" t="s">
        <v>48</v>
      </c>
      <c r="D3" s="56" t="s">
        <v>49</v>
      </c>
      <c r="E3" s="56" t="s">
        <v>52</v>
      </c>
      <c r="F3" s="56" t="s">
        <v>8</v>
      </c>
      <c r="G3" s="57">
        <v>0</v>
      </c>
      <c r="H3" s="58">
        <v>0</v>
      </c>
    </row>
    <row r="4" spans="1:8" x14ac:dyDescent="0.35">
      <c r="A4" s="49" t="s">
        <v>142</v>
      </c>
      <c r="B4" s="50">
        <v>45658</v>
      </c>
      <c r="C4" s="51" t="s">
        <v>48</v>
      </c>
      <c r="D4" s="51" t="s">
        <v>49</v>
      </c>
      <c r="E4" s="51" t="s">
        <v>52</v>
      </c>
      <c r="F4" s="51" t="s">
        <v>15</v>
      </c>
      <c r="G4" s="52">
        <v>89789.370062370057</v>
      </c>
      <c r="H4" s="53">
        <v>2040</v>
      </c>
    </row>
    <row r="5" spans="1:8" x14ac:dyDescent="0.35">
      <c r="A5" s="54" t="s">
        <v>142</v>
      </c>
      <c r="B5" s="55">
        <v>45658</v>
      </c>
      <c r="C5" s="56" t="s">
        <v>48</v>
      </c>
      <c r="D5" s="56" t="s">
        <v>49</v>
      </c>
      <c r="E5" s="56" t="s">
        <v>52</v>
      </c>
      <c r="F5" s="56" t="s">
        <v>65</v>
      </c>
      <c r="G5" s="57">
        <v>0</v>
      </c>
      <c r="H5" s="58">
        <v>0</v>
      </c>
    </row>
    <row r="6" spans="1:8" x14ac:dyDescent="0.35">
      <c r="A6" s="49" t="s">
        <v>139</v>
      </c>
      <c r="B6" s="50">
        <v>45658</v>
      </c>
      <c r="C6" s="51" t="s">
        <v>48</v>
      </c>
      <c r="D6" s="51" t="s">
        <v>49</v>
      </c>
      <c r="E6" s="51" t="s">
        <v>14</v>
      </c>
      <c r="F6" s="51" t="s">
        <v>7</v>
      </c>
      <c r="G6" s="52">
        <v>0</v>
      </c>
      <c r="H6" s="53">
        <v>0</v>
      </c>
    </row>
    <row r="7" spans="1:8" x14ac:dyDescent="0.35">
      <c r="A7" s="54" t="s">
        <v>139</v>
      </c>
      <c r="B7" s="55">
        <v>45658</v>
      </c>
      <c r="C7" s="56" t="s">
        <v>48</v>
      </c>
      <c r="D7" s="56" t="s">
        <v>49</v>
      </c>
      <c r="E7" s="56" t="s">
        <v>14</v>
      </c>
      <c r="F7" s="56" t="s">
        <v>8</v>
      </c>
      <c r="G7" s="57">
        <v>0</v>
      </c>
      <c r="H7" s="58">
        <v>0</v>
      </c>
    </row>
    <row r="8" spans="1:8" x14ac:dyDescent="0.35">
      <c r="A8" s="49" t="s">
        <v>139</v>
      </c>
      <c r="B8" s="50">
        <v>45658</v>
      </c>
      <c r="C8" s="51" t="s">
        <v>48</v>
      </c>
      <c r="D8" s="51" t="s">
        <v>49</v>
      </c>
      <c r="E8" s="51" t="s">
        <v>14</v>
      </c>
      <c r="F8" s="51" t="s">
        <v>15</v>
      </c>
      <c r="G8" s="52">
        <v>28839.059251559258</v>
      </c>
      <c r="H8" s="53">
        <v>1500</v>
      </c>
    </row>
    <row r="9" spans="1:8" x14ac:dyDescent="0.35">
      <c r="A9" s="54" t="s">
        <v>139</v>
      </c>
      <c r="B9" s="55">
        <v>45658</v>
      </c>
      <c r="C9" s="56" t="s">
        <v>48</v>
      </c>
      <c r="D9" s="56" t="s">
        <v>49</v>
      </c>
      <c r="E9" s="56" t="s">
        <v>14</v>
      </c>
      <c r="F9" s="56" t="s">
        <v>65</v>
      </c>
      <c r="G9" s="57">
        <v>0</v>
      </c>
      <c r="H9" s="58">
        <v>0</v>
      </c>
    </row>
    <row r="10" spans="1:8" x14ac:dyDescent="0.35">
      <c r="A10" s="49" t="s">
        <v>25</v>
      </c>
      <c r="B10" s="50">
        <v>45658</v>
      </c>
      <c r="C10" s="51" t="s">
        <v>48</v>
      </c>
      <c r="D10" s="51" t="s">
        <v>49</v>
      </c>
      <c r="E10" s="51" t="s">
        <v>116</v>
      </c>
      <c r="F10" s="51" t="s">
        <v>7</v>
      </c>
      <c r="G10" s="52">
        <v>0</v>
      </c>
      <c r="H10" s="53">
        <v>0</v>
      </c>
    </row>
    <row r="11" spans="1:8" x14ac:dyDescent="0.35">
      <c r="A11" s="54" t="s">
        <v>25</v>
      </c>
      <c r="B11" s="55">
        <v>45658</v>
      </c>
      <c r="C11" s="56" t="s">
        <v>48</v>
      </c>
      <c r="D11" s="56" t="s">
        <v>49</v>
      </c>
      <c r="E11" s="56" t="s">
        <v>116</v>
      </c>
      <c r="F11" s="56" t="s">
        <v>8</v>
      </c>
      <c r="G11" s="57">
        <v>0</v>
      </c>
      <c r="H11" s="58">
        <v>0</v>
      </c>
    </row>
    <row r="12" spans="1:8" x14ac:dyDescent="0.35">
      <c r="A12" s="49" t="s">
        <v>25</v>
      </c>
      <c r="B12" s="50">
        <v>45658</v>
      </c>
      <c r="C12" s="51" t="s">
        <v>48</v>
      </c>
      <c r="D12" s="51" t="s">
        <v>49</v>
      </c>
      <c r="E12" s="51" t="s">
        <v>116</v>
      </c>
      <c r="F12" s="51" t="s">
        <v>15</v>
      </c>
      <c r="G12" s="52">
        <v>9355.5093555093554</v>
      </c>
      <c r="H12" s="53">
        <v>300</v>
      </c>
    </row>
    <row r="13" spans="1:8" x14ac:dyDescent="0.35">
      <c r="A13" s="54" t="s">
        <v>25</v>
      </c>
      <c r="B13" s="55">
        <v>45658</v>
      </c>
      <c r="C13" s="56" t="s">
        <v>48</v>
      </c>
      <c r="D13" s="56" t="s">
        <v>49</v>
      </c>
      <c r="E13" s="56" t="s">
        <v>116</v>
      </c>
      <c r="F13" s="56" t="s">
        <v>65</v>
      </c>
      <c r="G13" s="57">
        <v>0</v>
      </c>
      <c r="H13" s="58">
        <v>0</v>
      </c>
    </row>
    <row r="14" spans="1:8" x14ac:dyDescent="0.35">
      <c r="A14" s="49" t="s">
        <v>102</v>
      </c>
      <c r="B14" s="50">
        <v>45658</v>
      </c>
      <c r="C14" s="51" t="s">
        <v>48</v>
      </c>
      <c r="D14" s="51" t="s">
        <v>49</v>
      </c>
      <c r="E14" s="51" t="s">
        <v>51</v>
      </c>
      <c r="F14" s="51" t="s">
        <v>7</v>
      </c>
      <c r="G14" s="52">
        <v>0</v>
      </c>
      <c r="H14" s="53">
        <v>0</v>
      </c>
    </row>
    <row r="15" spans="1:8" x14ac:dyDescent="0.35">
      <c r="A15" s="54" t="s">
        <v>102</v>
      </c>
      <c r="B15" s="55">
        <v>45658</v>
      </c>
      <c r="C15" s="56" t="s">
        <v>48</v>
      </c>
      <c r="D15" s="56" t="s">
        <v>49</v>
      </c>
      <c r="E15" s="56" t="s">
        <v>51</v>
      </c>
      <c r="F15" s="56" t="s">
        <v>8</v>
      </c>
      <c r="G15" s="57">
        <v>0</v>
      </c>
      <c r="H15" s="58">
        <v>0</v>
      </c>
    </row>
    <row r="16" spans="1:8" x14ac:dyDescent="0.35">
      <c r="A16" s="49" t="s">
        <v>102</v>
      </c>
      <c r="B16" s="50">
        <v>45658</v>
      </c>
      <c r="C16" s="51" t="s">
        <v>48</v>
      </c>
      <c r="D16" s="51" t="s">
        <v>49</v>
      </c>
      <c r="E16" s="51" t="s">
        <v>51</v>
      </c>
      <c r="F16" s="51" t="s">
        <v>15</v>
      </c>
      <c r="G16" s="52">
        <v>226720.94594594592</v>
      </c>
      <c r="H16" s="53">
        <v>6500</v>
      </c>
    </row>
    <row r="17" spans="1:8" x14ac:dyDescent="0.35">
      <c r="A17" s="54" t="s">
        <v>102</v>
      </c>
      <c r="B17" s="55">
        <v>45658</v>
      </c>
      <c r="C17" s="56" t="s">
        <v>48</v>
      </c>
      <c r="D17" s="56" t="s">
        <v>49</v>
      </c>
      <c r="E17" s="56" t="s">
        <v>51</v>
      </c>
      <c r="F17" s="56" t="s">
        <v>65</v>
      </c>
      <c r="G17" s="57">
        <v>0</v>
      </c>
      <c r="H17" s="58">
        <v>0</v>
      </c>
    </row>
    <row r="18" spans="1:8" x14ac:dyDescent="0.35">
      <c r="A18" s="49" t="s">
        <v>118</v>
      </c>
      <c r="B18" s="50">
        <v>45658</v>
      </c>
      <c r="C18" s="51" t="s">
        <v>22</v>
      </c>
      <c r="D18" s="51" t="s">
        <v>11</v>
      </c>
      <c r="E18" s="51" t="s">
        <v>116</v>
      </c>
      <c r="F18" s="51" t="s">
        <v>7</v>
      </c>
      <c r="G18" s="52">
        <v>0</v>
      </c>
      <c r="H18" s="53">
        <v>0</v>
      </c>
    </row>
    <row r="19" spans="1:8" x14ac:dyDescent="0.35">
      <c r="A19" s="54" t="s">
        <v>118</v>
      </c>
      <c r="B19" s="55">
        <v>45658</v>
      </c>
      <c r="C19" s="56" t="s">
        <v>22</v>
      </c>
      <c r="D19" s="56" t="s">
        <v>11</v>
      </c>
      <c r="E19" s="56" t="s">
        <v>116</v>
      </c>
      <c r="F19" s="56" t="s">
        <v>8</v>
      </c>
      <c r="G19" s="57">
        <v>0</v>
      </c>
      <c r="H19" s="58">
        <v>0</v>
      </c>
    </row>
    <row r="20" spans="1:8" x14ac:dyDescent="0.35">
      <c r="A20" s="49" t="s">
        <v>118</v>
      </c>
      <c r="B20" s="50">
        <v>45658</v>
      </c>
      <c r="C20" s="51" t="s">
        <v>22</v>
      </c>
      <c r="D20" s="51" t="s">
        <v>11</v>
      </c>
      <c r="E20" s="51" t="s">
        <v>116</v>
      </c>
      <c r="F20" s="51" t="s">
        <v>15</v>
      </c>
      <c r="G20" s="52">
        <v>56842.1052631579</v>
      </c>
      <c r="H20" s="53">
        <v>2000</v>
      </c>
    </row>
    <row r="21" spans="1:8" x14ac:dyDescent="0.35">
      <c r="A21" s="54" t="s">
        <v>118</v>
      </c>
      <c r="B21" s="55">
        <v>45658</v>
      </c>
      <c r="C21" s="56" t="s">
        <v>22</v>
      </c>
      <c r="D21" s="56" t="s">
        <v>11</v>
      </c>
      <c r="E21" s="56" t="s">
        <v>116</v>
      </c>
      <c r="F21" s="56" t="s">
        <v>65</v>
      </c>
      <c r="G21" s="57">
        <v>0</v>
      </c>
      <c r="H21" s="58">
        <v>0</v>
      </c>
    </row>
    <row r="22" spans="1:8" x14ac:dyDescent="0.35">
      <c r="A22" s="49" t="s">
        <v>172</v>
      </c>
      <c r="B22" s="50">
        <v>45658</v>
      </c>
      <c r="C22" s="51" t="s">
        <v>22</v>
      </c>
      <c r="D22" s="51" t="s">
        <v>11</v>
      </c>
      <c r="E22" s="51" t="s">
        <v>13</v>
      </c>
      <c r="F22" s="51" t="s">
        <v>7</v>
      </c>
      <c r="G22" s="52">
        <v>0</v>
      </c>
      <c r="H22" s="53">
        <v>0</v>
      </c>
    </row>
    <row r="23" spans="1:8" x14ac:dyDescent="0.35">
      <c r="A23" s="54" t="s">
        <v>172</v>
      </c>
      <c r="B23" s="55">
        <v>45658</v>
      </c>
      <c r="C23" s="56" t="s">
        <v>22</v>
      </c>
      <c r="D23" s="56" t="s">
        <v>11</v>
      </c>
      <c r="E23" s="56" t="s">
        <v>13</v>
      </c>
      <c r="F23" s="56" t="s">
        <v>8</v>
      </c>
      <c r="G23" s="57">
        <v>0</v>
      </c>
      <c r="H23" s="58">
        <v>0</v>
      </c>
    </row>
    <row r="24" spans="1:8" x14ac:dyDescent="0.35">
      <c r="A24" s="49" t="s">
        <v>172</v>
      </c>
      <c r="B24" s="50">
        <v>45658</v>
      </c>
      <c r="C24" s="51" t="s">
        <v>22</v>
      </c>
      <c r="D24" s="51" t="s">
        <v>11</v>
      </c>
      <c r="E24" s="51" t="s">
        <v>13</v>
      </c>
      <c r="F24" s="51" t="s">
        <v>15</v>
      </c>
      <c r="G24" s="52">
        <v>0</v>
      </c>
      <c r="H24" s="53">
        <v>0</v>
      </c>
    </row>
    <row r="25" spans="1:8" x14ac:dyDescent="0.35">
      <c r="A25" s="54" t="s">
        <v>172</v>
      </c>
      <c r="B25" s="55">
        <v>45658</v>
      </c>
      <c r="C25" s="56" t="s">
        <v>22</v>
      </c>
      <c r="D25" s="56" t="s">
        <v>11</v>
      </c>
      <c r="E25" s="56" t="s">
        <v>13</v>
      </c>
      <c r="F25" s="56" t="s">
        <v>65</v>
      </c>
      <c r="G25" s="57">
        <v>0</v>
      </c>
      <c r="H25" s="58">
        <v>0</v>
      </c>
    </row>
    <row r="26" spans="1:8" x14ac:dyDescent="0.35">
      <c r="A26" s="49" t="s">
        <v>149</v>
      </c>
      <c r="B26" s="50">
        <v>45658</v>
      </c>
      <c r="C26" s="51" t="s">
        <v>23</v>
      </c>
      <c r="D26" s="51" t="s">
        <v>112</v>
      </c>
      <c r="E26" s="51" t="s">
        <v>113</v>
      </c>
      <c r="F26" s="51" t="s">
        <v>7</v>
      </c>
      <c r="G26" s="52">
        <v>0</v>
      </c>
      <c r="H26" s="53">
        <v>0</v>
      </c>
    </row>
    <row r="27" spans="1:8" x14ac:dyDescent="0.35">
      <c r="A27" s="54" t="s">
        <v>149</v>
      </c>
      <c r="B27" s="55">
        <v>45658</v>
      </c>
      <c r="C27" s="56" t="s">
        <v>23</v>
      </c>
      <c r="D27" s="56" t="s">
        <v>112</v>
      </c>
      <c r="E27" s="56" t="s">
        <v>113</v>
      </c>
      <c r="F27" s="56" t="s">
        <v>8</v>
      </c>
      <c r="G27" s="57">
        <v>0</v>
      </c>
      <c r="H27" s="58">
        <v>0</v>
      </c>
    </row>
    <row r="28" spans="1:8" x14ac:dyDescent="0.35">
      <c r="A28" s="49" t="s">
        <v>149</v>
      </c>
      <c r="B28" s="50">
        <v>45658</v>
      </c>
      <c r="C28" s="51" t="s">
        <v>23</v>
      </c>
      <c r="D28" s="51" t="s">
        <v>112</v>
      </c>
      <c r="E28" s="51" t="s">
        <v>113</v>
      </c>
      <c r="F28" s="51" t="s">
        <v>15</v>
      </c>
      <c r="G28" s="52">
        <v>86210.526315789481</v>
      </c>
      <c r="H28" s="53">
        <v>4200</v>
      </c>
    </row>
    <row r="29" spans="1:8" x14ac:dyDescent="0.35">
      <c r="A29" s="54" t="s">
        <v>149</v>
      </c>
      <c r="B29" s="55">
        <v>45658</v>
      </c>
      <c r="C29" s="56" t="s">
        <v>23</v>
      </c>
      <c r="D29" s="56" t="s">
        <v>112</v>
      </c>
      <c r="E29" s="56" t="s">
        <v>113</v>
      </c>
      <c r="F29" s="56" t="s">
        <v>65</v>
      </c>
      <c r="G29" s="57">
        <v>0</v>
      </c>
      <c r="H29" s="58">
        <v>0</v>
      </c>
    </row>
    <row r="30" spans="1:8" x14ac:dyDescent="0.35">
      <c r="A30" s="49" t="s">
        <v>150</v>
      </c>
      <c r="B30" s="50">
        <v>45658</v>
      </c>
      <c r="C30" s="51" t="s">
        <v>46</v>
      </c>
      <c r="D30" s="51" t="s">
        <v>87</v>
      </c>
      <c r="E30" s="51" t="s">
        <v>9</v>
      </c>
      <c r="F30" s="51" t="s">
        <v>7</v>
      </c>
      <c r="G30" s="52">
        <v>0</v>
      </c>
      <c r="H30" s="53">
        <v>0</v>
      </c>
    </row>
    <row r="31" spans="1:8" x14ac:dyDescent="0.35">
      <c r="A31" s="54" t="s">
        <v>150</v>
      </c>
      <c r="B31" s="55">
        <v>45658</v>
      </c>
      <c r="C31" s="56" t="s">
        <v>46</v>
      </c>
      <c r="D31" s="56" t="s">
        <v>87</v>
      </c>
      <c r="E31" s="56" t="s">
        <v>9</v>
      </c>
      <c r="F31" s="56" t="s">
        <v>8</v>
      </c>
      <c r="G31" s="57">
        <v>0</v>
      </c>
      <c r="H31" s="58">
        <v>0</v>
      </c>
    </row>
    <row r="32" spans="1:8" x14ac:dyDescent="0.35">
      <c r="A32" s="49" t="s">
        <v>150</v>
      </c>
      <c r="B32" s="50">
        <v>45658</v>
      </c>
      <c r="C32" s="51" t="s">
        <v>46</v>
      </c>
      <c r="D32" s="51" t="s">
        <v>87</v>
      </c>
      <c r="E32" s="51" t="s">
        <v>9</v>
      </c>
      <c r="F32" s="51" t="s">
        <v>15</v>
      </c>
      <c r="G32" s="52">
        <v>137499.15789473685</v>
      </c>
      <c r="H32" s="53">
        <v>4200</v>
      </c>
    </row>
    <row r="33" spans="1:8" x14ac:dyDescent="0.35">
      <c r="A33" s="54" t="s">
        <v>150</v>
      </c>
      <c r="B33" s="55">
        <v>45658</v>
      </c>
      <c r="C33" s="56" t="s">
        <v>46</v>
      </c>
      <c r="D33" s="56" t="s">
        <v>87</v>
      </c>
      <c r="E33" s="56" t="s">
        <v>9</v>
      </c>
      <c r="F33" s="56" t="s">
        <v>65</v>
      </c>
      <c r="G33" s="57">
        <v>0</v>
      </c>
      <c r="H33" s="58">
        <v>0</v>
      </c>
    </row>
    <row r="34" spans="1:8" x14ac:dyDescent="0.35">
      <c r="A34" s="49" t="s">
        <v>166</v>
      </c>
      <c r="B34" s="50">
        <v>45658</v>
      </c>
      <c r="C34" s="51" t="s">
        <v>25</v>
      </c>
      <c r="D34" s="51" t="s">
        <v>12</v>
      </c>
      <c r="E34" s="51" t="s">
        <v>9</v>
      </c>
      <c r="F34" s="51" t="s">
        <v>7</v>
      </c>
      <c r="G34" s="52">
        <v>0</v>
      </c>
      <c r="H34" s="53">
        <v>0</v>
      </c>
    </row>
    <row r="35" spans="1:8" x14ac:dyDescent="0.35">
      <c r="A35" s="54" t="s">
        <v>166</v>
      </c>
      <c r="B35" s="55">
        <v>45658</v>
      </c>
      <c r="C35" s="56" t="s">
        <v>25</v>
      </c>
      <c r="D35" s="56" t="s">
        <v>12</v>
      </c>
      <c r="E35" s="56" t="s">
        <v>9</v>
      </c>
      <c r="F35" s="56" t="s">
        <v>8</v>
      </c>
      <c r="G35" s="57">
        <v>0</v>
      </c>
      <c r="H35" s="58">
        <v>0</v>
      </c>
    </row>
    <row r="36" spans="1:8" x14ac:dyDescent="0.35">
      <c r="A36" s="49" t="s">
        <v>166</v>
      </c>
      <c r="B36" s="50">
        <v>45658</v>
      </c>
      <c r="C36" s="51" t="s">
        <v>25</v>
      </c>
      <c r="D36" s="51" t="s">
        <v>12</v>
      </c>
      <c r="E36" s="51" t="s">
        <v>9</v>
      </c>
      <c r="F36" s="51" t="s">
        <v>15</v>
      </c>
      <c r="G36" s="52">
        <v>164947.60916666666</v>
      </c>
      <c r="H36" s="53">
        <v>6100</v>
      </c>
    </row>
    <row r="37" spans="1:8" x14ac:dyDescent="0.35">
      <c r="A37" s="54" t="s">
        <v>166</v>
      </c>
      <c r="B37" s="55">
        <v>45658</v>
      </c>
      <c r="C37" s="56" t="s">
        <v>25</v>
      </c>
      <c r="D37" s="56" t="s">
        <v>12</v>
      </c>
      <c r="E37" s="56" t="s">
        <v>9</v>
      </c>
      <c r="F37" s="56" t="s">
        <v>65</v>
      </c>
      <c r="G37" s="57">
        <v>0</v>
      </c>
      <c r="H37" s="58">
        <v>0</v>
      </c>
    </row>
    <row r="38" spans="1:8" x14ac:dyDescent="0.35">
      <c r="A38" s="49" t="s">
        <v>134</v>
      </c>
      <c r="B38" s="50">
        <v>45658</v>
      </c>
      <c r="C38" s="51" t="s">
        <v>57</v>
      </c>
      <c r="D38" s="51" t="s">
        <v>58</v>
      </c>
      <c r="E38" s="51" t="s">
        <v>10</v>
      </c>
      <c r="F38" s="51" t="s">
        <v>7</v>
      </c>
      <c r="G38" s="52">
        <v>0</v>
      </c>
      <c r="H38" s="53">
        <v>0</v>
      </c>
    </row>
    <row r="39" spans="1:8" x14ac:dyDescent="0.35">
      <c r="A39" s="54" t="s">
        <v>134</v>
      </c>
      <c r="B39" s="55">
        <v>45658</v>
      </c>
      <c r="C39" s="56" t="s">
        <v>57</v>
      </c>
      <c r="D39" s="56" t="s">
        <v>58</v>
      </c>
      <c r="E39" s="56" t="s">
        <v>10</v>
      </c>
      <c r="F39" s="56" t="s">
        <v>8</v>
      </c>
      <c r="G39" s="57">
        <v>0</v>
      </c>
      <c r="H39" s="58">
        <v>0</v>
      </c>
    </row>
    <row r="40" spans="1:8" x14ac:dyDescent="0.35">
      <c r="A40" s="49" t="s">
        <v>134</v>
      </c>
      <c r="B40" s="50">
        <v>45658</v>
      </c>
      <c r="C40" s="51" t="s">
        <v>57</v>
      </c>
      <c r="D40" s="51" t="s">
        <v>58</v>
      </c>
      <c r="E40" s="51" t="s">
        <v>10</v>
      </c>
      <c r="F40" s="51" t="s">
        <v>15</v>
      </c>
      <c r="G40" s="52">
        <v>16703.076923076926</v>
      </c>
      <c r="H40" s="53">
        <v>550</v>
      </c>
    </row>
    <row r="41" spans="1:8" x14ac:dyDescent="0.35">
      <c r="A41" s="54" t="s">
        <v>134</v>
      </c>
      <c r="B41" s="55">
        <v>45658</v>
      </c>
      <c r="C41" s="56" t="s">
        <v>57</v>
      </c>
      <c r="D41" s="56" t="s">
        <v>58</v>
      </c>
      <c r="E41" s="56" t="s">
        <v>10</v>
      </c>
      <c r="F41" s="56" t="s">
        <v>65</v>
      </c>
      <c r="G41" s="57">
        <v>0</v>
      </c>
      <c r="H41" s="58">
        <v>0</v>
      </c>
    </row>
    <row r="42" spans="1:8" x14ac:dyDescent="0.35">
      <c r="A42" s="59">
        <v>20105</v>
      </c>
      <c r="B42" s="50">
        <v>45658</v>
      </c>
      <c r="C42" s="51" t="s">
        <v>26</v>
      </c>
      <c r="D42" s="51" t="s">
        <v>19</v>
      </c>
      <c r="E42" s="51" t="s">
        <v>13</v>
      </c>
      <c r="F42" s="51" t="s">
        <v>7</v>
      </c>
      <c r="G42" s="52">
        <v>0</v>
      </c>
      <c r="H42" s="53">
        <v>0</v>
      </c>
    </row>
    <row r="43" spans="1:8" x14ac:dyDescent="0.35">
      <c r="A43" s="60">
        <v>20105</v>
      </c>
      <c r="B43" s="55">
        <v>45658</v>
      </c>
      <c r="C43" s="56" t="s">
        <v>26</v>
      </c>
      <c r="D43" s="56" t="s">
        <v>19</v>
      </c>
      <c r="E43" s="56" t="s">
        <v>13</v>
      </c>
      <c r="F43" s="56" t="s">
        <v>8</v>
      </c>
      <c r="G43" s="57">
        <v>0</v>
      </c>
      <c r="H43" s="58">
        <v>0</v>
      </c>
    </row>
    <row r="44" spans="1:8" x14ac:dyDescent="0.35">
      <c r="A44" s="59">
        <v>20105</v>
      </c>
      <c r="B44" s="50">
        <v>45658</v>
      </c>
      <c r="C44" s="51" t="s">
        <v>26</v>
      </c>
      <c r="D44" s="51" t="s">
        <v>19</v>
      </c>
      <c r="E44" s="51" t="s">
        <v>13</v>
      </c>
      <c r="F44" s="51" t="s">
        <v>15</v>
      </c>
      <c r="G44" s="52">
        <v>16933.88</v>
      </c>
      <c r="H44" s="53">
        <v>545</v>
      </c>
    </row>
    <row r="45" spans="1:8" x14ac:dyDescent="0.35">
      <c r="A45" s="60">
        <v>20105</v>
      </c>
      <c r="B45" s="55">
        <v>45658</v>
      </c>
      <c r="C45" s="56" t="s">
        <v>26</v>
      </c>
      <c r="D45" s="56" t="s">
        <v>19</v>
      </c>
      <c r="E45" s="56" t="s">
        <v>13</v>
      </c>
      <c r="F45" s="56" t="s">
        <v>65</v>
      </c>
      <c r="G45" s="57">
        <v>0</v>
      </c>
      <c r="H45" s="58">
        <v>0</v>
      </c>
    </row>
    <row r="46" spans="1:8" x14ac:dyDescent="0.35">
      <c r="A46" s="49" t="s">
        <v>142</v>
      </c>
      <c r="B46" s="50">
        <v>45689</v>
      </c>
      <c r="C46" s="51" t="s">
        <v>48</v>
      </c>
      <c r="D46" s="51" t="s">
        <v>49</v>
      </c>
      <c r="E46" s="51" t="s">
        <v>52</v>
      </c>
      <c r="F46" s="51" t="s">
        <v>7</v>
      </c>
      <c r="G46" s="52">
        <v>0</v>
      </c>
      <c r="H46" s="53">
        <v>0</v>
      </c>
    </row>
    <row r="47" spans="1:8" x14ac:dyDescent="0.35">
      <c r="A47" s="54" t="s">
        <v>142</v>
      </c>
      <c r="B47" s="55">
        <v>45689</v>
      </c>
      <c r="C47" s="56" t="s">
        <v>48</v>
      </c>
      <c r="D47" s="56" t="s">
        <v>49</v>
      </c>
      <c r="E47" s="56" t="s">
        <v>52</v>
      </c>
      <c r="F47" s="56" t="s">
        <v>8</v>
      </c>
      <c r="G47" s="57">
        <v>0</v>
      </c>
      <c r="H47" s="58">
        <v>0</v>
      </c>
    </row>
    <row r="48" spans="1:8" x14ac:dyDescent="0.35">
      <c r="A48" s="49" t="s">
        <v>142</v>
      </c>
      <c r="B48" s="50">
        <v>45689</v>
      </c>
      <c r="C48" s="51" t="s">
        <v>48</v>
      </c>
      <c r="D48" s="51" t="s">
        <v>49</v>
      </c>
      <c r="E48" s="51" t="s">
        <v>52</v>
      </c>
      <c r="F48" s="51" t="s">
        <v>15</v>
      </c>
      <c r="G48" s="52">
        <v>89789.370062370057</v>
      </c>
      <c r="H48" s="53">
        <v>2040</v>
      </c>
    </row>
    <row r="49" spans="1:8" x14ac:dyDescent="0.35">
      <c r="A49" s="54" t="s">
        <v>142</v>
      </c>
      <c r="B49" s="55">
        <v>45689</v>
      </c>
      <c r="C49" s="56" t="s">
        <v>48</v>
      </c>
      <c r="D49" s="56" t="s">
        <v>49</v>
      </c>
      <c r="E49" s="56" t="s">
        <v>52</v>
      </c>
      <c r="F49" s="56" t="s">
        <v>65</v>
      </c>
      <c r="G49" s="57">
        <v>0</v>
      </c>
      <c r="H49" s="58">
        <v>0</v>
      </c>
    </row>
    <row r="50" spans="1:8" x14ac:dyDescent="0.35">
      <c r="A50" s="49" t="s">
        <v>139</v>
      </c>
      <c r="B50" s="50">
        <v>45689</v>
      </c>
      <c r="C50" s="51" t="s">
        <v>48</v>
      </c>
      <c r="D50" s="51" t="s">
        <v>49</v>
      </c>
      <c r="E50" s="51" t="s">
        <v>14</v>
      </c>
      <c r="F50" s="51" t="s">
        <v>7</v>
      </c>
      <c r="G50" s="52">
        <v>0</v>
      </c>
      <c r="H50" s="53">
        <v>0</v>
      </c>
    </row>
    <row r="51" spans="1:8" x14ac:dyDescent="0.35">
      <c r="A51" s="54" t="s">
        <v>139</v>
      </c>
      <c r="B51" s="55">
        <v>45689</v>
      </c>
      <c r="C51" s="56" t="s">
        <v>48</v>
      </c>
      <c r="D51" s="56" t="s">
        <v>49</v>
      </c>
      <c r="E51" s="56" t="s">
        <v>14</v>
      </c>
      <c r="F51" s="56" t="s">
        <v>8</v>
      </c>
      <c r="G51" s="57">
        <v>0</v>
      </c>
      <c r="H51" s="58">
        <v>0</v>
      </c>
    </row>
    <row r="52" spans="1:8" x14ac:dyDescent="0.35">
      <c r="A52" s="49" t="s">
        <v>139</v>
      </c>
      <c r="B52" s="50">
        <v>45689</v>
      </c>
      <c r="C52" s="51" t="s">
        <v>48</v>
      </c>
      <c r="D52" s="51" t="s">
        <v>49</v>
      </c>
      <c r="E52" s="51" t="s">
        <v>14</v>
      </c>
      <c r="F52" s="51" t="s">
        <v>15</v>
      </c>
      <c r="G52" s="52">
        <v>28839.059251559258</v>
      </c>
      <c r="H52" s="53">
        <v>1500</v>
      </c>
    </row>
    <row r="53" spans="1:8" x14ac:dyDescent="0.35">
      <c r="A53" s="54" t="s">
        <v>139</v>
      </c>
      <c r="B53" s="55">
        <v>45689</v>
      </c>
      <c r="C53" s="56" t="s">
        <v>48</v>
      </c>
      <c r="D53" s="56" t="s">
        <v>49</v>
      </c>
      <c r="E53" s="56" t="s">
        <v>14</v>
      </c>
      <c r="F53" s="56" t="s">
        <v>65</v>
      </c>
      <c r="G53" s="57">
        <v>0</v>
      </c>
      <c r="H53" s="58">
        <v>0</v>
      </c>
    </row>
    <row r="54" spans="1:8" x14ac:dyDescent="0.35">
      <c r="A54" s="49" t="s">
        <v>25</v>
      </c>
      <c r="B54" s="50">
        <v>45689</v>
      </c>
      <c r="C54" s="51" t="s">
        <v>48</v>
      </c>
      <c r="D54" s="51" t="s">
        <v>49</v>
      </c>
      <c r="E54" s="51" t="s">
        <v>116</v>
      </c>
      <c r="F54" s="51" t="s">
        <v>7</v>
      </c>
      <c r="G54" s="52">
        <v>0</v>
      </c>
      <c r="H54" s="53">
        <v>0</v>
      </c>
    </row>
    <row r="55" spans="1:8" x14ac:dyDescent="0.35">
      <c r="A55" s="54" t="s">
        <v>25</v>
      </c>
      <c r="B55" s="55">
        <v>45689</v>
      </c>
      <c r="C55" s="56" t="s">
        <v>48</v>
      </c>
      <c r="D55" s="56" t="s">
        <v>49</v>
      </c>
      <c r="E55" s="56" t="s">
        <v>116</v>
      </c>
      <c r="F55" s="56" t="s">
        <v>8</v>
      </c>
      <c r="G55" s="57">
        <v>0</v>
      </c>
      <c r="H55" s="58">
        <v>0</v>
      </c>
    </row>
    <row r="56" spans="1:8" x14ac:dyDescent="0.35">
      <c r="A56" s="49" t="s">
        <v>25</v>
      </c>
      <c r="B56" s="50">
        <v>45689</v>
      </c>
      <c r="C56" s="51" t="s">
        <v>48</v>
      </c>
      <c r="D56" s="51" t="s">
        <v>49</v>
      </c>
      <c r="E56" s="51" t="s">
        <v>116</v>
      </c>
      <c r="F56" s="51" t="s">
        <v>15</v>
      </c>
      <c r="G56" s="52">
        <v>9729.72972972973</v>
      </c>
      <c r="H56" s="53">
        <v>300</v>
      </c>
    </row>
    <row r="57" spans="1:8" x14ac:dyDescent="0.35">
      <c r="A57" s="54" t="s">
        <v>25</v>
      </c>
      <c r="B57" s="55">
        <v>45689</v>
      </c>
      <c r="C57" s="56" t="s">
        <v>48</v>
      </c>
      <c r="D57" s="56" t="s">
        <v>49</v>
      </c>
      <c r="E57" s="56" t="s">
        <v>116</v>
      </c>
      <c r="F57" s="56" t="s">
        <v>65</v>
      </c>
      <c r="G57" s="57">
        <v>0</v>
      </c>
      <c r="H57" s="58">
        <v>0</v>
      </c>
    </row>
    <row r="58" spans="1:8" x14ac:dyDescent="0.35">
      <c r="A58" s="49" t="s">
        <v>102</v>
      </c>
      <c r="B58" s="50">
        <v>45689</v>
      </c>
      <c r="C58" s="51" t="s">
        <v>48</v>
      </c>
      <c r="D58" s="51" t="s">
        <v>49</v>
      </c>
      <c r="E58" s="51" t="s">
        <v>51</v>
      </c>
      <c r="F58" s="51" t="s">
        <v>7</v>
      </c>
      <c r="G58" s="52">
        <v>0</v>
      </c>
      <c r="H58" s="53">
        <v>0</v>
      </c>
    </row>
    <row r="59" spans="1:8" x14ac:dyDescent="0.35">
      <c r="A59" s="54" t="s">
        <v>102</v>
      </c>
      <c r="B59" s="55">
        <v>45689</v>
      </c>
      <c r="C59" s="56" t="s">
        <v>48</v>
      </c>
      <c r="D59" s="56" t="s">
        <v>49</v>
      </c>
      <c r="E59" s="56" t="s">
        <v>51</v>
      </c>
      <c r="F59" s="56" t="s">
        <v>8</v>
      </c>
      <c r="G59" s="57">
        <v>0</v>
      </c>
      <c r="H59" s="58">
        <v>0</v>
      </c>
    </row>
    <row r="60" spans="1:8" x14ac:dyDescent="0.35">
      <c r="A60" s="49" t="s">
        <v>102</v>
      </c>
      <c r="B60" s="50">
        <v>45689</v>
      </c>
      <c r="C60" s="51" t="s">
        <v>48</v>
      </c>
      <c r="D60" s="51" t="s">
        <v>49</v>
      </c>
      <c r="E60" s="51" t="s">
        <v>51</v>
      </c>
      <c r="F60" s="51" t="s">
        <v>15</v>
      </c>
      <c r="G60" s="52">
        <v>226720.94594594592</v>
      </c>
      <c r="H60" s="53">
        <v>6500</v>
      </c>
    </row>
    <row r="61" spans="1:8" x14ac:dyDescent="0.35">
      <c r="A61" s="54" t="s">
        <v>102</v>
      </c>
      <c r="B61" s="55">
        <v>45689</v>
      </c>
      <c r="C61" s="56" t="s">
        <v>48</v>
      </c>
      <c r="D61" s="56" t="s">
        <v>49</v>
      </c>
      <c r="E61" s="56" t="s">
        <v>51</v>
      </c>
      <c r="F61" s="56" t="s">
        <v>65</v>
      </c>
      <c r="G61" s="57">
        <v>0</v>
      </c>
      <c r="H61" s="58">
        <v>0</v>
      </c>
    </row>
    <row r="62" spans="1:8" x14ac:dyDescent="0.35">
      <c r="A62" s="49" t="s">
        <v>118</v>
      </c>
      <c r="B62" s="50">
        <v>45689</v>
      </c>
      <c r="C62" s="51" t="s">
        <v>22</v>
      </c>
      <c r="D62" s="51" t="s">
        <v>11</v>
      </c>
      <c r="E62" s="51" t="s">
        <v>116</v>
      </c>
      <c r="F62" s="51" t="s">
        <v>7</v>
      </c>
      <c r="G62" s="52">
        <v>0</v>
      </c>
      <c r="H62" s="53">
        <v>0</v>
      </c>
    </row>
    <row r="63" spans="1:8" x14ac:dyDescent="0.35">
      <c r="A63" s="54" t="s">
        <v>118</v>
      </c>
      <c r="B63" s="55">
        <v>45689</v>
      </c>
      <c r="C63" s="56" t="s">
        <v>22</v>
      </c>
      <c r="D63" s="56" t="s">
        <v>11</v>
      </c>
      <c r="E63" s="56" t="s">
        <v>116</v>
      </c>
      <c r="F63" s="56" t="s">
        <v>8</v>
      </c>
      <c r="G63" s="57">
        <v>0</v>
      </c>
      <c r="H63" s="58">
        <v>0</v>
      </c>
    </row>
    <row r="64" spans="1:8" x14ac:dyDescent="0.35">
      <c r="A64" s="49" t="s">
        <v>118</v>
      </c>
      <c r="B64" s="50">
        <v>45689</v>
      </c>
      <c r="C64" s="51" t="s">
        <v>22</v>
      </c>
      <c r="D64" s="51" t="s">
        <v>11</v>
      </c>
      <c r="E64" s="51" t="s">
        <v>116</v>
      </c>
      <c r="F64" s="51" t="s">
        <v>15</v>
      </c>
      <c r="G64" s="52">
        <v>59115.789473684214</v>
      </c>
      <c r="H64" s="53">
        <v>2000</v>
      </c>
    </row>
    <row r="65" spans="1:8" x14ac:dyDescent="0.35">
      <c r="A65" s="54" t="s">
        <v>118</v>
      </c>
      <c r="B65" s="55">
        <v>45689</v>
      </c>
      <c r="C65" s="56" t="s">
        <v>22</v>
      </c>
      <c r="D65" s="56" t="s">
        <v>11</v>
      </c>
      <c r="E65" s="56" t="s">
        <v>116</v>
      </c>
      <c r="F65" s="56" t="s">
        <v>65</v>
      </c>
      <c r="G65" s="57">
        <v>0</v>
      </c>
      <c r="H65" s="58">
        <v>0</v>
      </c>
    </row>
    <row r="66" spans="1:8" x14ac:dyDescent="0.35">
      <c r="A66" s="49" t="s">
        <v>171</v>
      </c>
      <c r="B66" s="50">
        <v>45689</v>
      </c>
      <c r="C66" s="51" t="s">
        <v>22</v>
      </c>
      <c r="D66" s="51" t="s">
        <v>11</v>
      </c>
      <c r="E66" s="51" t="s">
        <v>209</v>
      </c>
      <c r="F66" s="51" t="s">
        <v>7</v>
      </c>
      <c r="G66" s="52">
        <v>0</v>
      </c>
      <c r="H66" s="53">
        <v>0</v>
      </c>
    </row>
    <row r="67" spans="1:8" x14ac:dyDescent="0.35">
      <c r="A67" s="54" t="s">
        <v>172</v>
      </c>
      <c r="B67" s="55">
        <v>45689</v>
      </c>
      <c r="C67" s="56" t="s">
        <v>22</v>
      </c>
      <c r="D67" s="56" t="s">
        <v>11</v>
      </c>
      <c r="E67" s="56" t="s">
        <v>13</v>
      </c>
      <c r="F67" s="56" t="s">
        <v>8</v>
      </c>
      <c r="G67" s="57">
        <v>0</v>
      </c>
      <c r="H67" s="58">
        <v>0</v>
      </c>
    </row>
    <row r="68" spans="1:8" x14ac:dyDescent="0.35">
      <c r="A68" s="49" t="s">
        <v>172</v>
      </c>
      <c r="B68" s="50">
        <v>45689</v>
      </c>
      <c r="C68" s="51" t="s">
        <v>22</v>
      </c>
      <c r="D68" s="51" t="s">
        <v>11</v>
      </c>
      <c r="E68" s="51" t="s">
        <v>13</v>
      </c>
      <c r="F68" s="51" t="s">
        <v>15</v>
      </c>
      <c r="G68" s="52">
        <v>0</v>
      </c>
      <c r="H68" s="53">
        <v>0</v>
      </c>
    </row>
    <row r="69" spans="1:8" x14ac:dyDescent="0.35">
      <c r="A69" s="54" t="s">
        <v>172</v>
      </c>
      <c r="B69" s="55">
        <v>45689</v>
      </c>
      <c r="C69" s="56" t="s">
        <v>22</v>
      </c>
      <c r="D69" s="56" t="s">
        <v>11</v>
      </c>
      <c r="E69" s="56" t="s">
        <v>13</v>
      </c>
      <c r="F69" s="56" t="s">
        <v>65</v>
      </c>
      <c r="G69" s="57">
        <v>0</v>
      </c>
      <c r="H69" s="58">
        <v>0</v>
      </c>
    </row>
    <row r="70" spans="1:8" x14ac:dyDescent="0.35">
      <c r="A70" s="49" t="s">
        <v>149</v>
      </c>
      <c r="B70" s="50">
        <v>45689</v>
      </c>
      <c r="C70" s="51" t="s">
        <v>23</v>
      </c>
      <c r="D70" s="51" t="s">
        <v>112</v>
      </c>
      <c r="E70" s="51" t="s">
        <v>113</v>
      </c>
      <c r="F70" s="51" t="s">
        <v>7</v>
      </c>
      <c r="G70" s="52">
        <v>0</v>
      </c>
      <c r="H70" s="53">
        <v>0</v>
      </c>
    </row>
    <row r="71" spans="1:8" x14ac:dyDescent="0.35">
      <c r="A71" s="54" t="s">
        <v>149</v>
      </c>
      <c r="B71" s="55">
        <v>45689</v>
      </c>
      <c r="C71" s="56" t="s">
        <v>23</v>
      </c>
      <c r="D71" s="56" t="s">
        <v>112</v>
      </c>
      <c r="E71" s="56" t="s">
        <v>113</v>
      </c>
      <c r="F71" s="56" t="s">
        <v>8</v>
      </c>
      <c r="G71" s="57">
        <v>0</v>
      </c>
      <c r="H71" s="58">
        <v>0</v>
      </c>
    </row>
    <row r="72" spans="1:8" x14ac:dyDescent="0.35">
      <c r="A72" s="49" t="s">
        <v>149</v>
      </c>
      <c r="B72" s="50">
        <v>45689</v>
      </c>
      <c r="C72" s="51" t="s">
        <v>23</v>
      </c>
      <c r="D72" s="51" t="s">
        <v>112</v>
      </c>
      <c r="E72" s="51" t="s">
        <v>113</v>
      </c>
      <c r="F72" s="51" t="s">
        <v>15</v>
      </c>
      <c r="G72" s="52">
        <v>86210.526315789481</v>
      </c>
      <c r="H72" s="53">
        <v>4200</v>
      </c>
    </row>
    <row r="73" spans="1:8" x14ac:dyDescent="0.35">
      <c r="A73" s="54" t="s">
        <v>149</v>
      </c>
      <c r="B73" s="55">
        <v>45689</v>
      </c>
      <c r="C73" s="56" t="s">
        <v>23</v>
      </c>
      <c r="D73" s="56" t="s">
        <v>112</v>
      </c>
      <c r="E73" s="56" t="s">
        <v>113</v>
      </c>
      <c r="F73" s="56" t="s">
        <v>65</v>
      </c>
      <c r="G73" s="57">
        <v>0</v>
      </c>
      <c r="H73" s="58">
        <v>0</v>
      </c>
    </row>
    <row r="74" spans="1:8" x14ac:dyDescent="0.35">
      <c r="A74" s="49" t="s">
        <v>150</v>
      </c>
      <c r="B74" s="50">
        <v>45689</v>
      </c>
      <c r="C74" s="51" t="s">
        <v>46</v>
      </c>
      <c r="D74" s="51" t="s">
        <v>87</v>
      </c>
      <c r="E74" s="51" t="s">
        <v>9</v>
      </c>
      <c r="F74" s="51" t="s">
        <v>7</v>
      </c>
      <c r="G74" s="52">
        <v>0</v>
      </c>
      <c r="H74" s="53">
        <v>0</v>
      </c>
    </row>
    <row r="75" spans="1:8" x14ac:dyDescent="0.35">
      <c r="A75" s="54" t="s">
        <v>150</v>
      </c>
      <c r="B75" s="55">
        <v>45689</v>
      </c>
      <c r="C75" s="56" t="s">
        <v>46</v>
      </c>
      <c r="D75" s="56" t="s">
        <v>87</v>
      </c>
      <c r="E75" s="56" t="s">
        <v>9</v>
      </c>
      <c r="F75" s="56" t="s">
        <v>8</v>
      </c>
      <c r="G75" s="57">
        <v>0</v>
      </c>
      <c r="H75" s="58">
        <v>0</v>
      </c>
    </row>
    <row r="76" spans="1:8" x14ac:dyDescent="0.35">
      <c r="A76" s="49" t="s">
        <v>150</v>
      </c>
      <c r="B76" s="50">
        <v>45689</v>
      </c>
      <c r="C76" s="51" t="s">
        <v>46</v>
      </c>
      <c r="D76" s="51" t="s">
        <v>87</v>
      </c>
      <c r="E76" s="51" t="s">
        <v>9</v>
      </c>
      <c r="F76" s="51" t="s">
        <v>15</v>
      </c>
      <c r="G76" s="52">
        <v>142504.13</v>
      </c>
      <c r="H76" s="53">
        <v>4200</v>
      </c>
    </row>
    <row r="77" spans="1:8" x14ac:dyDescent="0.35">
      <c r="A77" s="54" t="s">
        <v>150</v>
      </c>
      <c r="B77" s="55">
        <v>45689</v>
      </c>
      <c r="C77" s="56" t="s">
        <v>46</v>
      </c>
      <c r="D77" s="56" t="s">
        <v>87</v>
      </c>
      <c r="E77" s="56" t="s">
        <v>9</v>
      </c>
      <c r="F77" s="56" t="s">
        <v>65</v>
      </c>
      <c r="G77" s="57">
        <v>0</v>
      </c>
      <c r="H77" s="58">
        <v>0</v>
      </c>
    </row>
    <row r="78" spans="1:8" x14ac:dyDescent="0.35">
      <c r="A78" s="49" t="s">
        <v>166</v>
      </c>
      <c r="B78" s="50">
        <v>45689</v>
      </c>
      <c r="C78" s="51" t="s">
        <v>25</v>
      </c>
      <c r="D78" s="51" t="s">
        <v>12</v>
      </c>
      <c r="E78" s="51" t="s">
        <v>9</v>
      </c>
      <c r="F78" s="51" t="s">
        <v>7</v>
      </c>
      <c r="G78" s="52">
        <v>0</v>
      </c>
      <c r="H78" s="53">
        <v>0</v>
      </c>
    </row>
    <row r="79" spans="1:8" x14ac:dyDescent="0.35">
      <c r="A79" s="54" t="s">
        <v>166</v>
      </c>
      <c r="B79" s="55">
        <v>45689</v>
      </c>
      <c r="C79" s="56" t="s">
        <v>25</v>
      </c>
      <c r="D79" s="56" t="s">
        <v>12</v>
      </c>
      <c r="E79" s="56" t="s">
        <v>9</v>
      </c>
      <c r="F79" s="56" t="s">
        <v>8</v>
      </c>
      <c r="G79" s="57">
        <v>0</v>
      </c>
      <c r="H79" s="58">
        <v>0</v>
      </c>
    </row>
    <row r="80" spans="1:8" x14ac:dyDescent="0.35">
      <c r="A80" s="49" t="s">
        <v>166</v>
      </c>
      <c r="B80" s="50">
        <v>45689</v>
      </c>
      <c r="C80" s="51" t="s">
        <v>25</v>
      </c>
      <c r="D80" s="51" t="s">
        <v>12</v>
      </c>
      <c r="E80" s="51" t="s">
        <v>9</v>
      </c>
      <c r="F80" s="51" t="s">
        <v>15</v>
      </c>
      <c r="G80" s="52">
        <v>164947.60916666666</v>
      </c>
      <c r="H80" s="53">
        <v>6100</v>
      </c>
    </row>
    <row r="81" spans="1:8" x14ac:dyDescent="0.35">
      <c r="A81" s="54" t="s">
        <v>166</v>
      </c>
      <c r="B81" s="55">
        <v>45689</v>
      </c>
      <c r="C81" s="56" t="s">
        <v>25</v>
      </c>
      <c r="D81" s="56" t="s">
        <v>12</v>
      </c>
      <c r="E81" s="56" t="s">
        <v>9</v>
      </c>
      <c r="F81" s="56" t="s">
        <v>65</v>
      </c>
      <c r="G81" s="57">
        <v>0</v>
      </c>
      <c r="H81" s="58">
        <v>0</v>
      </c>
    </row>
    <row r="82" spans="1:8" x14ac:dyDescent="0.35">
      <c r="A82" s="49" t="s">
        <v>134</v>
      </c>
      <c r="B82" s="50">
        <v>45689</v>
      </c>
      <c r="C82" s="51" t="s">
        <v>57</v>
      </c>
      <c r="D82" s="51" t="s">
        <v>58</v>
      </c>
      <c r="E82" s="51" t="s">
        <v>10</v>
      </c>
      <c r="F82" s="51" t="s">
        <v>7</v>
      </c>
      <c r="G82" s="52">
        <v>0</v>
      </c>
      <c r="H82" s="53">
        <v>0</v>
      </c>
    </row>
    <row r="83" spans="1:8" x14ac:dyDescent="0.35">
      <c r="A83" s="54" t="s">
        <v>134</v>
      </c>
      <c r="B83" s="55">
        <v>45689</v>
      </c>
      <c r="C83" s="56" t="s">
        <v>57</v>
      </c>
      <c r="D83" s="56" t="s">
        <v>58</v>
      </c>
      <c r="E83" s="56" t="s">
        <v>10</v>
      </c>
      <c r="F83" s="56" t="s">
        <v>8</v>
      </c>
      <c r="G83" s="57">
        <v>0</v>
      </c>
      <c r="H83" s="58">
        <v>0</v>
      </c>
    </row>
    <row r="84" spans="1:8" x14ac:dyDescent="0.35">
      <c r="A84" s="49" t="s">
        <v>134</v>
      </c>
      <c r="B84" s="50">
        <v>45689</v>
      </c>
      <c r="C84" s="51" t="s">
        <v>57</v>
      </c>
      <c r="D84" s="51" t="s">
        <v>58</v>
      </c>
      <c r="E84" s="51" t="s">
        <v>10</v>
      </c>
      <c r="F84" s="51" t="s">
        <v>15</v>
      </c>
      <c r="G84" s="52">
        <v>17311.068923076924</v>
      </c>
      <c r="H84" s="53">
        <v>550</v>
      </c>
    </row>
    <row r="85" spans="1:8" x14ac:dyDescent="0.35">
      <c r="A85" s="54" t="s">
        <v>134</v>
      </c>
      <c r="B85" s="55">
        <v>45689</v>
      </c>
      <c r="C85" s="56" t="s">
        <v>57</v>
      </c>
      <c r="D85" s="56" t="s">
        <v>58</v>
      </c>
      <c r="E85" s="56" t="s">
        <v>10</v>
      </c>
      <c r="F85" s="56" t="s">
        <v>65</v>
      </c>
      <c r="G85" s="57">
        <v>0</v>
      </c>
      <c r="H85" s="58">
        <v>0</v>
      </c>
    </row>
    <row r="86" spans="1:8" x14ac:dyDescent="0.35">
      <c r="A86" s="59">
        <v>20105</v>
      </c>
      <c r="B86" s="50">
        <v>45689</v>
      </c>
      <c r="C86" s="51" t="s">
        <v>26</v>
      </c>
      <c r="D86" s="51" t="s">
        <v>19</v>
      </c>
      <c r="E86" s="51" t="s">
        <v>13</v>
      </c>
      <c r="F86" s="51" t="s">
        <v>7</v>
      </c>
      <c r="G86" s="52">
        <v>0</v>
      </c>
      <c r="H86" s="53">
        <v>0</v>
      </c>
    </row>
    <row r="87" spans="1:8" x14ac:dyDescent="0.35">
      <c r="A87" s="60">
        <v>20105</v>
      </c>
      <c r="B87" s="55">
        <v>45689</v>
      </c>
      <c r="C87" s="56" t="s">
        <v>26</v>
      </c>
      <c r="D87" s="56" t="s">
        <v>19</v>
      </c>
      <c r="E87" s="56" t="s">
        <v>13</v>
      </c>
      <c r="F87" s="56" t="s">
        <v>8</v>
      </c>
      <c r="G87" s="57">
        <v>0</v>
      </c>
      <c r="H87" s="58">
        <v>0</v>
      </c>
    </row>
    <row r="88" spans="1:8" x14ac:dyDescent="0.35">
      <c r="A88" s="59">
        <v>20105</v>
      </c>
      <c r="B88" s="50">
        <v>45689</v>
      </c>
      <c r="C88" s="51" t="s">
        <v>26</v>
      </c>
      <c r="D88" s="51" t="s">
        <v>19</v>
      </c>
      <c r="E88" s="51" t="s">
        <v>13</v>
      </c>
      <c r="F88" s="51" t="s">
        <v>15</v>
      </c>
      <c r="G88" s="52">
        <v>16933.880412371134</v>
      </c>
      <c r="H88" s="53">
        <v>545</v>
      </c>
    </row>
    <row r="89" spans="1:8" x14ac:dyDescent="0.35">
      <c r="A89" s="60">
        <v>20105</v>
      </c>
      <c r="B89" s="55">
        <v>45689</v>
      </c>
      <c r="C89" s="56" t="s">
        <v>26</v>
      </c>
      <c r="D89" s="56" t="s">
        <v>19</v>
      </c>
      <c r="E89" s="56" t="s">
        <v>13</v>
      </c>
      <c r="F89" s="56" t="s">
        <v>65</v>
      </c>
      <c r="G89" s="57">
        <v>0</v>
      </c>
      <c r="H89" s="58">
        <v>0</v>
      </c>
    </row>
    <row r="90" spans="1:8" x14ac:dyDescent="0.35">
      <c r="A90" s="49" t="s">
        <v>142</v>
      </c>
      <c r="B90" s="50">
        <v>45717</v>
      </c>
      <c r="C90" s="51" t="s">
        <v>48</v>
      </c>
      <c r="D90" s="51" t="s">
        <v>49</v>
      </c>
      <c r="E90" s="51" t="s">
        <v>52</v>
      </c>
      <c r="F90" s="51" t="s">
        <v>7</v>
      </c>
      <c r="G90" s="52">
        <v>0</v>
      </c>
      <c r="H90" s="53">
        <v>0</v>
      </c>
    </row>
    <row r="91" spans="1:8" x14ac:dyDescent="0.35">
      <c r="A91" s="54" t="s">
        <v>142</v>
      </c>
      <c r="B91" s="55">
        <v>45717</v>
      </c>
      <c r="C91" s="56" t="s">
        <v>48</v>
      </c>
      <c r="D91" s="56" t="s">
        <v>49</v>
      </c>
      <c r="E91" s="56" t="s">
        <v>52</v>
      </c>
      <c r="F91" s="56" t="s">
        <v>8</v>
      </c>
      <c r="G91" s="57">
        <v>0</v>
      </c>
      <c r="H91" s="58">
        <v>0</v>
      </c>
    </row>
    <row r="92" spans="1:8" x14ac:dyDescent="0.35">
      <c r="A92" s="49" t="s">
        <v>142</v>
      </c>
      <c r="B92" s="50">
        <v>45717</v>
      </c>
      <c r="C92" s="51" t="s">
        <v>48</v>
      </c>
      <c r="D92" s="51" t="s">
        <v>49</v>
      </c>
      <c r="E92" s="51" t="s">
        <v>52</v>
      </c>
      <c r="F92" s="51" t="s">
        <v>15</v>
      </c>
      <c r="G92" s="52">
        <v>89789.370062370057</v>
      </c>
      <c r="H92" s="53">
        <v>2040</v>
      </c>
    </row>
    <row r="93" spans="1:8" x14ac:dyDescent="0.35">
      <c r="A93" s="54" t="s">
        <v>142</v>
      </c>
      <c r="B93" s="55">
        <v>45717</v>
      </c>
      <c r="C93" s="56" t="s">
        <v>48</v>
      </c>
      <c r="D93" s="56" t="s">
        <v>49</v>
      </c>
      <c r="E93" s="56" t="s">
        <v>52</v>
      </c>
      <c r="F93" s="56" t="s">
        <v>65</v>
      </c>
      <c r="G93" s="57">
        <v>0</v>
      </c>
      <c r="H93" s="58">
        <v>0</v>
      </c>
    </row>
    <row r="94" spans="1:8" x14ac:dyDescent="0.35">
      <c r="A94" s="49" t="s">
        <v>139</v>
      </c>
      <c r="B94" s="50">
        <v>45717</v>
      </c>
      <c r="C94" s="51" t="s">
        <v>48</v>
      </c>
      <c r="D94" s="51" t="s">
        <v>49</v>
      </c>
      <c r="E94" s="51" t="s">
        <v>14</v>
      </c>
      <c r="F94" s="51" t="s">
        <v>7</v>
      </c>
      <c r="G94" s="52">
        <v>0</v>
      </c>
      <c r="H94" s="53">
        <v>0</v>
      </c>
    </row>
    <row r="95" spans="1:8" x14ac:dyDescent="0.35">
      <c r="A95" s="54" t="s">
        <v>139</v>
      </c>
      <c r="B95" s="55">
        <v>45717</v>
      </c>
      <c r="C95" s="56" t="s">
        <v>48</v>
      </c>
      <c r="D95" s="56" t="s">
        <v>49</v>
      </c>
      <c r="E95" s="56" t="s">
        <v>14</v>
      </c>
      <c r="F95" s="56" t="s">
        <v>8</v>
      </c>
      <c r="G95" s="57">
        <v>0</v>
      </c>
      <c r="H95" s="58">
        <v>0</v>
      </c>
    </row>
    <row r="96" spans="1:8" x14ac:dyDescent="0.35">
      <c r="A96" s="49" t="s">
        <v>139</v>
      </c>
      <c r="B96" s="50">
        <v>45717</v>
      </c>
      <c r="C96" s="51" t="s">
        <v>48</v>
      </c>
      <c r="D96" s="51" t="s">
        <v>49</v>
      </c>
      <c r="E96" s="51" t="s">
        <v>14</v>
      </c>
      <c r="F96" s="51" t="s">
        <v>15</v>
      </c>
      <c r="G96" s="52">
        <v>28839.059251559258</v>
      </c>
      <c r="H96" s="53">
        <v>1500</v>
      </c>
    </row>
    <row r="97" spans="1:8" x14ac:dyDescent="0.35">
      <c r="A97" s="54" t="s">
        <v>139</v>
      </c>
      <c r="B97" s="55">
        <v>45717</v>
      </c>
      <c r="C97" s="56" t="s">
        <v>48</v>
      </c>
      <c r="D97" s="56" t="s">
        <v>49</v>
      </c>
      <c r="E97" s="56" t="s">
        <v>14</v>
      </c>
      <c r="F97" s="56" t="s">
        <v>65</v>
      </c>
      <c r="G97" s="57">
        <v>0</v>
      </c>
      <c r="H97" s="58">
        <v>0</v>
      </c>
    </row>
    <row r="98" spans="1:8" x14ac:dyDescent="0.35">
      <c r="A98" s="49" t="s">
        <v>25</v>
      </c>
      <c r="B98" s="50">
        <v>45717</v>
      </c>
      <c r="C98" s="51" t="s">
        <v>48</v>
      </c>
      <c r="D98" s="51" t="s">
        <v>49</v>
      </c>
      <c r="E98" s="51" t="s">
        <v>116</v>
      </c>
      <c r="F98" s="51" t="s">
        <v>7</v>
      </c>
      <c r="G98" s="52">
        <v>0</v>
      </c>
      <c r="H98" s="53">
        <v>0</v>
      </c>
    </row>
    <row r="99" spans="1:8" x14ac:dyDescent="0.35">
      <c r="A99" s="54" t="s">
        <v>25</v>
      </c>
      <c r="B99" s="55">
        <v>45717</v>
      </c>
      <c r="C99" s="56" t="s">
        <v>48</v>
      </c>
      <c r="D99" s="56" t="s">
        <v>49</v>
      </c>
      <c r="E99" s="56" t="s">
        <v>116</v>
      </c>
      <c r="F99" s="56" t="s">
        <v>8</v>
      </c>
      <c r="G99" s="57">
        <v>0</v>
      </c>
      <c r="H99" s="58">
        <v>0</v>
      </c>
    </row>
    <row r="100" spans="1:8" x14ac:dyDescent="0.35">
      <c r="A100" s="49" t="s">
        <v>25</v>
      </c>
      <c r="B100" s="50">
        <v>45717</v>
      </c>
      <c r="C100" s="51" t="s">
        <v>48</v>
      </c>
      <c r="D100" s="51" t="s">
        <v>49</v>
      </c>
      <c r="E100" s="51" t="s">
        <v>116</v>
      </c>
      <c r="F100" s="51" t="s">
        <v>15</v>
      </c>
      <c r="G100" s="52">
        <v>9729.72972972973</v>
      </c>
      <c r="H100" s="53">
        <v>300</v>
      </c>
    </row>
    <row r="101" spans="1:8" x14ac:dyDescent="0.35">
      <c r="A101" s="54" t="s">
        <v>25</v>
      </c>
      <c r="B101" s="55">
        <v>45717</v>
      </c>
      <c r="C101" s="56" t="s">
        <v>48</v>
      </c>
      <c r="D101" s="56" t="s">
        <v>49</v>
      </c>
      <c r="E101" s="56" t="s">
        <v>116</v>
      </c>
      <c r="F101" s="56" t="s">
        <v>65</v>
      </c>
      <c r="G101" s="57">
        <v>0</v>
      </c>
      <c r="H101" s="58">
        <v>0</v>
      </c>
    </row>
    <row r="102" spans="1:8" x14ac:dyDescent="0.35">
      <c r="A102" s="49" t="s">
        <v>102</v>
      </c>
      <c r="B102" s="50">
        <v>45717</v>
      </c>
      <c r="C102" s="51" t="s">
        <v>48</v>
      </c>
      <c r="D102" s="51" t="s">
        <v>49</v>
      </c>
      <c r="E102" s="51" t="s">
        <v>51</v>
      </c>
      <c r="F102" s="51" t="s">
        <v>7</v>
      </c>
      <c r="G102" s="52">
        <v>0</v>
      </c>
      <c r="H102" s="53">
        <v>0</v>
      </c>
    </row>
    <row r="103" spans="1:8" x14ac:dyDescent="0.35">
      <c r="A103" s="54" t="s">
        <v>102</v>
      </c>
      <c r="B103" s="55">
        <v>45717</v>
      </c>
      <c r="C103" s="56" t="s">
        <v>48</v>
      </c>
      <c r="D103" s="56" t="s">
        <v>49</v>
      </c>
      <c r="E103" s="56" t="s">
        <v>51</v>
      </c>
      <c r="F103" s="56" t="s">
        <v>8</v>
      </c>
      <c r="G103" s="57">
        <v>0</v>
      </c>
      <c r="H103" s="58">
        <v>0</v>
      </c>
    </row>
    <row r="104" spans="1:8" x14ac:dyDescent="0.35">
      <c r="A104" s="49" t="s">
        <v>102</v>
      </c>
      <c r="B104" s="50">
        <v>45717</v>
      </c>
      <c r="C104" s="51" t="s">
        <v>48</v>
      </c>
      <c r="D104" s="51" t="s">
        <v>49</v>
      </c>
      <c r="E104" s="51" t="s">
        <v>51</v>
      </c>
      <c r="F104" s="51" t="s">
        <v>15</v>
      </c>
      <c r="G104" s="52">
        <v>226720.94594594592</v>
      </c>
      <c r="H104" s="53">
        <v>6500</v>
      </c>
    </row>
    <row r="105" spans="1:8" x14ac:dyDescent="0.35">
      <c r="A105" s="54" t="s">
        <v>102</v>
      </c>
      <c r="B105" s="55">
        <v>45717</v>
      </c>
      <c r="C105" s="56" t="s">
        <v>48</v>
      </c>
      <c r="D105" s="56" t="s">
        <v>49</v>
      </c>
      <c r="E105" s="56" t="s">
        <v>51</v>
      </c>
      <c r="F105" s="56" t="s">
        <v>65</v>
      </c>
      <c r="G105" s="57">
        <v>0</v>
      </c>
      <c r="H105" s="58">
        <v>0</v>
      </c>
    </row>
    <row r="106" spans="1:8" x14ac:dyDescent="0.35">
      <c r="A106" s="49" t="s">
        <v>118</v>
      </c>
      <c r="B106" s="50">
        <v>45717</v>
      </c>
      <c r="C106" s="51" t="s">
        <v>22</v>
      </c>
      <c r="D106" s="51" t="s">
        <v>11</v>
      </c>
      <c r="E106" s="51" t="s">
        <v>116</v>
      </c>
      <c r="F106" s="51" t="s">
        <v>7</v>
      </c>
      <c r="G106" s="52">
        <v>0</v>
      </c>
      <c r="H106" s="53">
        <v>0</v>
      </c>
    </row>
    <row r="107" spans="1:8" x14ac:dyDescent="0.35">
      <c r="A107" s="54" t="s">
        <v>118</v>
      </c>
      <c r="B107" s="55">
        <v>45717</v>
      </c>
      <c r="C107" s="56" t="s">
        <v>22</v>
      </c>
      <c r="D107" s="56" t="s">
        <v>11</v>
      </c>
      <c r="E107" s="56" t="s">
        <v>116</v>
      </c>
      <c r="F107" s="56" t="s">
        <v>8</v>
      </c>
      <c r="G107" s="57">
        <v>0</v>
      </c>
      <c r="H107" s="58">
        <v>0</v>
      </c>
    </row>
    <row r="108" spans="1:8" x14ac:dyDescent="0.35">
      <c r="A108" s="49" t="s">
        <v>118</v>
      </c>
      <c r="B108" s="50">
        <v>45717</v>
      </c>
      <c r="C108" s="51" t="s">
        <v>22</v>
      </c>
      <c r="D108" s="51" t="s">
        <v>11</v>
      </c>
      <c r="E108" s="51" t="s">
        <v>116</v>
      </c>
      <c r="F108" s="51" t="s">
        <v>15</v>
      </c>
      <c r="G108" s="52">
        <v>59115.789473684214</v>
      </c>
      <c r="H108" s="53">
        <v>2000</v>
      </c>
    </row>
    <row r="109" spans="1:8" x14ac:dyDescent="0.35">
      <c r="A109" s="54" t="s">
        <v>118</v>
      </c>
      <c r="B109" s="55">
        <v>45717</v>
      </c>
      <c r="C109" s="56" t="s">
        <v>22</v>
      </c>
      <c r="D109" s="56" t="s">
        <v>11</v>
      </c>
      <c r="E109" s="56" t="s">
        <v>116</v>
      </c>
      <c r="F109" s="56" t="s">
        <v>65</v>
      </c>
      <c r="G109" s="57">
        <v>0</v>
      </c>
      <c r="H109" s="58">
        <v>0</v>
      </c>
    </row>
    <row r="110" spans="1:8" x14ac:dyDescent="0.35">
      <c r="A110" s="49" t="s">
        <v>172</v>
      </c>
      <c r="B110" s="50">
        <v>45717</v>
      </c>
      <c r="C110" s="51" t="s">
        <v>22</v>
      </c>
      <c r="D110" s="51" t="s">
        <v>11</v>
      </c>
      <c r="E110" s="51" t="s">
        <v>13</v>
      </c>
      <c r="F110" s="51" t="s">
        <v>7</v>
      </c>
      <c r="G110" s="52">
        <v>0</v>
      </c>
      <c r="H110" s="53">
        <v>0</v>
      </c>
    </row>
    <row r="111" spans="1:8" x14ac:dyDescent="0.35">
      <c r="A111" s="54" t="s">
        <v>172</v>
      </c>
      <c r="B111" s="55">
        <v>45717</v>
      </c>
      <c r="C111" s="56" t="s">
        <v>22</v>
      </c>
      <c r="D111" s="56" t="s">
        <v>11</v>
      </c>
      <c r="E111" s="56" t="s">
        <v>13</v>
      </c>
      <c r="F111" s="56" t="s">
        <v>8</v>
      </c>
      <c r="G111" s="57">
        <v>0</v>
      </c>
      <c r="H111" s="58">
        <v>0</v>
      </c>
    </row>
    <row r="112" spans="1:8" x14ac:dyDescent="0.35">
      <c r="A112" s="49" t="s">
        <v>172</v>
      </c>
      <c r="B112" s="50">
        <v>45717</v>
      </c>
      <c r="C112" s="51" t="s">
        <v>22</v>
      </c>
      <c r="D112" s="51" t="s">
        <v>11</v>
      </c>
      <c r="E112" s="51" t="s">
        <v>13</v>
      </c>
      <c r="F112" s="51" t="s">
        <v>15</v>
      </c>
      <c r="G112" s="52">
        <v>0</v>
      </c>
      <c r="H112" s="53">
        <v>0</v>
      </c>
    </row>
    <row r="113" spans="1:8" x14ac:dyDescent="0.35">
      <c r="A113" s="54" t="s">
        <v>172</v>
      </c>
      <c r="B113" s="55">
        <v>45717</v>
      </c>
      <c r="C113" s="56" t="s">
        <v>22</v>
      </c>
      <c r="D113" s="56" t="s">
        <v>11</v>
      </c>
      <c r="E113" s="56" t="s">
        <v>13</v>
      </c>
      <c r="F113" s="56" t="s">
        <v>65</v>
      </c>
      <c r="G113" s="57">
        <v>0</v>
      </c>
      <c r="H113" s="58">
        <v>0</v>
      </c>
    </row>
    <row r="114" spans="1:8" x14ac:dyDescent="0.35">
      <c r="A114" s="49" t="s">
        <v>149</v>
      </c>
      <c r="B114" s="50">
        <v>45717</v>
      </c>
      <c r="C114" s="51" t="s">
        <v>23</v>
      </c>
      <c r="D114" s="51" t="s">
        <v>112</v>
      </c>
      <c r="E114" s="51" t="s">
        <v>113</v>
      </c>
      <c r="F114" s="51" t="s">
        <v>7</v>
      </c>
      <c r="G114" s="52">
        <v>0</v>
      </c>
      <c r="H114" s="53">
        <v>0</v>
      </c>
    </row>
    <row r="115" spans="1:8" x14ac:dyDescent="0.35">
      <c r="A115" s="54" t="s">
        <v>149</v>
      </c>
      <c r="B115" s="55">
        <v>45717</v>
      </c>
      <c r="C115" s="56" t="s">
        <v>23</v>
      </c>
      <c r="D115" s="56" t="s">
        <v>112</v>
      </c>
      <c r="E115" s="56" t="s">
        <v>113</v>
      </c>
      <c r="F115" s="56" t="s">
        <v>8</v>
      </c>
      <c r="G115" s="57">
        <v>0</v>
      </c>
      <c r="H115" s="58">
        <v>0</v>
      </c>
    </row>
    <row r="116" spans="1:8" x14ac:dyDescent="0.35">
      <c r="A116" s="49" t="s">
        <v>149</v>
      </c>
      <c r="B116" s="50">
        <v>45717</v>
      </c>
      <c r="C116" s="51" t="s">
        <v>23</v>
      </c>
      <c r="D116" s="51" t="s">
        <v>112</v>
      </c>
      <c r="E116" s="51" t="s">
        <v>113</v>
      </c>
      <c r="F116" s="51" t="s">
        <v>15</v>
      </c>
      <c r="G116" s="52">
        <v>86210.526315789481</v>
      </c>
      <c r="H116" s="53">
        <v>4200</v>
      </c>
    </row>
    <row r="117" spans="1:8" x14ac:dyDescent="0.35">
      <c r="A117" s="54" t="s">
        <v>149</v>
      </c>
      <c r="B117" s="55">
        <v>45717</v>
      </c>
      <c r="C117" s="56" t="s">
        <v>23</v>
      </c>
      <c r="D117" s="56" t="s">
        <v>112</v>
      </c>
      <c r="E117" s="56" t="s">
        <v>113</v>
      </c>
      <c r="F117" s="56" t="s">
        <v>65</v>
      </c>
      <c r="G117" s="57">
        <v>0</v>
      </c>
      <c r="H117" s="58">
        <v>0</v>
      </c>
    </row>
    <row r="118" spans="1:8" x14ac:dyDescent="0.35">
      <c r="A118" s="49" t="s">
        <v>177</v>
      </c>
      <c r="B118" s="50">
        <v>45717</v>
      </c>
      <c r="C118" s="51" t="s">
        <v>46</v>
      </c>
      <c r="D118" s="51" t="s">
        <v>87</v>
      </c>
      <c r="E118" s="51" t="s">
        <v>9</v>
      </c>
      <c r="F118" s="51" t="s">
        <v>7</v>
      </c>
      <c r="G118" s="52">
        <v>0</v>
      </c>
      <c r="H118" s="53">
        <v>0</v>
      </c>
    </row>
    <row r="119" spans="1:8" x14ac:dyDescent="0.35">
      <c r="A119" s="54" t="s">
        <v>177</v>
      </c>
      <c r="B119" s="55">
        <v>45717</v>
      </c>
      <c r="C119" s="56" t="s">
        <v>46</v>
      </c>
      <c r="D119" s="56" t="s">
        <v>87</v>
      </c>
      <c r="E119" s="56" t="s">
        <v>9</v>
      </c>
      <c r="F119" s="56" t="s">
        <v>8</v>
      </c>
      <c r="G119" s="57">
        <v>0</v>
      </c>
      <c r="H119" s="58">
        <v>0</v>
      </c>
    </row>
    <row r="120" spans="1:8" x14ac:dyDescent="0.35">
      <c r="A120" s="49" t="s">
        <v>177</v>
      </c>
      <c r="B120" s="50">
        <v>45717</v>
      </c>
      <c r="C120" s="51" t="s">
        <v>46</v>
      </c>
      <c r="D120" s="51" t="s">
        <v>87</v>
      </c>
      <c r="E120" s="51" t="s">
        <v>9</v>
      </c>
      <c r="F120" s="51" t="s">
        <v>15</v>
      </c>
      <c r="G120" s="52">
        <v>142504.13</v>
      </c>
      <c r="H120" s="53">
        <v>4200</v>
      </c>
    </row>
    <row r="121" spans="1:8" x14ac:dyDescent="0.35">
      <c r="A121" s="54" t="s">
        <v>177</v>
      </c>
      <c r="B121" s="55">
        <v>45717</v>
      </c>
      <c r="C121" s="56" t="s">
        <v>46</v>
      </c>
      <c r="D121" s="56" t="s">
        <v>87</v>
      </c>
      <c r="E121" s="56" t="s">
        <v>9</v>
      </c>
      <c r="F121" s="56" t="s">
        <v>65</v>
      </c>
      <c r="G121" s="57">
        <v>0</v>
      </c>
      <c r="H121" s="58">
        <v>0</v>
      </c>
    </row>
    <row r="122" spans="1:8" x14ac:dyDescent="0.35">
      <c r="A122" s="49" t="s">
        <v>166</v>
      </c>
      <c r="B122" s="50">
        <v>45689</v>
      </c>
      <c r="C122" s="51" t="s">
        <v>25</v>
      </c>
      <c r="D122" s="51" t="s">
        <v>12</v>
      </c>
      <c r="E122" s="51" t="s">
        <v>9</v>
      </c>
      <c r="F122" s="51" t="s">
        <v>7</v>
      </c>
      <c r="G122" s="52">
        <v>0</v>
      </c>
      <c r="H122" s="53">
        <v>0</v>
      </c>
    </row>
    <row r="123" spans="1:8" x14ac:dyDescent="0.35">
      <c r="A123" s="54" t="s">
        <v>169</v>
      </c>
      <c r="B123" s="55">
        <v>45689</v>
      </c>
      <c r="C123" s="56" t="s">
        <v>25</v>
      </c>
      <c r="D123" s="56" t="s">
        <v>12</v>
      </c>
      <c r="E123" s="56" t="s">
        <v>170</v>
      </c>
      <c r="F123" s="56" t="s">
        <v>8</v>
      </c>
      <c r="G123" s="57">
        <v>0</v>
      </c>
      <c r="H123" s="58">
        <v>0</v>
      </c>
    </row>
    <row r="124" spans="1:8" x14ac:dyDescent="0.35">
      <c r="A124" s="49" t="s">
        <v>169</v>
      </c>
      <c r="B124" s="50">
        <v>45689</v>
      </c>
      <c r="C124" s="51" t="s">
        <v>25</v>
      </c>
      <c r="D124" s="51" t="s">
        <v>12</v>
      </c>
      <c r="E124" s="51" t="s">
        <v>170</v>
      </c>
      <c r="F124" s="51" t="s">
        <v>15</v>
      </c>
      <c r="G124" s="52">
        <v>0</v>
      </c>
      <c r="H124" s="53">
        <v>0</v>
      </c>
    </row>
    <row r="125" spans="1:8" x14ac:dyDescent="0.35">
      <c r="A125" s="54" t="s">
        <v>169</v>
      </c>
      <c r="B125" s="55">
        <v>45689</v>
      </c>
      <c r="C125" s="56" t="s">
        <v>25</v>
      </c>
      <c r="D125" s="56" t="s">
        <v>12</v>
      </c>
      <c r="E125" s="56" t="s">
        <v>170</v>
      </c>
      <c r="F125" s="56" t="s">
        <v>65</v>
      </c>
      <c r="G125" s="57">
        <v>0</v>
      </c>
      <c r="H125" s="58">
        <v>0</v>
      </c>
    </row>
    <row r="126" spans="1:8" x14ac:dyDescent="0.35">
      <c r="A126" s="49" t="s">
        <v>134</v>
      </c>
      <c r="B126" s="50">
        <v>45717</v>
      </c>
      <c r="C126" s="51" t="s">
        <v>57</v>
      </c>
      <c r="D126" s="51" t="s">
        <v>58</v>
      </c>
      <c r="E126" s="51" t="s">
        <v>10</v>
      </c>
      <c r="F126" s="51" t="s">
        <v>7</v>
      </c>
      <c r="G126" s="52">
        <v>0</v>
      </c>
      <c r="H126" s="53">
        <v>0</v>
      </c>
    </row>
    <row r="127" spans="1:8" x14ac:dyDescent="0.35">
      <c r="A127" s="54" t="s">
        <v>134</v>
      </c>
      <c r="B127" s="55">
        <v>45717</v>
      </c>
      <c r="C127" s="56" t="s">
        <v>57</v>
      </c>
      <c r="D127" s="56" t="s">
        <v>58</v>
      </c>
      <c r="E127" s="56" t="s">
        <v>10</v>
      </c>
      <c r="F127" s="56" t="s">
        <v>8</v>
      </c>
      <c r="G127" s="57">
        <v>0</v>
      </c>
      <c r="H127" s="58">
        <v>0</v>
      </c>
    </row>
    <row r="128" spans="1:8" x14ac:dyDescent="0.35">
      <c r="A128" s="49" t="s">
        <v>134</v>
      </c>
      <c r="B128" s="50">
        <v>45717</v>
      </c>
      <c r="C128" s="51" t="s">
        <v>57</v>
      </c>
      <c r="D128" s="51" t="s">
        <v>58</v>
      </c>
      <c r="E128" s="51" t="s">
        <v>10</v>
      </c>
      <c r="F128" s="51" t="s">
        <v>15</v>
      </c>
      <c r="G128" s="52">
        <v>17311.068923076924</v>
      </c>
      <c r="H128" s="53">
        <v>550</v>
      </c>
    </row>
    <row r="129" spans="1:8" x14ac:dyDescent="0.35">
      <c r="A129" s="54" t="s">
        <v>134</v>
      </c>
      <c r="B129" s="55">
        <v>45717</v>
      </c>
      <c r="C129" s="56" t="s">
        <v>57</v>
      </c>
      <c r="D129" s="56" t="s">
        <v>58</v>
      </c>
      <c r="E129" s="56" t="s">
        <v>10</v>
      </c>
      <c r="F129" s="56" t="s">
        <v>65</v>
      </c>
      <c r="G129" s="57">
        <v>0</v>
      </c>
      <c r="H129" s="58">
        <v>0</v>
      </c>
    </row>
    <row r="130" spans="1:8" x14ac:dyDescent="0.35">
      <c r="A130" s="59">
        <v>20105</v>
      </c>
      <c r="B130" s="50">
        <v>45717</v>
      </c>
      <c r="C130" s="51" t="s">
        <v>26</v>
      </c>
      <c r="D130" s="51" t="s">
        <v>19</v>
      </c>
      <c r="E130" s="51" t="s">
        <v>13</v>
      </c>
      <c r="F130" s="51" t="s">
        <v>7</v>
      </c>
      <c r="G130" s="52">
        <v>0</v>
      </c>
      <c r="H130" s="53">
        <v>0</v>
      </c>
    </row>
    <row r="131" spans="1:8" x14ac:dyDescent="0.35">
      <c r="A131" s="60">
        <v>20105</v>
      </c>
      <c r="B131" s="55">
        <v>45717</v>
      </c>
      <c r="C131" s="56" t="s">
        <v>26</v>
      </c>
      <c r="D131" s="56" t="s">
        <v>19</v>
      </c>
      <c r="E131" s="56" t="s">
        <v>13</v>
      </c>
      <c r="F131" s="56" t="s">
        <v>8</v>
      </c>
      <c r="G131" s="57">
        <v>0</v>
      </c>
      <c r="H131" s="58">
        <v>0</v>
      </c>
    </row>
    <row r="132" spans="1:8" x14ac:dyDescent="0.35">
      <c r="A132" s="59">
        <v>20105</v>
      </c>
      <c r="B132" s="50">
        <v>45717</v>
      </c>
      <c r="C132" s="51" t="s">
        <v>26</v>
      </c>
      <c r="D132" s="51" t="s">
        <v>19</v>
      </c>
      <c r="E132" s="51" t="s">
        <v>13</v>
      </c>
      <c r="F132" s="51" t="s">
        <v>15</v>
      </c>
      <c r="G132" s="52">
        <v>16933.880412371134</v>
      </c>
      <c r="H132" s="53">
        <v>545</v>
      </c>
    </row>
    <row r="133" spans="1:8" x14ac:dyDescent="0.35">
      <c r="A133" s="60">
        <v>20105</v>
      </c>
      <c r="B133" s="55">
        <v>45717</v>
      </c>
      <c r="C133" s="56" t="s">
        <v>26</v>
      </c>
      <c r="D133" s="56" t="s">
        <v>19</v>
      </c>
      <c r="E133" s="56" t="s">
        <v>13</v>
      </c>
      <c r="F133" s="56" t="s">
        <v>65</v>
      </c>
      <c r="G133" s="57">
        <v>0</v>
      </c>
      <c r="H133" s="58">
        <v>0</v>
      </c>
    </row>
    <row r="134" spans="1:8" x14ac:dyDescent="0.35">
      <c r="A134" s="49" t="s">
        <v>142</v>
      </c>
      <c r="B134" s="50">
        <v>45748</v>
      </c>
      <c r="C134" s="51" t="s">
        <v>48</v>
      </c>
      <c r="D134" s="51" t="s">
        <v>49</v>
      </c>
      <c r="E134" s="51" t="s">
        <v>52</v>
      </c>
      <c r="F134" s="51" t="s">
        <v>7</v>
      </c>
      <c r="G134" s="52">
        <v>0</v>
      </c>
      <c r="H134" s="53">
        <v>0</v>
      </c>
    </row>
    <row r="135" spans="1:8" x14ac:dyDescent="0.35">
      <c r="A135" s="54" t="s">
        <v>142</v>
      </c>
      <c r="B135" s="55">
        <v>45748</v>
      </c>
      <c r="C135" s="56" t="s">
        <v>48</v>
      </c>
      <c r="D135" s="56" t="s">
        <v>49</v>
      </c>
      <c r="E135" s="56" t="s">
        <v>52</v>
      </c>
      <c r="F135" s="56" t="s">
        <v>8</v>
      </c>
      <c r="G135" s="57">
        <v>0</v>
      </c>
      <c r="H135" s="58">
        <v>0</v>
      </c>
    </row>
    <row r="136" spans="1:8" x14ac:dyDescent="0.35">
      <c r="A136" s="49" t="s">
        <v>142</v>
      </c>
      <c r="B136" s="50">
        <v>45748</v>
      </c>
      <c r="C136" s="51" t="s">
        <v>48</v>
      </c>
      <c r="D136" s="51" t="s">
        <v>49</v>
      </c>
      <c r="E136" s="51" t="s">
        <v>52</v>
      </c>
      <c r="F136" s="51" t="s">
        <v>15</v>
      </c>
      <c r="G136" s="52">
        <v>89789.370062370057</v>
      </c>
      <c r="H136" s="53">
        <v>2040</v>
      </c>
    </row>
    <row r="137" spans="1:8" x14ac:dyDescent="0.35">
      <c r="A137" s="54" t="s">
        <v>142</v>
      </c>
      <c r="B137" s="55">
        <v>45748</v>
      </c>
      <c r="C137" s="56" t="s">
        <v>48</v>
      </c>
      <c r="D137" s="56" t="s">
        <v>49</v>
      </c>
      <c r="E137" s="56" t="s">
        <v>52</v>
      </c>
      <c r="F137" s="56" t="s">
        <v>65</v>
      </c>
      <c r="G137" s="57">
        <v>0</v>
      </c>
      <c r="H137" s="58">
        <v>0</v>
      </c>
    </row>
    <row r="138" spans="1:8" x14ac:dyDescent="0.35">
      <c r="A138" s="49" t="s">
        <v>139</v>
      </c>
      <c r="B138" s="50">
        <v>45748</v>
      </c>
      <c r="C138" s="51" t="s">
        <v>48</v>
      </c>
      <c r="D138" s="51" t="s">
        <v>49</v>
      </c>
      <c r="E138" s="51" t="s">
        <v>14</v>
      </c>
      <c r="F138" s="51" t="s">
        <v>7</v>
      </c>
      <c r="G138" s="52">
        <v>0</v>
      </c>
      <c r="H138" s="53">
        <v>0</v>
      </c>
    </row>
    <row r="139" spans="1:8" x14ac:dyDescent="0.35">
      <c r="A139" s="54" t="s">
        <v>139</v>
      </c>
      <c r="B139" s="55">
        <v>45748</v>
      </c>
      <c r="C139" s="56" t="s">
        <v>48</v>
      </c>
      <c r="D139" s="56" t="s">
        <v>49</v>
      </c>
      <c r="E139" s="56" t="s">
        <v>14</v>
      </c>
      <c r="F139" s="56" t="s">
        <v>8</v>
      </c>
      <c r="G139" s="57">
        <v>0</v>
      </c>
      <c r="H139" s="58">
        <v>0</v>
      </c>
    </row>
    <row r="140" spans="1:8" x14ac:dyDescent="0.35">
      <c r="A140" s="49" t="s">
        <v>139</v>
      </c>
      <c r="B140" s="50">
        <v>45748</v>
      </c>
      <c r="C140" s="51" t="s">
        <v>48</v>
      </c>
      <c r="D140" s="51" t="s">
        <v>49</v>
      </c>
      <c r="E140" s="51" t="s">
        <v>14</v>
      </c>
      <c r="F140" s="51" t="s">
        <v>15</v>
      </c>
      <c r="G140" s="52">
        <v>28839.059251559258</v>
      </c>
      <c r="H140" s="53">
        <v>1500</v>
      </c>
    </row>
    <row r="141" spans="1:8" x14ac:dyDescent="0.35">
      <c r="A141" s="54" t="s">
        <v>139</v>
      </c>
      <c r="B141" s="55">
        <v>45748</v>
      </c>
      <c r="C141" s="56" t="s">
        <v>48</v>
      </c>
      <c r="D141" s="56" t="s">
        <v>49</v>
      </c>
      <c r="E141" s="56" t="s">
        <v>14</v>
      </c>
      <c r="F141" s="56" t="s">
        <v>65</v>
      </c>
      <c r="G141" s="57">
        <v>0</v>
      </c>
      <c r="H141" s="58">
        <v>0</v>
      </c>
    </row>
    <row r="142" spans="1:8" x14ac:dyDescent="0.35">
      <c r="A142" s="49" t="s">
        <v>25</v>
      </c>
      <c r="B142" s="50">
        <v>45748</v>
      </c>
      <c r="C142" s="51" t="s">
        <v>48</v>
      </c>
      <c r="D142" s="51" t="s">
        <v>49</v>
      </c>
      <c r="E142" s="51" t="s">
        <v>116</v>
      </c>
      <c r="F142" s="51" t="s">
        <v>7</v>
      </c>
      <c r="G142" s="52">
        <v>0</v>
      </c>
      <c r="H142" s="53">
        <v>0</v>
      </c>
    </row>
    <row r="143" spans="1:8" x14ac:dyDescent="0.35">
      <c r="A143" s="54" t="s">
        <v>25</v>
      </c>
      <c r="B143" s="55">
        <v>45748</v>
      </c>
      <c r="C143" s="56" t="s">
        <v>48</v>
      </c>
      <c r="D143" s="56" t="s">
        <v>49</v>
      </c>
      <c r="E143" s="56" t="s">
        <v>116</v>
      </c>
      <c r="F143" s="56" t="s">
        <v>8</v>
      </c>
      <c r="G143" s="57">
        <v>0</v>
      </c>
      <c r="H143" s="58">
        <v>0</v>
      </c>
    </row>
    <row r="144" spans="1:8" x14ac:dyDescent="0.35">
      <c r="A144" s="49" t="s">
        <v>25</v>
      </c>
      <c r="B144" s="50">
        <v>45748</v>
      </c>
      <c r="C144" s="51" t="s">
        <v>48</v>
      </c>
      <c r="D144" s="51" t="s">
        <v>49</v>
      </c>
      <c r="E144" s="51" t="s">
        <v>116</v>
      </c>
      <c r="F144" s="51" t="s">
        <v>15</v>
      </c>
      <c r="G144" s="52">
        <v>9729.72972972973</v>
      </c>
      <c r="H144" s="53">
        <v>300</v>
      </c>
    </row>
    <row r="145" spans="1:8" x14ac:dyDescent="0.35">
      <c r="A145" s="54" t="s">
        <v>25</v>
      </c>
      <c r="B145" s="55">
        <v>45748</v>
      </c>
      <c r="C145" s="56" t="s">
        <v>48</v>
      </c>
      <c r="D145" s="56" t="s">
        <v>49</v>
      </c>
      <c r="E145" s="56" t="s">
        <v>116</v>
      </c>
      <c r="F145" s="56" t="s">
        <v>65</v>
      </c>
      <c r="G145" s="57">
        <v>0</v>
      </c>
      <c r="H145" s="58">
        <v>0</v>
      </c>
    </row>
    <row r="146" spans="1:8" x14ac:dyDescent="0.35">
      <c r="A146" s="49" t="s">
        <v>102</v>
      </c>
      <c r="B146" s="50">
        <v>45748</v>
      </c>
      <c r="C146" s="51" t="s">
        <v>48</v>
      </c>
      <c r="D146" s="51" t="s">
        <v>49</v>
      </c>
      <c r="E146" s="51" t="s">
        <v>51</v>
      </c>
      <c r="F146" s="51" t="s">
        <v>7</v>
      </c>
      <c r="G146" s="52">
        <v>0</v>
      </c>
      <c r="H146" s="53">
        <v>0</v>
      </c>
    </row>
    <row r="147" spans="1:8" x14ac:dyDescent="0.35">
      <c r="A147" s="54" t="s">
        <v>102</v>
      </c>
      <c r="B147" s="55">
        <v>45748</v>
      </c>
      <c r="C147" s="56" t="s">
        <v>48</v>
      </c>
      <c r="D147" s="56" t="s">
        <v>49</v>
      </c>
      <c r="E147" s="56" t="s">
        <v>51</v>
      </c>
      <c r="F147" s="56" t="s">
        <v>8</v>
      </c>
      <c r="G147" s="57">
        <v>0</v>
      </c>
      <c r="H147" s="58">
        <v>0</v>
      </c>
    </row>
    <row r="148" spans="1:8" x14ac:dyDescent="0.35">
      <c r="A148" s="49" t="s">
        <v>102</v>
      </c>
      <c r="B148" s="50">
        <v>45748</v>
      </c>
      <c r="C148" s="51" t="s">
        <v>48</v>
      </c>
      <c r="D148" s="51" t="s">
        <v>49</v>
      </c>
      <c r="E148" s="51" t="s">
        <v>51</v>
      </c>
      <c r="F148" s="51" t="s">
        <v>15</v>
      </c>
      <c r="G148" s="52">
        <v>226720.94594594592</v>
      </c>
      <c r="H148" s="53">
        <v>6500</v>
      </c>
    </row>
    <row r="149" spans="1:8" x14ac:dyDescent="0.35">
      <c r="A149" s="54" t="s">
        <v>102</v>
      </c>
      <c r="B149" s="55">
        <v>45748</v>
      </c>
      <c r="C149" s="56" t="s">
        <v>48</v>
      </c>
      <c r="D149" s="56" t="s">
        <v>49</v>
      </c>
      <c r="E149" s="56" t="s">
        <v>51</v>
      </c>
      <c r="F149" s="56" t="s">
        <v>65</v>
      </c>
      <c r="G149" s="57">
        <v>0</v>
      </c>
      <c r="H149" s="58">
        <v>0</v>
      </c>
    </row>
    <row r="150" spans="1:8" x14ac:dyDescent="0.35">
      <c r="A150" s="49" t="s">
        <v>118</v>
      </c>
      <c r="B150" s="50">
        <v>45748</v>
      </c>
      <c r="C150" s="51" t="s">
        <v>22</v>
      </c>
      <c r="D150" s="51" t="s">
        <v>11</v>
      </c>
      <c r="E150" s="51" t="s">
        <v>116</v>
      </c>
      <c r="F150" s="51" t="s">
        <v>7</v>
      </c>
      <c r="G150" s="52">
        <v>0</v>
      </c>
      <c r="H150" s="53">
        <v>0</v>
      </c>
    </row>
    <row r="151" spans="1:8" x14ac:dyDescent="0.35">
      <c r="A151" s="54" t="s">
        <v>118</v>
      </c>
      <c r="B151" s="55">
        <v>45748</v>
      </c>
      <c r="C151" s="56" t="s">
        <v>22</v>
      </c>
      <c r="D151" s="56" t="s">
        <v>11</v>
      </c>
      <c r="E151" s="56" t="s">
        <v>116</v>
      </c>
      <c r="F151" s="56" t="s">
        <v>8</v>
      </c>
      <c r="G151" s="57">
        <v>0</v>
      </c>
      <c r="H151" s="58">
        <v>0</v>
      </c>
    </row>
    <row r="152" spans="1:8" x14ac:dyDescent="0.35">
      <c r="A152" s="49" t="s">
        <v>118</v>
      </c>
      <c r="B152" s="50">
        <v>45748</v>
      </c>
      <c r="C152" s="51" t="s">
        <v>22</v>
      </c>
      <c r="D152" s="51" t="s">
        <v>11</v>
      </c>
      <c r="E152" s="51" t="s">
        <v>116</v>
      </c>
      <c r="F152" s="51" t="s">
        <v>15</v>
      </c>
      <c r="G152" s="52">
        <v>59115.789473684214</v>
      </c>
      <c r="H152" s="53">
        <v>2000</v>
      </c>
    </row>
    <row r="153" spans="1:8" x14ac:dyDescent="0.35">
      <c r="A153" s="54" t="s">
        <v>118</v>
      </c>
      <c r="B153" s="55">
        <v>45748</v>
      </c>
      <c r="C153" s="56" t="s">
        <v>22</v>
      </c>
      <c r="D153" s="56" t="s">
        <v>11</v>
      </c>
      <c r="E153" s="56" t="s">
        <v>116</v>
      </c>
      <c r="F153" s="56" t="s">
        <v>65</v>
      </c>
      <c r="G153" s="57">
        <v>0</v>
      </c>
      <c r="H153" s="58">
        <v>0</v>
      </c>
    </row>
    <row r="154" spans="1:8" x14ac:dyDescent="0.35">
      <c r="A154" s="49" t="s">
        <v>172</v>
      </c>
      <c r="B154" s="50">
        <v>45748</v>
      </c>
      <c r="C154" s="51" t="s">
        <v>22</v>
      </c>
      <c r="D154" s="51" t="s">
        <v>11</v>
      </c>
      <c r="E154" s="51" t="s">
        <v>13</v>
      </c>
      <c r="F154" s="51" t="s">
        <v>7</v>
      </c>
      <c r="G154" s="52">
        <v>0</v>
      </c>
      <c r="H154" s="53">
        <v>0</v>
      </c>
    </row>
    <row r="155" spans="1:8" x14ac:dyDescent="0.35">
      <c r="A155" s="54" t="s">
        <v>172</v>
      </c>
      <c r="B155" s="55">
        <v>45748</v>
      </c>
      <c r="C155" s="56" t="s">
        <v>22</v>
      </c>
      <c r="D155" s="56" t="s">
        <v>11</v>
      </c>
      <c r="E155" s="56" t="s">
        <v>13</v>
      </c>
      <c r="F155" s="56" t="s">
        <v>8</v>
      </c>
      <c r="G155" s="57">
        <v>0</v>
      </c>
      <c r="H155" s="58">
        <v>0</v>
      </c>
    </row>
    <row r="156" spans="1:8" x14ac:dyDescent="0.35">
      <c r="A156" s="49" t="s">
        <v>172</v>
      </c>
      <c r="B156" s="50">
        <v>45748</v>
      </c>
      <c r="C156" s="51" t="s">
        <v>22</v>
      </c>
      <c r="D156" s="51" t="s">
        <v>11</v>
      </c>
      <c r="E156" s="51" t="s">
        <v>13</v>
      </c>
      <c r="F156" s="51" t="s">
        <v>15</v>
      </c>
      <c r="G156" s="52">
        <v>0</v>
      </c>
      <c r="H156" s="53">
        <v>0</v>
      </c>
    </row>
    <row r="157" spans="1:8" x14ac:dyDescent="0.35">
      <c r="A157" s="54" t="s">
        <v>172</v>
      </c>
      <c r="B157" s="55">
        <v>45748</v>
      </c>
      <c r="C157" s="56" t="s">
        <v>22</v>
      </c>
      <c r="D157" s="56" t="s">
        <v>11</v>
      </c>
      <c r="E157" s="56" t="s">
        <v>13</v>
      </c>
      <c r="F157" s="56" t="s">
        <v>65</v>
      </c>
      <c r="G157" s="57">
        <v>0</v>
      </c>
      <c r="H157" s="58">
        <v>0</v>
      </c>
    </row>
    <row r="158" spans="1:8" x14ac:dyDescent="0.35">
      <c r="A158" s="49" t="s">
        <v>149</v>
      </c>
      <c r="B158" s="50">
        <v>45748</v>
      </c>
      <c r="C158" s="51" t="s">
        <v>23</v>
      </c>
      <c r="D158" s="51" t="s">
        <v>112</v>
      </c>
      <c r="E158" s="51" t="s">
        <v>113</v>
      </c>
      <c r="F158" s="51" t="s">
        <v>7</v>
      </c>
      <c r="G158" s="52">
        <v>0</v>
      </c>
      <c r="H158" s="53">
        <v>0</v>
      </c>
    </row>
    <row r="159" spans="1:8" x14ac:dyDescent="0.35">
      <c r="A159" s="54" t="s">
        <v>149</v>
      </c>
      <c r="B159" s="55">
        <v>45748</v>
      </c>
      <c r="C159" s="56" t="s">
        <v>23</v>
      </c>
      <c r="D159" s="56" t="s">
        <v>112</v>
      </c>
      <c r="E159" s="56" t="s">
        <v>113</v>
      </c>
      <c r="F159" s="56" t="s">
        <v>8</v>
      </c>
      <c r="G159" s="57">
        <v>0</v>
      </c>
      <c r="H159" s="58">
        <v>0</v>
      </c>
    </row>
    <row r="160" spans="1:8" x14ac:dyDescent="0.35">
      <c r="A160" s="49" t="s">
        <v>149</v>
      </c>
      <c r="B160" s="50">
        <v>45748</v>
      </c>
      <c r="C160" s="51" t="s">
        <v>23</v>
      </c>
      <c r="D160" s="51" t="s">
        <v>112</v>
      </c>
      <c r="E160" s="51" t="s">
        <v>113</v>
      </c>
      <c r="F160" s="51" t="s">
        <v>15</v>
      </c>
      <c r="G160" s="52">
        <v>86210.526315789481</v>
      </c>
      <c r="H160" s="53">
        <v>4200</v>
      </c>
    </row>
    <row r="161" spans="1:8" x14ac:dyDescent="0.35">
      <c r="A161" s="54" t="s">
        <v>149</v>
      </c>
      <c r="B161" s="55">
        <v>45748</v>
      </c>
      <c r="C161" s="56" t="s">
        <v>23</v>
      </c>
      <c r="D161" s="56" t="s">
        <v>112</v>
      </c>
      <c r="E161" s="56" t="s">
        <v>113</v>
      </c>
      <c r="F161" s="56" t="s">
        <v>65</v>
      </c>
      <c r="G161" s="57">
        <v>0</v>
      </c>
      <c r="H161" s="58">
        <v>0</v>
      </c>
    </row>
    <row r="162" spans="1:8" x14ac:dyDescent="0.35">
      <c r="A162" s="49" t="s">
        <v>177</v>
      </c>
      <c r="B162" s="50">
        <v>45748</v>
      </c>
      <c r="C162" s="51" t="s">
        <v>46</v>
      </c>
      <c r="D162" s="51" t="s">
        <v>87</v>
      </c>
      <c r="E162" s="51" t="s">
        <v>9</v>
      </c>
      <c r="F162" s="51" t="s">
        <v>7</v>
      </c>
      <c r="G162" s="52">
        <v>0</v>
      </c>
      <c r="H162" s="53">
        <v>0</v>
      </c>
    </row>
    <row r="163" spans="1:8" x14ac:dyDescent="0.35">
      <c r="A163" s="54" t="s">
        <v>177</v>
      </c>
      <c r="B163" s="55">
        <v>45748</v>
      </c>
      <c r="C163" s="56" t="s">
        <v>46</v>
      </c>
      <c r="D163" s="56" t="s">
        <v>87</v>
      </c>
      <c r="E163" s="56" t="s">
        <v>9</v>
      </c>
      <c r="F163" s="56" t="s">
        <v>8</v>
      </c>
      <c r="G163" s="57">
        <v>0</v>
      </c>
      <c r="H163" s="58">
        <v>0</v>
      </c>
    </row>
    <row r="164" spans="1:8" x14ac:dyDescent="0.35">
      <c r="A164" s="49" t="s">
        <v>177</v>
      </c>
      <c r="B164" s="50">
        <v>45748</v>
      </c>
      <c r="C164" s="51" t="s">
        <v>46</v>
      </c>
      <c r="D164" s="51" t="s">
        <v>87</v>
      </c>
      <c r="E164" s="51" t="s">
        <v>9</v>
      </c>
      <c r="F164" s="51" t="s">
        <v>15</v>
      </c>
      <c r="G164" s="52">
        <v>142504.13</v>
      </c>
      <c r="H164" s="53">
        <v>4200</v>
      </c>
    </row>
    <row r="165" spans="1:8" x14ac:dyDescent="0.35">
      <c r="A165" s="54" t="s">
        <v>177</v>
      </c>
      <c r="B165" s="55">
        <v>45748</v>
      </c>
      <c r="C165" s="56" t="s">
        <v>46</v>
      </c>
      <c r="D165" s="56" t="s">
        <v>87</v>
      </c>
      <c r="E165" s="56" t="s">
        <v>9</v>
      </c>
      <c r="F165" s="56" t="s">
        <v>65</v>
      </c>
      <c r="G165" s="57">
        <v>0</v>
      </c>
      <c r="H165" s="58">
        <v>0</v>
      </c>
    </row>
    <row r="166" spans="1:8" x14ac:dyDescent="0.35">
      <c r="A166" s="49" t="s">
        <v>169</v>
      </c>
      <c r="B166" s="50">
        <v>45689</v>
      </c>
      <c r="C166" s="51" t="s">
        <v>25</v>
      </c>
      <c r="D166" s="51" t="s">
        <v>12</v>
      </c>
      <c r="E166" s="51" t="s">
        <v>170</v>
      </c>
      <c r="F166" s="51" t="s">
        <v>7</v>
      </c>
      <c r="G166" s="52">
        <v>0</v>
      </c>
      <c r="H166" s="53">
        <v>0</v>
      </c>
    </row>
    <row r="167" spans="1:8" x14ac:dyDescent="0.35">
      <c r="A167" s="54" t="s">
        <v>166</v>
      </c>
      <c r="B167" s="55">
        <v>45717</v>
      </c>
      <c r="C167" s="56" t="s">
        <v>25</v>
      </c>
      <c r="D167" s="56" t="s">
        <v>12</v>
      </c>
      <c r="E167" s="56" t="s">
        <v>9</v>
      </c>
      <c r="F167" s="56" t="s">
        <v>7</v>
      </c>
      <c r="G167" s="57">
        <v>0</v>
      </c>
      <c r="H167" s="58">
        <v>0</v>
      </c>
    </row>
    <row r="168" spans="1:8" x14ac:dyDescent="0.35">
      <c r="A168" s="49" t="s">
        <v>166</v>
      </c>
      <c r="B168" s="50">
        <v>45717</v>
      </c>
      <c r="C168" s="51" t="s">
        <v>25</v>
      </c>
      <c r="D168" s="51" t="s">
        <v>12</v>
      </c>
      <c r="E168" s="51" t="s">
        <v>9</v>
      </c>
      <c r="F168" s="51" t="s">
        <v>8</v>
      </c>
      <c r="G168" s="52">
        <v>0</v>
      </c>
      <c r="H168" s="53">
        <v>0</v>
      </c>
    </row>
    <row r="169" spans="1:8" x14ac:dyDescent="0.35">
      <c r="A169" s="54" t="s">
        <v>166</v>
      </c>
      <c r="B169" s="55">
        <v>45717</v>
      </c>
      <c r="C169" s="56" t="s">
        <v>25</v>
      </c>
      <c r="D169" s="56" t="s">
        <v>12</v>
      </c>
      <c r="E169" s="56" t="s">
        <v>9</v>
      </c>
      <c r="F169" s="56" t="s">
        <v>15</v>
      </c>
      <c r="G169" s="57">
        <v>164947.60916666666</v>
      </c>
      <c r="H169" s="58">
        <v>6100</v>
      </c>
    </row>
    <row r="170" spans="1:8" x14ac:dyDescent="0.35">
      <c r="A170" s="49" t="s">
        <v>134</v>
      </c>
      <c r="B170" s="50">
        <v>45748</v>
      </c>
      <c r="C170" s="51" t="s">
        <v>57</v>
      </c>
      <c r="D170" s="51" t="s">
        <v>58</v>
      </c>
      <c r="E170" s="51" t="s">
        <v>10</v>
      </c>
      <c r="F170" s="51" t="s">
        <v>7</v>
      </c>
      <c r="G170" s="52">
        <v>0</v>
      </c>
      <c r="H170" s="53">
        <v>0</v>
      </c>
    </row>
    <row r="171" spans="1:8" x14ac:dyDescent="0.35">
      <c r="A171" s="54" t="s">
        <v>134</v>
      </c>
      <c r="B171" s="55">
        <v>45748</v>
      </c>
      <c r="C171" s="56" t="s">
        <v>57</v>
      </c>
      <c r="D171" s="56" t="s">
        <v>58</v>
      </c>
      <c r="E171" s="56" t="s">
        <v>10</v>
      </c>
      <c r="F171" s="56" t="s">
        <v>8</v>
      </c>
      <c r="G171" s="57">
        <v>0</v>
      </c>
      <c r="H171" s="58">
        <v>0</v>
      </c>
    </row>
    <row r="172" spans="1:8" x14ac:dyDescent="0.35">
      <c r="A172" s="49" t="s">
        <v>134</v>
      </c>
      <c r="B172" s="50">
        <v>45748</v>
      </c>
      <c r="C172" s="51" t="s">
        <v>57</v>
      </c>
      <c r="D172" s="51" t="s">
        <v>58</v>
      </c>
      <c r="E172" s="51" t="s">
        <v>10</v>
      </c>
      <c r="F172" s="51" t="s">
        <v>15</v>
      </c>
      <c r="G172" s="52">
        <v>17311.068923076924</v>
      </c>
      <c r="H172" s="53">
        <v>550</v>
      </c>
    </row>
    <row r="173" spans="1:8" x14ac:dyDescent="0.35">
      <c r="A173" s="54" t="s">
        <v>134</v>
      </c>
      <c r="B173" s="55">
        <v>45748</v>
      </c>
      <c r="C173" s="56" t="s">
        <v>57</v>
      </c>
      <c r="D173" s="56" t="s">
        <v>58</v>
      </c>
      <c r="E173" s="56" t="s">
        <v>10</v>
      </c>
      <c r="F173" s="56" t="s">
        <v>65</v>
      </c>
      <c r="G173" s="57">
        <v>0</v>
      </c>
      <c r="H173" s="58">
        <v>0</v>
      </c>
    </row>
    <row r="174" spans="1:8" x14ac:dyDescent="0.35">
      <c r="A174" s="59">
        <v>20105</v>
      </c>
      <c r="B174" s="50">
        <v>45748</v>
      </c>
      <c r="C174" s="51" t="s">
        <v>26</v>
      </c>
      <c r="D174" s="51" t="s">
        <v>19</v>
      </c>
      <c r="E174" s="51" t="s">
        <v>13</v>
      </c>
      <c r="F174" s="51" t="s">
        <v>7</v>
      </c>
      <c r="G174" s="52">
        <v>0</v>
      </c>
      <c r="H174" s="53">
        <v>0</v>
      </c>
    </row>
    <row r="175" spans="1:8" x14ac:dyDescent="0.35">
      <c r="A175" s="60">
        <v>20105</v>
      </c>
      <c r="B175" s="55">
        <v>45748</v>
      </c>
      <c r="C175" s="56" t="s">
        <v>26</v>
      </c>
      <c r="D175" s="56" t="s">
        <v>19</v>
      </c>
      <c r="E175" s="56" t="s">
        <v>13</v>
      </c>
      <c r="F175" s="56" t="s">
        <v>8</v>
      </c>
      <c r="G175" s="57">
        <v>0</v>
      </c>
      <c r="H175" s="58">
        <v>0</v>
      </c>
    </row>
    <row r="176" spans="1:8" x14ac:dyDescent="0.35">
      <c r="A176" s="59">
        <v>20105</v>
      </c>
      <c r="B176" s="50">
        <v>45748</v>
      </c>
      <c r="C176" s="51" t="s">
        <v>26</v>
      </c>
      <c r="D176" s="51" t="s">
        <v>19</v>
      </c>
      <c r="E176" s="51" t="s">
        <v>13</v>
      </c>
      <c r="F176" s="51" t="s">
        <v>15</v>
      </c>
      <c r="G176" s="52">
        <v>16933.880412371134</v>
      </c>
      <c r="H176" s="53">
        <v>545</v>
      </c>
    </row>
    <row r="177" spans="1:8" x14ac:dyDescent="0.35">
      <c r="A177" s="60">
        <v>20105</v>
      </c>
      <c r="B177" s="55">
        <v>45748</v>
      </c>
      <c r="C177" s="56" t="s">
        <v>26</v>
      </c>
      <c r="D177" s="56" t="s">
        <v>19</v>
      </c>
      <c r="E177" s="56" t="s">
        <v>13</v>
      </c>
      <c r="F177" s="56" t="s">
        <v>65</v>
      </c>
      <c r="G177" s="57">
        <v>0</v>
      </c>
      <c r="H177" s="58">
        <v>0</v>
      </c>
    </row>
    <row r="178" spans="1:8" x14ac:dyDescent="0.35">
      <c r="A178" s="49" t="s">
        <v>142</v>
      </c>
      <c r="B178" s="50">
        <v>45778</v>
      </c>
      <c r="C178" s="51" t="s">
        <v>48</v>
      </c>
      <c r="D178" s="51" t="s">
        <v>49</v>
      </c>
      <c r="E178" s="51" t="s">
        <v>52</v>
      </c>
      <c r="F178" s="51" t="s">
        <v>7</v>
      </c>
      <c r="G178" s="52">
        <v>0</v>
      </c>
      <c r="H178" s="53">
        <v>0</v>
      </c>
    </row>
    <row r="179" spans="1:8" x14ac:dyDescent="0.35">
      <c r="A179" s="54" t="s">
        <v>142</v>
      </c>
      <c r="B179" s="55">
        <v>45778</v>
      </c>
      <c r="C179" s="56" t="s">
        <v>48</v>
      </c>
      <c r="D179" s="56" t="s">
        <v>49</v>
      </c>
      <c r="E179" s="56" t="s">
        <v>52</v>
      </c>
      <c r="F179" s="56" t="s">
        <v>8</v>
      </c>
      <c r="G179" s="57">
        <v>0</v>
      </c>
      <c r="H179" s="58">
        <v>0</v>
      </c>
    </row>
    <row r="180" spans="1:8" x14ac:dyDescent="0.35">
      <c r="A180" s="49" t="s">
        <v>142</v>
      </c>
      <c r="B180" s="50">
        <v>45778</v>
      </c>
      <c r="C180" s="51" t="s">
        <v>48</v>
      </c>
      <c r="D180" s="51" t="s">
        <v>49</v>
      </c>
      <c r="E180" s="51" t="s">
        <v>52</v>
      </c>
      <c r="F180" s="51" t="s">
        <v>15</v>
      </c>
      <c r="G180" s="52">
        <v>89789.370062370057</v>
      </c>
      <c r="H180" s="53">
        <v>2040</v>
      </c>
    </row>
    <row r="181" spans="1:8" x14ac:dyDescent="0.35">
      <c r="A181" s="54" t="s">
        <v>142</v>
      </c>
      <c r="B181" s="55">
        <v>45778</v>
      </c>
      <c r="C181" s="56" t="s">
        <v>48</v>
      </c>
      <c r="D181" s="56" t="s">
        <v>49</v>
      </c>
      <c r="E181" s="56" t="s">
        <v>52</v>
      </c>
      <c r="F181" s="56" t="s">
        <v>65</v>
      </c>
      <c r="G181" s="57">
        <v>0</v>
      </c>
      <c r="H181" s="58">
        <v>0</v>
      </c>
    </row>
    <row r="182" spans="1:8" x14ac:dyDescent="0.35">
      <c r="A182" s="49" t="s">
        <v>139</v>
      </c>
      <c r="B182" s="50">
        <v>45778</v>
      </c>
      <c r="C182" s="51" t="s">
        <v>48</v>
      </c>
      <c r="D182" s="51" t="s">
        <v>49</v>
      </c>
      <c r="E182" s="51" t="s">
        <v>14</v>
      </c>
      <c r="F182" s="51" t="s">
        <v>7</v>
      </c>
      <c r="G182" s="52">
        <v>0</v>
      </c>
      <c r="H182" s="53">
        <v>0</v>
      </c>
    </row>
    <row r="183" spans="1:8" x14ac:dyDescent="0.35">
      <c r="A183" s="54" t="s">
        <v>139</v>
      </c>
      <c r="B183" s="55">
        <v>45778</v>
      </c>
      <c r="C183" s="56" t="s">
        <v>48</v>
      </c>
      <c r="D183" s="56" t="s">
        <v>49</v>
      </c>
      <c r="E183" s="56" t="s">
        <v>14</v>
      </c>
      <c r="F183" s="56" t="s">
        <v>8</v>
      </c>
      <c r="G183" s="57">
        <v>0</v>
      </c>
      <c r="H183" s="58">
        <v>0</v>
      </c>
    </row>
    <row r="184" spans="1:8" x14ac:dyDescent="0.35">
      <c r="A184" s="49" t="s">
        <v>139</v>
      </c>
      <c r="B184" s="50">
        <v>45778</v>
      </c>
      <c r="C184" s="51" t="s">
        <v>48</v>
      </c>
      <c r="D184" s="51" t="s">
        <v>49</v>
      </c>
      <c r="E184" s="51" t="s">
        <v>14</v>
      </c>
      <c r="F184" s="51" t="s">
        <v>15</v>
      </c>
      <c r="G184" s="52">
        <v>17995.57</v>
      </c>
      <c r="H184" s="53">
        <v>936</v>
      </c>
    </row>
    <row r="185" spans="1:8" x14ac:dyDescent="0.35">
      <c r="A185" s="54" t="s">
        <v>139</v>
      </c>
      <c r="B185" s="55">
        <v>45778</v>
      </c>
      <c r="C185" s="56" t="s">
        <v>48</v>
      </c>
      <c r="D185" s="56" t="s">
        <v>49</v>
      </c>
      <c r="E185" s="56" t="s">
        <v>14</v>
      </c>
      <c r="F185" s="56" t="s">
        <v>65</v>
      </c>
      <c r="G185" s="57">
        <v>0</v>
      </c>
      <c r="H185" s="58">
        <v>0</v>
      </c>
    </row>
    <row r="186" spans="1:8" x14ac:dyDescent="0.35">
      <c r="A186" s="49" t="s">
        <v>25</v>
      </c>
      <c r="B186" s="50">
        <v>45778</v>
      </c>
      <c r="C186" s="51" t="s">
        <v>48</v>
      </c>
      <c r="D186" s="51" t="s">
        <v>49</v>
      </c>
      <c r="E186" s="51" t="s">
        <v>116</v>
      </c>
      <c r="F186" s="51" t="s">
        <v>7</v>
      </c>
      <c r="G186" s="52">
        <v>0</v>
      </c>
      <c r="H186" s="53">
        <v>0</v>
      </c>
    </row>
    <row r="187" spans="1:8" x14ac:dyDescent="0.35">
      <c r="A187" s="54" t="s">
        <v>25</v>
      </c>
      <c r="B187" s="55">
        <v>45778</v>
      </c>
      <c r="C187" s="56" t="s">
        <v>48</v>
      </c>
      <c r="D187" s="56" t="s">
        <v>49</v>
      </c>
      <c r="E187" s="56" t="s">
        <v>116</v>
      </c>
      <c r="F187" s="56" t="s">
        <v>8</v>
      </c>
      <c r="G187" s="57">
        <v>0</v>
      </c>
      <c r="H187" s="58">
        <v>0</v>
      </c>
    </row>
    <row r="188" spans="1:8" x14ac:dyDescent="0.35">
      <c r="A188" s="49" t="s">
        <v>25</v>
      </c>
      <c r="B188" s="50">
        <v>45778</v>
      </c>
      <c r="C188" s="51" t="s">
        <v>48</v>
      </c>
      <c r="D188" s="51" t="s">
        <v>49</v>
      </c>
      <c r="E188" s="51" t="s">
        <v>116</v>
      </c>
      <c r="F188" s="51" t="s">
        <v>15</v>
      </c>
      <c r="G188" s="52">
        <v>0</v>
      </c>
      <c r="H188" s="53">
        <v>0</v>
      </c>
    </row>
    <row r="189" spans="1:8" x14ac:dyDescent="0.35">
      <c r="A189" s="54" t="s">
        <v>25</v>
      </c>
      <c r="B189" s="55">
        <v>45778</v>
      </c>
      <c r="C189" s="56" t="s">
        <v>48</v>
      </c>
      <c r="D189" s="56" t="s">
        <v>49</v>
      </c>
      <c r="E189" s="56" t="s">
        <v>116</v>
      </c>
      <c r="F189" s="56" t="s">
        <v>65</v>
      </c>
      <c r="G189" s="57">
        <v>0</v>
      </c>
      <c r="H189" s="58">
        <v>0</v>
      </c>
    </row>
    <row r="190" spans="1:8" x14ac:dyDescent="0.35">
      <c r="A190" s="49" t="s">
        <v>102</v>
      </c>
      <c r="B190" s="50">
        <v>45778</v>
      </c>
      <c r="C190" s="51" t="s">
        <v>48</v>
      </c>
      <c r="D190" s="51" t="s">
        <v>49</v>
      </c>
      <c r="E190" s="51" t="s">
        <v>51</v>
      </c>
      <c r="F190" s="51" t="s">
        <v>7</v>
      </c>
      <c r="G190" s="52">
        <v>0</v>
      </c>
      <c r="H190" s="53">
        <v>0</v>
      </c>
    </row>
    <row r="191" spans="1:8" x14ac:dyDescent="0.35">
      <c r="A191" s="54" t="s">
        <v>102</v>
      </c>
      <c r="B191" s="55">
        <v>45778</v>
      </c>
      <c r="C191" s="56" t="s">
        <v>48</v>
      </c>
      <c r="D191" s="56" t="s">
        <v>49</v>
      </c>
      <c r="E191" s="56" t="s">
        <v>51</v>
      </c>
      <c r="F191" s="56" t="s">
        <v>8</v>
      </c>
      <c r="G191" s="57">
        <v>0</v>
      </c>
      <c r="H191" s="58">
        <v>0</v>
      </c>
    </row>
    <row r="192" spans="1:8" x14ac:dyDescent="0.35">
      <c r="A192" s="49" t="s">
        <v>102</v>
      </c>
      <c r="B192" s="50">
        <v>45778</v>
      </c>
      <c r="C192" s="51" t="s">
        <v>48</v>
      </c>
      <c r="D192" s="51" t="s">
        <v>49</v>
      </c>
      <c r="E192" s="51" t="s">
        <v>51</v>
      </c>
      <c r="F192" s="51" t="s">
        <v>15</v>
      </c>
      <c r="G192" s="52">
        <v>0</v>
      </c>
      <c r="H192" s="53">
        <v>0</v>
      </c>
    </row>
    <row r="193" spans="1:8" x14ac:dyDescent="0.35">
      <c r="A193" s="54" t="s">
        <v>102</v>
      </c>
      <c r="B193" s="55">
        <v>45778</v>
      </c>
      <c r="C193" s="56" t="s">
        <v>48</v>
      </c>
      <c r="D193" s="56" t="s">
        <v>49</v>
      </c>
      <c r="E193" s="56" t="s">
        <v>51</v>
      </c>
      <c r="F193" s="56" t="s">
        <v>65</v>
      </c>
      <c r="G193" s="57">
        <v>0</v>
      </c>
      <c r="H193" s="58">
        <v>0</v>
      </c>
    </row>
    <row r="194" spans="1:8" x14ac:dyDescent="0.35">
      <c r="A194" s="49" t="s">
        <v>172</v>
      </c>
      <c r="B194" s="50">
        <v>45778</v>
      </c>
      <c r="C194" s="51" t="s">
        <v>22</v>
      </c>
      <c r="D194" s="51" t="s">
        <v>11</v>
      </c>
      <c r="E194" s="51" t="s">
        <v>13</v>
      </c>
      <c r="F194" s="51" t="s">
        <v>7</v>
      </c>
      <c r="G194" s="52">
        <v>0</v>
      </c>
      <c r="H194" s="53">
        <v>0</v>
      </c>
    </row>
    <row r="195" spans="1:8" x14ac:dyDescent="0.35">
      <c r="A195" s="54" t="s">
        <v>172</v>
      </c>
      <c r="B195" s="55">
        <v>45778</v>
      </c>
      <c r="C195" s="56" t="s">
        <v>22</v>
      </c>
      <c r="D195" s="56" t="s">
        <v>11</v>
      </c>
      <c r="E195" s="56" t="s">
        <v>13</v>
      </c>
      <c r="F195" s="56" t="s">
        <v>8</v>
      </c>
      <c r="G195" s="57">
        <v>0</v>
      </c>
      <c r="H195" s="58">
        <v>0</v>
      </c>
    </row>
    <row r="196" spans="1:8" x14ac:dyDescent="0.35">
      <c r="A196" s="49" t="s">
        <v>172</v>
      </c>
      <c r="B196" s="50">
        <v>45778</v>
      </c>
      <c r="C196" s="51" t="s">
        <v>22</v>
      </c>
      <c r="D196" s="51" t="s">
        <v>11</v>
      </c>
      <c r="E196" s="51" t="s">
        <v>13</v>
      </c>
      <c r="F196" s="51" t="s">
        <v>15</v>
      </c>
      <c r="G196" s="52">
        <v>0</v>
      </c>
      <c r="H196" s="53">
        <v>0</v>
      </c>
    </row>
    <row r="197" spans="1:8" x14ac:dyDescent="0.35">
      <c r="A197" s="54" t="s">
        <v>172</v>
      </c>
      <c r="B197" s="55">
        <v>45778</v>
      </c>
      <c r="C197" s="56" t="s">
        <v>22</v>
      </c>
      <c r="D197" s="56" t="s">
        <v>11</v>
      </c>
      <c r="E197" s="56" t="s">
        <v>13</v>
      </c>
      <c r="F197" s="56" t="s">
        <v>65</v>
      </c>
      <c r="G197" s="57">
        <v>0</v>
      </c>
      <c r="H197" s="58">
        <v>0</v>
      </c>
    </row>
    <row r="198" spans="1:8" x14ac:dyDescent="0.35">
      <c r="A198" s="49" t="s">
        <v>149</v>
      </c>
      <c r="B198" s="50">
        <v>45778</v>
      </c>
      <c r="C198" s="51" t="s">
        <v>23</v>
      </c>
      <c r="D198" s="51" t="s">
        <v>112</v>
      </c>
      <c r="E198" s="51" t="s">
        <v>113</v>
      </c>
      <c r="F198" s="51" t="s">
        <v>7</v>
      </c>
      <c r="G198" s="52">
        <v>0</v>
      </c>
      <c r="H198" s="53">
        <v>0</v>
      </c>
    </row>
    <row r="199" spans="1:8" x14ac:dyDescent="0.35">
      <c r="A199" s="54" t="s">
        <v>149</v>
      </c>
      <c r="B199" s="55">
        <v>45778</v>
      </c>
      <c r="C199" s="56" t="s">
        <v>23</v>
      </c>
      <c r="D199" s="56" t="s">
        <v>112</v>
      </c>
      <c r="E199" s="56" t="s">
        <v>113</v>
      </c>
      <c r="F199" s="56" t="s">
        <v>8</v>
      </c>
      <c r="G199" s="57">
        <v>0</v>
      </c>
      <c r="H199" s="58">
        <v>0</v>
      </c>
    </row>
    <row r="200" spans="1:8" x14ac:dyDescent="0.35">
      <c r="A200" s="49" t="s">
        <v>149</v>
      </c>
      <c r="B200" s="50">
        <v>45778</v>
      </c>
      <c r="C200" s="51" t="s">
        <v>23</v>
      </c>
      <c r="D200" s="51" t="s">
        <v>112</v>
      </c>
      <c r="E200" s="51" t="s">
        <v>113</v>
      </c>
      <c r="F200" s="51" t="s">
        <v>15</v>
      </c>
      <c r="G200" s="52">
        <v>0</v>
      </c>
      <c r="H200" s="53">
        <v>0</v>
      </c>
    </row>
    <row r="201" spans="1:8" x14ac:dyDescent="0.35">
      <c r="A201" s="54" t="s">
        <v>149</v>
      </c>
      <c r="B201" s="55">
        <v>45778</v>
      </c>
      <c r="C201" s="56" t="s">
        <v>23</v>
      </c>
      <c r="D201" s="56" t="s">
        <v>112</v>
      </c>
      <c r="E201" s="56" t="s">
        <v>113</v>
      </c>
      <c r="F201" s="56" t="s">
        <v>65</v>
      </c>
      <c r="G201" s="57">
        <v>0</v>
      </c>
      <c r="H201" s="58">
        <v>0</v>
      </c>
    </row>
    <row r="202" spans="1:8" x14ac:dyDescent="0.35">
      <c r="A202" s="49" t="s">
        <v>177</v>
      </c>
      <c r="B202" s="50">
        <v>45778</v>
      </c>
      <c r="C202" s="51" t="s">
        <v>46</v>
      </c>
      <c r="D202" s="51" t="s">
        <v>87</v>
      </c>
      <c r="E202" s="51" t="s">
        <v>9</v>
      </c>
      <c r="F202" s="51" t="s">
        <v>7</v>
      </c>
      <c r="G202" s="52">
        <v>0</v>
      </c>
      <c r="H202" s="53">
        <v>0</v>
      </c>
    </row>
    <row r="203" spans="1:8" x14ac:dyDescent="0.35">
      <c r="A203" s="54" t="s">
        <v>177</v>
      </c>
      <c r="B203" s="55">
        <v>45778</v>
      </c>
      <c r="C203" s="56" t="s">
        <v>46</v>
      </c>
      <c r="D203" s="56" t="s">
        <v>87</v>
      </c>
      <c r="E203" s="56" t="s">
        <v>9</v>
      </c>
      <c r="F203" s="56" t="s">
        <v>8</v>
      </c>
      <c r="G203" s="57">
        <v>0</v>
      </c>
      <c r="H203" s="58">
        <v>0</v>
      </c>
    </row>
    <row r="204" spans="1:8" x14ac:dyDescent="0.35">
      <c r="A204" s="49" t="s">
        <v>177</v>
      </c>
      <c r="B204" s="50">
        <v>45778</v>
      </c>
      <c r="C204" s="51" t="s">
        <v>46</v>
      </c>
      <c r="D204" s="51" t="s">
        <v>87</v>
      </c>
      <c r="E204" s="51" t="s">
        <v>9</v>
      </c>
      <c r="F204" s="51" t="s">
        <v>15</v>
      </c>
      <c r="G204" s="52">
        <v>65348.32</v>
      </c>
      <c r="H204" s="53">
        <v>1926</v>
      </c>
    </row>
    <row r="205" spans="1:8" x14ac:dyDescent="0.35">
      <c r="A205" s="54" t="s">
        <v>177</v>
      </c>
      <c r="B205" s="55">
        <v>45778</v>
      </c>
      <c r="C205" s="56" t="s">
        <v>46</v>
      </c>
      <c r="D205" s="56" t="s">
        <v>87</v>
      </c>
      <c r="E205" s="56" t="s">
        <v>9</v>
      </c>
      <c r="F205" s="56" t="s">
        <v>65</v>
      </c>
      <c r="G205" s="57">
        <v>0</v>
      </c>
      <c r="H205" s="58">
        <v>0</v>
      </c>
    </row>
    <row r="206" spans="1:8" x14ac:dyDescent="0.35">
      <c r="A206" s="49" t="s">
        <v>166</v>
      </c>
      <c r="B206" s="50">
        <v>45717</v>
      </c>
      <c r="C206" s="51" t="s">
        <v>25</v>
      </c>
      <c r="D206" s="51" t="s">
        <v>12</v>
      </c>
      <c r="E206" s="51" t="s">
        <v>9</v>
      </c>
      <c r="F206" s="51" t="s">
        <v>65</v>
      </c>
      <c r="G206" s="52">
        <v>0</v>
      </c>
      <c r="H206" s="53">
        <v>0</v>
      </c>
    </row>
    <row r="207" spans="1:8" x14ac:dyDescent="0.35">
      <c r="A207" s="54" t="s">
        <v>169</v>
      </c>
      <c r="B207" s="55">
        <v>45717</v>
      </c>
      <c r="C207" s="56" t="s">
        <v>25</v>
      </c>
      <c r="D207" s="56" t="s">
        <v>12</v>
      </c>
      <c r="E207" s="56" t="s">
        <v>170</v>
      </c>
      <c r="F207" s="56" t="s">
        <v>7</v>
      </c>
      <c r="G207" s="57">
        <v>0</v>
      </c>
      <c r="H207" s="58">
        <v>0</v>
      </c>
    </row>
    <row r="208" spans="1:8" x14ac:dyDescent="0.35">
      <c r="A208" s="49" t="s">
        <v>169</v>
      </c>
      <c r="B208" s="50">
        <v>45717</v>
      </c>
      <c r="C208" s="51" t="s">
        <v>25</v>
      </c>
      <c r="D208" s="51" t="s">
        <v>12</v>
      </c>
      <c r="E208" s="51" t="s">
        <v>170</v>
      </c>
      <c r="F208" s="51" t="s">
        <v>8</v>
      </c>
      <c r="G208" s="52">
        <v>0</v>
      </c>
      <c r="H208" s="53">
        <v>0</v>
      </c>
    </row>
    <row r="209" spans="1:8" x14ac:dyDescent="0.35">
      <c r="A209" s="54" t="s">
        <v>169</v>
      </c>
      <c r="B209" s="55">
        <v>45717</v>
      </c>
      <c r="C209" s="56" t="s">
        <v>25</v>
      </c>
      <c r="D209" s="56" t="s">
        <v>12</v>
      </c>
      <c r="E209" s="56" t="s">
        <v>170</v>
      </c>
      <c r="F209" s="56" t="s">
        <v>15</v>
      </c>
      <c r="G209" s="57">
        <v>0</v>
      </c>
      <c r="H209" s="58">
        <v>0</v>
      </c>
    </row>
    <row r="210" spans="1:8" x14ac:dyDescent="0.35">
      <c r="A210" s="49" t="s">
        <v>134</v>
      </c>
      <c r="B210" s="50">
        <v>45778</v>
      </c>
      <c r="C210" s="51" t="s">
        <v>57</v>
      </c>
      <c r="D210" s="51" t="s">
        <v>58</v>
      </c>
      <c r="E210" s="51" t="s">
        <v>10</v>
      </c>
      <c r="F210" s="51" t="s">
        <v>7</v>
      </c>
      <c r="G210" s="52">
        <v>0</v>
      </c>
      <c r="H210" s="53">
        <v>0</v>
      </c>
    </row>
    <row r="211" spans="1:8" x14ac:dyDescent="0.35">
      <c r="A211" s="54" t="s">
        <v>134</v>
      </c>
      <c r="B211" s="55">
        <v>45778</v>
      </c>
      <c r="C211" s="56" t="s">
        <v>57</v>
      </c>
      <c r="D211" s="56" t="s">
        <v>58</v>
      </c>
      <c r="E211" s="56" t="s">
        <v>10</v>
      </c>
      <c r="F211" s="56" t="s">
        <v>8</v>
      </c>
      <c r="G211" s="57">
        <v>0</v>
      </c>
      <c r="H211" s="58">
        <v>0</v>
      </c>
    </row>
    <row r="212" spans="1:8" x14ac:dyDescent="0.35">
      <c r="A212" s="49" t="s">
        <v>134</v>
      </c>
      <c r="B212" s="50">
        <v>45778</v>
      </c>
      <c r="C212" s="51" t="s">
        <v>57</v>
      </c>
      <c r="D212" s="51" t="s">
        <v>58</v>
      </c>
      <c r="E212" s="51" t="s">
        <v>10</v>
      </c>
      <c r="F212" s="51" t="s">
        <v>15</v>
      </c>
      <c r="G212" s="52">
        <v>35019.49</v>
      </c>
      <c r="H212" s="53">
        <v>1100</v>
      </c>
    </row>
    <row r="213" spans="1:8" x14ac:dyDescent="0.35">
      <c r="A213" s="54" t="s">
        <v>134</v>
      </c>
      <c r="B213" s="55">
        <v>45778</v>
      </c>
      <c r="C213" s="56" t="s">
        <v>57</v>
      </c>
      <c r="D213" s="56" t="s">
        <v>58</v>
      </c>
      <c r="E213" s="56" t="s">
        <v>10</v>
      </c>
      <c r="F213" s="56" t="s">
        <v>65</v>
      </c>
      <c r="G213" s="57">
        <v>0</v>
      </c>
      <c r="H213" s="58">
        <v>0</v>
      </c>
    </row>
    <row r="214" spans="1:8" x14ac:dyDescent="0.35">
      <c r="A214" s="59">
        <v>20105</v>
      </c>
      <c r="B214" s="50">
        <v>45778</v>
      </c>
      <c r="C214" s="51" t="s">
        <v>26</v>
      </c>
      <c r="D214" s="51" t="s">
        <v>19</v>
      </c>
      <c r="E214" s="51" t="s">
        <v>13</v>
      </c>
      <c r="F214" s="51" t="s">
        <v>7</v>
      </c>
      <c r="G214" s="52">
        <v>0</v>
      </c>
      <c r="H214" s="53">
        <v>0</v>
      </c>
    </row>
    <row r="215" spans="1:8" x14ac:dyDescent="0.35">
      <c r="A215" s="60">
        <v>20105</v>
      </c>
      <c r="B215" s="55">
        <v>45778</v>
      </c>
      <c r="C215" s="56" t="s">
        <v>26</v>
      </c>
      <c r="D215" s="56" t="s">
        <v>19</v>
      </c>
      <c r="E215" s="56" t="s">
        <v>13</v>
      </c>
      <c r="F215" s="56" t="s">
        <v>8</v>
      </c>
      <c r="G215" s="57">
        <v>0</v>
      </c>
      <c r="H215" s="58">
        <v>0</v>
      </c>
    </row>
    <row r="216" spans="1:8" x14ac:dyDescent="0.35">
      <c r="A216" s="59">
        <v>20105</v>
      </c>
      <c r="B216" s="50">
        <v>45778</v>
      </c>
      <c r="C216" s="51" t="s">
        <v>26</v>
      </c>
      <c r="D216" s="51" t="s">
        <v>19</v>
      </c>
      <c r="E216" s="51" t="s">
        <v>13</v>
      </c>
      <c r="F216" s="51" t="s">
        <v>15</v>
      </c>
      <c r="G216" s="52">
        <v>14721.65</v>
      </c>
      <c r="H216" s="53">
        <v>510</v>
      </c>
    </row>
    <row r="217" spans="1:8" x14ac:dyDescent="0.35">
      <c r="A217" s="60">
        <v>20105</v>
      </c>
      <c r="B217" s="55">
        <v>45778</v>
      </c>
      <c r="C217" s="56" t="s">
        <v>26</v>
      </c>
      <c r="D217" s="56" t="s">
        <v>19</v>
      </c>
      <c r="E217" s="56" t="s">
        <v>13</v>
      </c>
      <c r="F217" s="56" t="s">
        <v>65</v>
      </c>
      <c r="G217" s="57">
        <v>0</v>
      </c>
      <c r="H217" s="58">
        <v>0</v>
      </c>
    </row>
    <row r="218" spans="1:8" x14ac:dyDescent="0.35">
      <c r="A218" s="49" t="s">
        <v>142</v>
      </c>
      <c r="B218" s="50">
        <v>45809</v>
      </c>
      <c r="C218" s="51" t="s">
        <v>48</v>
      </c>
      <c r="D218" s="51" t="s">
        <v>49</v>
      </c>
      <c r="E218" s="51" t="s">
        <v>52</v>
      </c>
      <c r="F218" s="51" t="s">
        <v>7</v>
      </c>
      <c r="G218" s="52">
        <v>0</v>
      </c>
      <c r="H218" s="53">
        <v>0</v>
      </c>
    </row>
    <row r="219" spans="1:8" x14ac:dyDescent="0.35">
      <c r="A219" s="54" t="s">
        <v>142</v>
      </c>
      <c r="B219" s="55">
        <v>45809</v>
      </c>
      <c r="C219" s="56" t="s">
        <v>48</v>
      </c>
      <c r="D219" s="56" t="s">
        <v>49</v>
      </c>
      <c r="E219" s="56" t="s">
        <v>52</v>
      </c>
      <c r="F219" s="56" t="s">
        <v>8</v>
      </c>
      <c r="G219" s="57">
        <v>0</v>
      </c>
      <c r="H219" s="58">
        <v>0</v>
      </c>
    </row>
    <row r="220" spans="1:8" x14ac:dyDescent="0.35">
      <c r="A220" s="49" t="s">
        <v>142</v>
      </c>
      <c r="B220" s="50">
        <v>45809</v>
      </c>
      <c r="C220" s="51" t="s">
        <v>48</v>
      </c>
      <c r="D220" s="51" t="s">
        <v>49</v>
      </c>
      <c r="E220" s="51" t="s">
        <v>52</v>
      </c>
      <c r="F220" s="51" t="s">
        <v>15</v>
      </c>
      <c r="G220" s="52">
        <v>89789.370062370057</v>
      </c>
      <c r="H220" s="53">
        <v>2040</v>
      </c>
    </row>
    <row r="221" spans="1:8" x14ac:dyDescent="0.35">
      <c r="A221" s="54" t="s">
        <v>142</v>
      </c>
      <c r="B221" s="55">
        <v>45809</v>
      </c>
      <c r="C221" s="56" t="s">
        <v>48</v>
      </c>
      <c r="D221" s="56" t="s">
        <v>49</v>
      </c>
      <c r="E221" s="56" t="s">
        <v>52</v>
      </c>
      <c r="F221" s="56" t="s">
        <v>65</v>
      </c>
      <c r="G221" s="57">
        <v>0</v>
      </c>
      <c r="H221" s="58">
        <v>0</v>
      </c>
    </row>
    <row r="222" spans="1:8" x14ac:dyDescent="0.35">
      <c r="A222" s="49" t="s">
        <v>139</v>
      </c>
      <c r="B222" s="50">
        <v>45809</v>
      </c>
      <c r="C222" s="51" t="s">
        <v>48</v>
      </c>
      <c r="D222" s="51" t="s">
        <v>49</v>
      </c>
      <c r="E222" s="51" t="s">
        <v>14</v>
      </c>
      <c r="F222" s="51" t="s">
        <v>7</v>
      </c>
      <c r="G222" s="52">
        <v>0</v>
      </c>
      <c r="H222" s="53">
        <v>0</v>
      </c>
    </row>
    <row r="223" spans="1:8" x14ac:dyDescent="0.35">
      <c r="A223" s="54" t="s">
        <v>139</v>
      </c>
      <c r="B223" s="55">
        <v>45809</v>
      </c>
      <c r="C223" s="56" t="s">
        <v>48</v>
      </c>
      <c r="D223" s="56" t="s">
        <v>49</v>
      </c>
      <c r="E223" s="56" t="s">
        <v>14</v>
      </c>
      <c r="F223" s="56" t="s">
        <v>8</v>
      </c>
      <c r="G223" s="57">
        <v>0</v>
      </c>
      <c r="H223" s="58">
        <v>0</v>
      </c>
    </row>
    <row r="224" spans="1:8" x14ac:dyDescent="0.35">
      <c r="A224" s="49" t="s">
        <v>139</v>
      </c>
      <c r="B224" s="50">
        <v>45809</v>
      </c>
      <c r="C224" s="51" t="s">
        <v>48</v>
      </c>
      <c r="D224" s="51" t="s">
        <v>49</v>
      </c>
      <c r="E224" s="51" t="s">
        <v>14</v>
      </c>
      <c r="F224" s="51" t="s">
        <v>15</v>
      </c>
      <c r="G224" s="52">
        <v>17995.57</v>
      </c>
      <c r="H224" s="53">
        <v>936</v>
      </c>
    </row>
    <row r="225" spans="1:8" x14ac:dyDescent="0.35">
      <c r="A225" s="54" t="s">
        <v>139</v>
      </c>
      <c r="B225" s="55">
        <v>45809</v>
      </c>
      <c r="C225" s="56" t="s">
        <v>48</v>
      </c>
      <c r="D225" s="56" t="s">
        <v>49</v>
      </c>
      <c r="E225" s="56" t="s">
        <v>14</v>
      </c>
      <c r="F225" s="56" t="s">
        <v>65</v>
      </c>
      <c r="G225" s="57">
        <v>0</v>
      </c>
      <c r="H225" s="58">
        <v>0</v>
      </c>
    </row>
    <row r="226" spans="1:8" x14ac:dyDescent="0.35">
      <c r="A226" s="49" t="s">
        <v>25</v>
      </c>
      <c r="B226" s="50">
        <v>45809</v>
      </c>
      <c r="C226" s="51" t="s">
        <v>48</v>
      </c>
      <c r="D226" s="51" t="s">
        <v>49</v>
      </c>
      <c r="E226" s="51" t="s">
        <v>116</v>
      </c>
      <c r="F226" s="51" t="s">
        <v>7</v>
      </c>
      <c r="G226" s="52">
        <v>0</v>
      </c>
      <c r="H226" s="53">
        <v>0</v>
      </c>
    </row>
    <row r="227" spans="1:8" x14ac:dyDescent="0.35">
      <c r="A227" s="54" t="s">
        <v>25</v>
      </c>
      <c r="B227" s="55">
        <v>45809</v>
      </c>
      <c r="C227" s="56" t="s">
        <v>48</v>
      </c>
      <c r="D227" s="56" t="s">
        <v>49</v>
      </c>
      <c r="E227" s="56" t="s">
        <v>116</v>
      </c>
      <c r="F227" s="56" t="s">
        <v>8</v>
      </c>
      <c r="G227" s="57">
        <v>0</v>
      </c>
      <c r="H227" s="58">
        <v>0</v>
      </c>
    </row>
    <row r="228" spans="1:8" x14ac:dyDescent="0.35">
      <c r="A228" s="49" t="s">
        <v>25</v>
      </c>
      <c r="B228" s="50">
        <v>45809</v>
      </c>
      <c r="C228" s="51" t="s">
        <v>48</v>
      </c>
      <c r="D228" s="51" t="s">
        <v>49</v>
      </c>
      <c r="E228" s="51" t="s">
        <v>116</v>
      </c>
      <c r="F228" s="51" t="s">
        <v>15</v>
      </c>
      <c r="G228" s="52">
        <v>0</v>
      </c>
      <c r="H228" s="53">
        <v>0</v>
      </c>
    </row>
    <row r="229" spans="1:8" x14ac:dyDescent="0.35">
      <c r="A229" s="54" t="s">
        <v>25</v>
      </c>
      <c r="B229" s="55">
        <v>45809</v>
      </c>
      <c r="C229" s="56" t="s">
        <v>48</v>
      </c>
      <c r="D229" s="56" t="s">
        <v>49</v>
      </c>
      <c r="E229" s="56" t="s">
        <v>116</v>
      </c>
      <c r="F229" s="56" t="s">
        <v>65</v>
      </c>
      <c r="G229" s="57">
        <v>0</v>
      </c>
      <c r="H229" s="58">
        <v>0</v>
      </c>
    </row>
    <row r="230" spans="1:8" x14ac:dyDescent="0.35">
      <c r="A230" s="49" t="s">
        <v>102</v>
      </c>
      <c r="B230" s="50">
        <v>45809</v>
      </c>
      <c r="C230" s="51" t="s">
        <v>48</v>
      </c>
      <c r="D230" s="51" t="s">
        <v>49</v>
      </c>
      <c r="E230" s="51" t="s">
        <v>51</v>
      </c>
      <c r="F230" s="51" t="s">
        <v>7</v>
      </c>
      <c r="G230" s="52">
        <v>0</v>
      </c>
      <c r="H230" s="53">
        <v>0</v>
      </c>
    </row>
    <row r="231" spans="1:8" x14ac:dyDescent="0.35">
      <c r="A231" s="54" t="s">
        <v>102</v>
      </c>
      <c r="B231" s="55">
        <v>45809</v>
      </c>
      <c r="C231" s="56" t="s">
        <v>48</v>
      </c>
      <c r="D231" s="56" t="s">
        <v>49</v>
      </c>
      <c r="E231" s="56" t="s">
        <v>51</v>
      </c>
      <c r="F231" s="56" t="s">
        <v>8</v>
      </c>
      <c r="G231" s="57">
        <v>0</v>
      </c>
      <c r="H231" s="58">
        <v>0</v>
      </c>
    </row>
    <row r="232" spans="1:8" x14ac:dyDescent="0.35">
      <c r="A232" s="49" t="s">
        <v>102</v>
      </c>
      <c r="B232" s="50">
        <v>45809</v>
      </c>
      <c r="C232" s="51" t="s">
        <v>48</v>
      </c>
      <c r="D232" s="51" t="s">
        <v>49</v>
      </c>
      <c r="E232" s="51" t="s">
        <v>51</v>
      </c>
      <c r="F232" s="51" t="s">
        <v>15</v>
      </c>
      <c r="G232" s="52">
        <v>0</v>
      </c>
      <c r="H232" s="53">
        <v>0</v>
      </c>
    </row>
    <row r="233" spans="1:8" x14ac:dyDescent="0.35">
      <c r="A233" s="54" t="s">
        <v>102</v>
      </c>
      <c r="B233" s="55">
        <v>45809</v>
      </c>
      <c r="C233" s="56" t="s">
        <v>48</v>
      </c>
      <c r="D233" s="56" t="s">
        <v>49</v>
      </c>
      <c r="E233" s="56" t="s">
        <v>51</v>
      </c>
      <c r="F233" s="56" t="s">
        <v>65</v>
      </c>
      <c r="G233" s="57">
        <v>0</v>
      </c>
      <c r="H233" s="58">
        <v>0</v>
      </c>
    </row>
    <row r="234" spans="1:8" x14ac:dyDescent="0.35">
      <c r="A234" s="49" t="s">
        <v>172</v>
      </c>
      <c r="B234" s="50">
        <v>45809</v>
      </c>
      <c r="C234" s="51" t="s">
        <v>22</v>
      </c>
      <c r="D234" s="51" t="s">
        <v>11</v>
      </c>
      <c r="E234" s="51" t="s">
        <v>13</v>
      </c>
      <c r="F234" s="51" t="s">
        <v>7</v>
      </c>
      <c r="G234" s="52">
        <v>0</v>
      </c>
      <c r="H234" s="53">
        <v>0</v>
      </c>
    </row>
    <row r="235" spans="1:8" x14ac:dyDescent="0.35">
      <c r="A235" s="54" t="s">
        <v>172</v>
      </c>
      <c r="B235" s="55">
        <v>45809</v>
      </c>
      <c r="C235" s="56" t="s">
        <v>22</v>
      </c>
      <c r="D235" s="56" t="s">
        <v>11</v>
      </c>
      <c r="E235" s="56" t="s">
        <v>13</v>
      </c>
      <c r="F235" s="56" t="s">
        <v>8</v>
      </c>
      <c r="G235" s="57">
        <v>0</v>
      </c>
      <c r="H235" s="58">
        <v>0</v>
      </c>
    </row>
    <row r="236" spans="1:8" x14ac:dyDescent="0.35">
      <c r="A236" s="49" t="s">
        <v>172</v>
      </c>
      <c r="B236" s="50">
        <v>45809</v>
      </c>
      <c r="C236" s="51" t="s">
        <v>22</v>
      </c>
      <c r="D236" s="51" t="s">
        <v>11</v>
      </c>
      <c r="E236" s="51" t="s">
        <v>13</v>
      </c>
      <c r="F236" s="51" t="s">
        <v>15</v>
      </c>
      <c r="G236" s="52">
        <v>0</v>
      </c>
      <c r="H236" s="53">
        <v>0</v>
      </c>
    </row>
    <row r="237" spans="1:8" x14ac:dyDescent="0.35">
      <c r="A237" s="54" t="s">
        <v>172</v>
      </c>
      <c r="B237" s="55">
        <v>45809</v>
      </c>
      <c r="C237" s="56" t="s">
        <v>22</v>
      </c>
      <c r="D237" s="56" t="s">
        <v>11</v>
      </c>
      <c r="E237" s="56" t="s">
        <v>13</v>
      </c>
      <c r="F237" s="56" t="s">
        <v>65</v>
      </c>
      <c r="G237" s="57">
        <v>0</v>
      </c>
      <c r="H237" s="58">
        <v>0</v>
      </c>
    </row>
    <row r="238" spans="1:8" x14ac:dyDescent="0.35">
      <c r="A238" s="49" t="s">
        <v>149</v>
      </c>
      <c r="B238" s="50">
        <v>45809</v>
      </c>
      <c r="C238" s="51" t="s">
        <v>23</v>
      </c>
      <c r="D238" s="51" t="s">
        <v>112</v>
      </c>
      <c r="E238" s="51" t="s">
        <v>113</v>
      </c>
      <c r="F238" s="51" t="s">
        <v>7</v>
      </c>
      <c r="G238" s="52">
        <v>0</v>
      </c>
      <c r="H238" s="53">
        <v>0</v>
      </c>
    </row>
    <row r="239" spans="1:8" x14ac:dyDescent="0.35">
      <c r="A239" s="54" t="s">
        <v>149</v>
      </c>
      <c r="B239" s="55">
        <v>45809</v>
      </c>
      <c r="C239" s="56" t="s">
        <v>23</v>
      </c>
      <c r="D239" s="56" t="s">
        <v>112</v>
      </c>
      <c r="E239" s="56" t="s">
        <v>113</v>
      </c>
      <c r="F239" s="56" t="s">
        <v>8</v>
      </c>
      <c r="G239" s="57">
        <v>0</v>
      </c>
      <c r="H239" s="58">
        <v>0</v>
      </c>
    </row>
    <row r="240" spans="1:8" x14ac:dyDescent="0.35">
      <c r="A240" s="49" t="s">
        <v>149</v>
      </c>
      <c r="B240" s="50">
        <v>45809</v>
      </c>
      <c r="C240" s="51" t="s">
        <v>23</v>
      </c>
      <c r="D240" s="51" t="s">
        <v>112</v>
      </c>
      <c r="E240" s="51" t="s">
        <v>113</v>
      </c>
      <c r="F240" s="51" t="s">
        <v>15</v>
      </c>
      <c r="G240" s="52">
        <v>0</v>
      </c>
      <c r="H240" s="53">
        <v>0</v>
      </c>
    </row>
    <row r="241" spans="1:8" x14ac:dyDescent="0.35">
      <c r="A241" s="54" t="s">
        <v>149</v>
      </c>
      <c r="B241" s="55">
        <v>45809</v>
      </c>
      <c r="C241" s="56" t="s">
        <v>23</v>
      </c>
      <c r="D241" s="56" t="s">
        <v>112</v>
      </c>
      <c r="E241" s="56" t="s">
        <v>113</v>
      </c>
      <c r="F241" s="56" t="s">
        <v>65</v>
      </c>
      <c r="G241" s="57">
        <v>0</v>
      </c>
      <c r="H241" s="58">
        <v>0</v>
      </c>
    </row>
    <row r="242" spans="1:8" x14ac:dyDescent="0.35">
      <c r="A242" s="49" t="s">
        <v>177</v>
      </c>
      <c r="B242" s="50">
        <v>45809</v>
      </c>
      <c r="C242" s="51" t="s">
        <v>46</v>
      </c>
      <c r="D242" s="51" t="s">
        <v>87</v>
      </c>
      <c r="E242" s="51" t="s">
        <v>9</v>
      </c>
      <c r="F242" s="51" t="s">
        <v>7</v>
      </c>
      <c r="G242" s="52">
        <v>0</v>
      </c>
      <c r="H242" s="53">
        <v>0</v>
      </c>
    </row>
    <row r="243" spans="1:8" x14ac:dyDescent="0.35">
      <c r="A243" s="54" t="s">
        <v>177</v>
      </c>
      <c r="B243" s="55">
        <v>45809</v>
      </c>
      <c r="C243" s="56" t="s">
        <v>46</v>
      </c>
      <c r="D243" s="56" t="s">
        <v>87</v>
      </c>
      <c r="E243" s="56" t="s">
        <v>9</v>
      </c>
      <c r="F243" s="56" t="s">
        <v>8</v>
      </c>
      <c r="G243" s="57">
        <v>0</v>
      </c>
      <c r="H243" s="58">
        <v>0</v>
      </c>
    </row>
    <row r="244" spans="1:8" x14ac:dyDescent="0.35">
      <c r="A244" s="49" t="s">
        <v>177</v>
      </c>
      <c r="B244" s="50">
        <v>45809</v>
      </c>
      <c r="C244" s="51" t="s">
        <v>46</v>
      </c>
      <c r="D244" s="51" t="s">
        <v>87</v>
      </c>
      <c r="E244" s="51" t="s">
        <v>9</v>
      </c>
      <c r="F244" s="51" t="s">
        <v>15</v>
      </c>
      <c r="G244" s="52">
        <v>65348.32</v>
      </c>
      <c r="H244" s="53">
        <v>1926</v>
      </c>
    </row>
    <row r="245" spans="1:8" x14ac:dyDescent="0.35">
      <c r="A245" s="54" t="s">
        <v>177</v>
      </c>
      <c r="B245" s="55">
        <v>45809</v>
      </c>
      <c r="C245" s="56" t="s">
        <v>46</v>
      </c>
      <c r="D245" s="56" t="s">
        <v>87</v>
      </c>
      <c r="E245" s="56" t="s">
        <v>9</v>
      </c>
      <c r="F245" s="56" t="s">
        <v>65</v>
      </c>
      <c r="G245" s="57">
        <v>0</v>
      </c>
      <c r="H245" s="58">
        <v>0</v>
      </c>
    </row>
    <row r="246" spans="1:8" x14ac:dyDescent="0.35">
      <c r="A246" s="49" t="s">
        <v>169</v>
      </c>
      <c r="B246" s="50">
        <v>45717</v>
      </c>
      <c r="C246" s="51" t="s">
        <v>25</v>
      </c>
      <c r="D246" s="51" t="s">
        <v>12</v>
      </c>
      <c r="E246" s="51" t="s">
        <v>170</v>
      </c>
      <c r="F246" s="51" t="s">
        <v>65</v>
      </c>
      <c r="G246" s="52">
        <v>0</v>
      </c>
      <c r="H246" s="53">
        <v>0</v>
      </c>
    </row>
    <row r="247" spans="1:8" x14ac:dyDescent="0.35">
      <c r="A247" s="54" t="s">
        <v>166</v>
      </c>
      <c r="B247" s="55">
        <v>45748</v>
      </c>
      <c r="C247" s="56" t="s">
        <v>25</v>
      </c>
      <c r="D247" s="56" t="s">
        <v>12</v>
      </c>
      <c r="E247" s="56" t="s">
        <v>9</v>
      </c>
      <c r="F247" s="56" t="s">
        <v>7</v>
      </c>
      <c r="G247" s="57">
        <v>0</v>
      </c>
      <c r="H247" s="58">
        <v>0</v>
      </c>
    </row>
    <row r="248" spans="1:8" x14ac:dyDescent="0.35">
      <c r="A248" s="49" t="s">
        <v>166</v>
      </c>
      <c r="B248" s="50">
        <v>45748</v>
      </c>
      <c r="C248" s="51" t="s">
        <v>25</v>
      </c>
      <c r="D248" s="51" t="s">
        <v>12</v>
      </c>
      <c r="E248" s="51" t="s">
        <v>9</v>
      </c>
      <c r="F248" s="51" t="s">
        <v>8</v>
      </c>
      <c r="G248" s="52">
        <v>0</v>
      </c>
      <c r="H248" s="53">
        <v>0</v>
      </c>
    </row>
    <row r="249" spans="1:8" x14ac:dyDescent="0.35">
      <c r="A249" s="54" t="s">
        <v>166</v>
      </c>
      <c r="B249" s="55">
        <v>45748</v>
      </c>
      <c r="C249" s="56" t="s">
        <v>25</v>
      </c>
      <c r="D249" s="56" t="s">
        <v>12</v>
      </c>
      <c r="E249" s="56" t="s">
        <v>9</v>
      </c>
      <c r="F249" s="56" t="s">
        <v>15</v>
      </c>
      <c r="G249" s="57">
        <v>164947.60916666666</v>
      </c>
      <c r="H249" s="58">
        <v>6100</v>
      </c>
    </row>
    <row r="250" spans="1:8" x14ac:dyDescent="0.35">
      <c r="A250" s="49" t="s">
        <v>134</v>
      </c>
      <c r="B250" s="50">
        <v>45809</v>
      </c>
      <c r="C250" s="51" t="s">
        <v>57</v>
      </c>
      <c r="D250" s="51" t="s">
        <v>58</v>
      </c>
      <c r="E250" s="51" t="s">
        <v>10</v>
      </c>
      <c r="F250" s="51" t="s">
        <v>7</v>
      </c>
      <c r="G250" s="52">
        <v>0</v>
      </c>
      <c r="H250" s="53">
        <v>0</v>
      </c>
    </row>
    <row r="251" spans="1:8" x14ac:dyDescent="0.35">
      <c r="A251" s="54" t="s">
        <v>134</v>
      </c>
      <c r="B251" s="55">
        <v>45809</v>
      </c>
      <c r="C251" s="56" t="s">
        <v>57</v>
      </c>
      <c r="D251" s="56" t="s">
        <v>58</v>
      </c>
      <c r="E251" s="56" t="s">
        <v>10</v>
      </c>
      <c r="F251" s="56" t="s">
        <v>8</v>
      </c>
      <c r="G251" s="57">
        <v>0</v>
      </c>
      <c r="H251" s="58">
        <v>0</v>
      </c>
    </row>
    <row r="252" spans="1:8" x14ac:dyDescent="0.35">
      <c r="A252" s="49" t="s">
        <v>134</v>
      </c>
      <c r="B252" s="50">
        <v>45809</v>
      </c>
      <c r="C252" s="51" t="s">
        <v>57</v>
      </c>
      <c r="D252" s="51" t="s">
        <v>58</v>
      </c>
      <c r="E252" s="51" t="s">
        <v>10</v>
      </c>
      <c r="F252" s="51" t="s">
        <v>15</v>
      </c>
      <c r="G252" s="52">
        <v>35019.49</v>
      </c>
      <c r="H252" s="53">
        <v>1100</v>
      </c>
    </row>
    <row r="253" spans="1:8" x14ac:dyDescent="0.35">
      <c r="A253" s="54" t="s">
        <v>134</v>
      </c>
      <c r="B253" s="55">
        <v>45809</v>
      </c>
      <c r="C253" s="56" t="s">
        <v>57</v>
      </c>
      <c r="D253" s="56" t="s">
        <v>58</v>
      </c>
      <c r="E253" s="56" t="s">
        <v>10</v>
      </c>
      <c r="F253" s="56" t="s">
        <v>65</v>
      </c>
      <c r="G253" s="57">
        <v>0</v>
      </c>
      <c r="H253" s="58">
        <v>0</v>
      </c>
    </row>
    <row r="254" spans="1:8" x14ac:dyDescent="0.35">
      <c r="A254" s="59">
        <v>20105</v>
      </c>
      <c r="B254" s="50">
        <v>45809</v>
      </c>
      <c r="C254" s="51" t="s">
        <v>26</v>
      </c>
      <c r="D254" s="51" t="s">
        <v>19</v>
      </c>
      <c r="E254" s="51" t="s">
        <v>13</v>
      </c>
      <c r="F254" s="51" t="s">
        <v>7</v>
      </c>
      <c r="G254" s="52">
        <v>0</v>
      </c>
      <c r="H254" s="53">
        <v>0</v>
      </c>
    </row>
    <row r="255" spans="1:8" x14ac:dyDescent="0.35">
      <c r="A255" s="60">
        <v>20105</v>
      </c>
      <c r="B255" s="55">
        <v>45809</v>
      </c>
      <c r="C255" s="56" t="s">
        <v>26</v>
      </c>
      <c r="D255" s="56" t="s">
        <v>19</v>
      </c>
      <c r="E255" s="56" t="s">
        <v>13</v>
      </c>
      <c r="F255" s="56" t="s">
        <v>8</v>
      </c>
      <c r="G255" s="57">
        <v>0</v>
      </c>
      <c r="H255" s="58">
        <v>0</v>
      </c>
    </row>
    <row r="256" spans="1:8" x14ac:dyDescent="0.35">
      <c r="A256" s="59">
        <v>20105</v>
      </c>
      <c r="B256" s="50">
        <v>45809</v>
      </c>
      <c r="C256" s="51" t="s">
        <v>26</v>
      </c>
      <c r="D256" s="51" t="s">
        <v>19</v>
      </c>
      <c r="E256" s="51" t="s">
        <v>13</v>
      </c>
      <c r="F256" s="51" t="s">
        <v>15</v>
      </c>
      <c r="G256" s="52">
        <v>15310.52</v>
      </c>
      <c r="H256" s="53">
        <v>510</v>
      </c>
    </row>
    <row r="257" spans="1:8" x14ac:dyDescent="0.35">
      <c r="A257" s="60">
        <v>20105</v>
      </c>
      <c r="B257" s="55">
        <v>45809</v>
      </c>
      <c r="C257" s="56" t="s">
        <v>26</v>
      </c>
      <c r="D257" s="56" t="s">
        <v>19</v>
      </c>
      <c r="E257" s="56" t="s">
        <v>13</v>
      </c>
      <c r="F257" s="56" t="s">
        <v>65</v>
      </c>
      <c r="G257" s="57">
        <v>0</v>
      </c>
      <c r="H257" s="58">
        <v>0</v>
      </c>
    </row>
    <row r="258" spans="1:8" x14ac:dyDescent="0.35">
      <c r="A258" s="49" t="s">
        <v>142</v>
      </c>
      <c r="B258" s="50">
        <v>45839</v>
      </c>
      <c r="C258" s="51" t="s">
        <v>48</v>
      </c>
      <c r="D258" s="51" t="s">
        <v>49</v>
      </c>
      <c r="E258" s="51" t="s">
        <v>52</v>
      </c>
      <c r="F258" s="51" t="s">
        <v>7</v>
      </c>
      <c r="G258" s="52">
        <v>0</v>
      </c>
      <c r="H258" s="53">
        <v>0</v>
      </c>
    </row>
    <row r="259" spans="1:8" x14ac:dyDescent="0.35">
      <c r="A259" s="54" t="s">
        <v>142</v>
      </c>
      <c r="B259" s="55">
        <v>45839</v>
      </c>
      <c r="C259" s="56" t="s">
        <v>48</v>
      </c>
      <c r="D259" s="56" t="s">
        <v>49</v>
      </c>
      <c r="E259" s="56" t="s">
        <v>52</v>
      </c>
      <c r="F259" s="56" t="s">
        <v>8</v>
      </c>
      <c r="G259" s="57">
        <v>0</v>
      </c>
      <c r="H259" s="58">
        <v>0</v>
      </c>
    </row>
    <row r="260" spans="1:8" x14ac:dyDescent="0.35">
      <c r="A260" s="49" t="s">
        <v>142</v>
      </c>
      <c r="B260" s="50">
        <v>45839</v>
      </c>
      <c r="C260" s="51" t="s">
        <v>48</v>
      </c>
      <c r="D260" s="51" t="s">
        <v>49</v>
      </c>
      <c r="E260" s="51" t="s">
        <v>52</v>
      </c>
      <c r="F260" s="51" t="s">
        <v>15</v>
      </c>
      <c r="G260" s="52">
        <v>89789.370062370057</v>
      </c>
      <c r="H260" s="53">
        <v>2040</v>
      </c>
    </row>
    <row r="261" spans="1:8" x14ac:dyDescent="0.35">
      <c r="A261" s="54" t="s">
        <v>142</v>
      </c>
      <c r="B261" s="55">
        <v>45839</v>
      </c>
      <c r="C261" s="56" t="s">
        <v>48</v>
      </c>
      <c r="D261" s="56" t="s">
        <v>49</v>
      </c>
      <c r="E261" s="56" t="s">
        <v>52</v>
      </c>
      <c r="F261" s="56" t="s">
        <v>65</v>
      </c>
      <c r="G261" s="57">
        <v>0</v>
      </c>
      <c r="H261" s="58">
        <v>0</v>
      </c>
    </row>
    <row r="262" spans="1:8" x14ac:dyDescent="0.35">
      <c r="A262" s="49" t="s">
        <v>139</v>
      </c>
      <c r="B262" s="50">
        <v>45839</v>
      </c>
      <c r="C262" s="51" t="s">
        <v>48</v>
      </c>
      <c r="D262" s="51" t="s">
        <v>49</v>
      </c>
      <c r="E262" s="51" t="s">
        <v>14</v>
      </c>
      <c r="F262" s="51" t="s">
        <v>7</v>
      </c>
      <c r="G262" s="52">
        <v>0</v>
      </c>
      <c r="H262" s="53">
        <v>0</v>
      </c>
    </row>
    <row r="263" spans="1:8" x14ac:dyDescent="0.35">
      <c r="A263" s="54" t="s">
        <v>139</v>
      </c>
      <c r="B263" s="55">
        <v>45839</v>
      </c>
      <c r="C263" s="56" t="s">
        <v>48</v>
      </c>
      <c r="D263" s="56" t="s">
        <v>49</v>
      </c>
      <c r="E263" s="56" t="s">
        <v>14</v>
      </c>
      <c r="F263" s="56" t="s">
        <v>8</v>
      </c>
      <c r="G263" s="57">
        <v>0</v>
      </c>
      <c r="H263" s="58">
        <v>0</v>
      </c>
    </row>
    <row r="264" spans="1:8" x14ac:dyDescent="0.35">
      <c r="A264" s="49" t="s">
        <v>139</v>
      </c>
      <c r="B264" s="50">
        <v>45839</v>
      </c>
      <c r="C264" s="51" t="s">
        <v>48</v>
      </c>
      <c r="D264" s="51" t="s">
        <v>49</v>
      </c>
      <c r="E264" s="51" t="s">
        <v>14</v>
      </c>
      <c r="F264" s="51" t="s">
        <v>15</v>
      </c>
      <c r="G264" s="52">
        <v>17995.57</v>
      </c>
      <c r="H264" s="53">
        <v>936</v>
      </c>
    </row>
    <row r="265" spans="1:8" x14ac:dyDescent="0.35">
      <c r="A265" s="54" t="s">
        <v>139</v>
      </c>
      <c r="B265" s="55">
        <v>45839</v>
      </c>
      <c r="C265" s="56" t="s">
        <v>48</v>
      </c>
      <c r="D265" s="56" t="s">
        <v>49</v>
      </c>
      <c r="E265" s="56" t="s">
        <v>14</v>
      </c>
      <c r="F265" s="56" t="s">
        <v>65</v>
      </c>
      <c r="G265" s="57">
        <v>0</v>
      </c>
      <c r="H265" s="58">
        <v>0</v>
      </c>
    </row>
    <row r="266" spans="1:8" x14ac:dyDescent="0.35">
      <c r="A266" s="49" t="s">
        <v>25</v>
      </c>
      <c r="B266" s="50">
        <v>45839</v>
      </c>
      <c r="C266" s="51" t="s">
        <v>48</v>
      </c>
      <c r="D266" s="51" t="s">
        <v>49</v>
      </c>
      <c r="E266" s="51" t="s">
        <v>116</v>
      </c>
      <c r="F266" s="51" t="s">
        <v>7</v>
      </c>
      <c r="G266" s="52">
        <v>0</v>
      </c>
      <c r="H266" s="53">
        <v>0</v>
      </c>
    </row>
    <row r="267" spans="1:8" x14ac:dyDescent="0.35">
      <c r="A267" s="54" t="s">
        <v>25</v>
      </c>
      <c r="B267" s="55">
        <v>45839</v>
      </c>
      <c r="C267" s="56" t="s">
        <v>48</v>
      </c>
      <c r="D267" s="56" t="s">
        <v>49</v>
      </c>
      <c r="E267" s="56" t="s">
        <v>116</v>
      </c>
      <c r="F267" s="56" t="s">
        <v>8</v>
      </c>
      <c r="G267" s="57">
        <v>0</v>
      </c>
      <c r="H267" s="58">
        <v>0</v>
      </c>
    </row>
    <row r="268" spans="1:8" x14ac:dyDescent="0.35">
      <c r="A268" s="49" t="s">
        <v>25</v>
      </c>
      <c r="B268" s="50">
        <v>45839</v>
      </c>
      <c r="C268" s="51" t="s">
        <v>48</v>
      </c>
      <c r="D268" s="51" t="s">
        <v>49</v>
      </c>
      <c r="E268" s="51" t="s">
        <v>116</v>
      </c>
      <c r="F268" s="51" t="s">
        <v>15</v>
      </c>
      <c r="G268" s="52">
        <v>0</v>
      </c>
      <c r="H268" s="53">
        <v>0</v>
      </c>
    </row>
    <row r="269" spans="1:8" x14ac:dyDescent="0.35">
      <c r="A269" s="54" t="s">
        <v>25</v>
      </c>
      <c r="B269" s="55">
        <v>45839</v>
      </c>
      <c r="C269" s="56" t="s">
        <v>48</v>
      </c>
      <c r="D269" s="56" t="s">
        <v>49</v>
      </c>
      <c r="E269" s="56" t="s">
        <v>116</v>
      </c>
      <c r="F269" s="56" t="s">
        <v>65</v>
      </c>
      <c r="G269" s="57">
        <v>0</v>
      </c>
      <c r="H269" s="58">
        <v>0</v>
      </c>
    </row>
    <row r="270" spans="1:8" x14ac:dyDescent="0.35">
      <c r="A270" s="49" t="s">
        <v>102</v>
      </c>
      <c r="B270" s="50">
        <v>45839</v>
      </c>
      <c r="C270" s="51" t="s">
        <v>48</v>
      </c>
      <c r="D270" s="51" t="s">
        <v>49</v>
      </c>
      <c r="E270" s="51" t="s">
        <v>51</v>
      </c>
      <c r="F270" s="51" t="s">
        <v>7</v>
      </c>
      <c r="G270" s="52">
        <v>0</v>
      </c>
      <c r="H270" s="53">
        <v>0</v>
      </c>
    </row>
    <row r="271" spans="1:8" x14ac:dyDescent="0.35">
      <c r="A271" s="54" t="s">
        <v>102</v>
      </c>
      <c r="B271" s="55">
        <v>45839</v>
      </c>
      <c r="C271" s="56" t="s">
        <v>48</v>
      </c>
      <c r="D271" s="56" t="s">
        <v>49</v>
      </c>
      <c r="E271" s="56" t="s">
        <v>51</v>
      </c>
      <c r="F271" s="56" t="s">
        <v>8</v>
      </c>
      <c r="G271" s="57">
        <v>0</v>
      </c>
      <c r="H271" s="58">
        <v>0</v>
      </c>
    </row>
    <row r="272" spans="1:8" x14ac:dyDescent="0.35">
      <c r="A272" s="49" t="s">
        <v>102</v>
      </c>
      <c r="B272" s="50">
        <v>45839</v>
      </c>
      <c r="C272" s="51" t="s">
        <v>48</v>
      </c>
      <c r="D272" s="51" t="s">
        <v>49</v>
      </c>
      <c r="E272" s="51" t="s">
        <v>51</v>
      </c>
      <c r="F272" s="51" t="s">
        <v>15</v>
      </c>
      <c r="G272" s="52">
        <v>0</v>
      </c>
      <c r="H272" s="53">
        <v>0</v>
      </c>
    </row>
    <row r="273" spans="1:8" x14ac:dyDescent="0.35">
      <c r="A273" s="54" t="s">
        <v>102</v>
      </c>
      <c r="B273" s="55">
        <v>45839</v>
      </c>
      <c r="C273" s="56" t="s">
        <v>48</v>
      </c>
      <c r="D273" s="56" t="s">
        <v>49</v>
      </c>
      <c r="E273" s="56" t="s">
        <v>51</v>
      </c>
      <c r="F273" s="56" t="s">
        <v>65</v>
      </c>
      <c r="G273" s="57">
        <v>0</v>
      </c>
      <c r="H273" s="58">
        <v>0</v>
      </c>
    </row>
    <row r="274" spans="1:8" x14ac:dyDescent="0.35">
      <c r="A274" s="49" t="s">
        <v>172</v>
      </c>
      <c r="B274" s="50">
        <v>45839</v>
      </c>
      <c r="C274" s="51" t="s">
        <v>22</v>
      </c>
      <c r="D274" s="51" t="s">
        <v>11</v>
      </c>
      <c r="E274" s="51" t="s">
        <v>13</v>
      </c>
      <c r="F274" s="51" t="s">
        <v>7</v>
      </c>
      <c r="G274" s="52">
        <v>0</v>
      </c>
      <c r="H274" s="53">
        <v>0</v>
      </c>
    </row>
    <row r="275" spans="1:8" x14ac:dyDescent="0.35">
      <c r="A275" s="54" t="s">
        <v>172</v>
      </c>
      <c r="B275" s="55">
        <v>45839</v>
      </c>
      <c r="C275" s="56" t="s">
        <v>22</v>
      </c>
      <c r="D275" s="56" t="s">
        <v>11</v>
      </c>
      <c r="E275" s="56" t="s">
        <v>13</v>
      </c>
      <c r="F275" s="56" t="s">
        <v>8</v>
      </c>
      <c r="G275" s="57">
        <v>0</v>
      </c>
      <c r="H275" s="58">
        <v>0</v>
      </c>
    </row>
    <row r="276" spans="1:8" x14ac:dyDescent="0.35">
      <c r="A276" s="49" t="s">
        <v>172</v>
      </c>
      <c r="B276" s="50">
        <v>45839</v>
      </c>
      <c r="C276" s="51" t="s">
        <v>22</v>
      </c>
      <c r="D276" s="51" t="s">
        <v>11</v>
      </c>
      <c r="E276" s="51" t="s">
        <v>13</v>
      </c>
      <c r="F276" s="51" t="s">
        <v>15</v>
      </c>
      <c r="G276" s="52">
        <v>0</v>
      </c>
      <c r="H276" s="53">
        <v>0</v>
      </c>
    </row>
    <row r="277" spans="1:8" x14ac:dyDescent="0.35">
      <c r="A277" s="54" t="s">
        <v>172</v>
      </c>
      <c r="B277" s="55">
        <v>45839</v>
      </c>
      <c r="C277" s="56" t="s">
        <v>22</v>
      </c>
      <c r="D277" s="56" t="s">
        <v>11</v>
      </c>
      <c r="E277" s="56" t="s">
        <v>13</v>
      </c>
      <c r="F277" s="56" t="s">
        <v>65</v>
      </c>
      <c r="G277" s="57">
        <v>0</v>
      </c>
      <c r="H277" s="58">
        <v>0</v>
      </c>
    </row>
    <row r="278" spans="1:8" x14ac:dyDescent="0.35">
      <c r="A278" s="49" t="s">
        <v>149</v>
      </c>
      <c r="B278" s="50">
        <v>45839</v>
      </c>
      <c r="C278" s="51" t="s">
        <v>23</v>
      </c>
      <c r="D278" s="51" t="s">
        <v>112</v>
      </c>
      <c r="E278" s="51" t="s">
        <v>113</v>
      </c>
      <c r="F278" s="51" t="s">
        <v>7</v>
      </c>
      <c r="G278" s="52">
        <v>0</v>
      </c>
      <c r="H278" s="53">
        <v>0</v>
      </c>
    </row>
    <row r="279" spans="1:8" x14ac:dyDescent="0.35">
      <c r="A279" s="54" t="s">
        <v>149</v>
      </c>
      <c r="B279" s="55">
        <v>45839</v>
      </c>
      <c r="C279" s="56" t="s">
        <v>23</v>
      </c>
      <c r="D279" s="56" t="s">
        <v>112</v>
      </c>
      <c r="E279" s="56" t="s">
        <v>113</v>
      </c>
      <c r="F279" s="56" t="s">
        <v>8</v>
      </c>
      <c r="G279" s="57">
        <v>0</v>
      </c>
      <c r="H279" s="58">
        <v>0</v>
      </c>
    </row>
    <row r="280" spans="1:8" x14ac:dyDescent="0.35">
      <c r="A280" s="49" t="s">
        <v>149</v>
      </c>
      <c r="B280" s="50">
        <v>45839</v>
      </c>
      <c r="C280" s="51" t="s">
        <v>23</v>
      </c>
      <c r="D280" s="51" t="s">
        <v>112</v>
      </c>
      <c r="E280" s="51" t="s">
        <v>113</v>
      </c>
      <c r="F280" s="51" t="s">
        <v>15</v>
      </c>
      <c r="G280" s="52">
        <v>0</v>
      </c>
      <c r="H280" s="53">
        <v>0</v>
      </c>
    </row>
    <row r="281" spans="1:8" x14ac:dyDescent="0.35">
      <c r="A281" s="54" t="s">
        <v>149</v>
      </c>
      <c r="B281" s="55">
        <v>45839</v>
      </c>
      <c r="C281" s="56" t="s">
        <v>23</v>
      </c>
      <c r="D281" s="56" t="s">
        <v>112</v>
      </c>
      <c r="E281" s="56" t="s">
        <v>113</v>
      </c>
      <c r="F281" s="56" t="s">
        <v>65</v>
      </c>
      <c r="G281" s="57">
        <v>0</v>
      </c>
      <c r="H281" s="58">
        <v>0</v>
      </c>
    </row>
    <row r="282" spans="1:8" x14ac:dyDescent="0.35">
      <c r="A282" s="49" t="s">
        <v>177</v>
      </c>
      <c r="B282" s="50">
        <v>45839</v>
      </c>
      <c r="C282" s="51" t="s">
        <v>46</v>
      </c>
      <c r="D282" s="51" t="s">
        <v>87</v>
      </c>
      <c r="E282" s="51" t="s">
        <v>9</v>
      </c>
      <c r="F282" s="51" t="s">
        <v>7</v>
      </c>
      <c r="G282" s="52">
        <v>0</v>
      </c>
      <c r="H282" s="53">
        <v>0</v>
      </c>
    </row>
    <row r="283" spans="1:8" x14ac:dyDescent="0.35">
      <c r="A283" s="54" t="s">
        <v>177</v>
      </c>
      <c r="B283" s="55">
        <v>45839</v>
      </c>
      <c r="C283" s="56" t="s">
        <v>46</v>
      </c>
      <c r="D283" s="56" t="s">
        <v>87</v>
      </c>
      <c r="E283" s="56" t="s">
        <v>9</v>
      </c>
      <c r="F283" s="56" t="s">
        <v>8</v>
      </c>
      <c r="G283" s="57">
        <v>0</v>
      </c>
      <c r="H283" s="58">
        <v>0</v>
      </c>
    </row>
    <row r="284" spans="1:8" x14ac:dyDescent="0.35">
      <c r="A284" s="49" t="s">
        <v>177</v>
      </c>
      <c r="B284" s="50">
        <v>45839</v>
      </c>
      <c r="C284" s="51" t="s">
        <v>46</v>
      </c>
      <c r="D284" s="51" t="s">
        <v>87</v>
      </c>
      <c r="E284" s="51" t="s">
        <v>9</v>
      </c>
      <c r="F284" s="51" t="s">
        <v>15</v>
      </c>
      <c r="G284" s="52">
        <v>65348.32</v>
      </c>
      <c r="H284" s="53">
        <v>1926</v>
      </c>
    </row>
    <row r="285" spans="1:8" x14ac:dyDescent="0.35">
      <c r="A285" s="54" t="s">
        <v>177</v>
      </c>
      <c r="B285" s="55">
        <v>45839</v>
      </c>
      <c r="C285" s="56" t="s">
        <v>46</v>
      </c>
      <c r="D285" s="56" t="s">
        <v>87</v>
      </c>
      <c r="E285" s="56" t="s">
        <v>9</v>
      </c>
      <c r="F285" s="56" t="s">
        <v>65</v>
      </c>
      <c r="G285" s="57">
        <v>0</v>
      </c>
      <c r="H285" s="58">
        <v>0</v>
      </c>
    </row>
    <row r="286" spans="1:8" x14ac:dyDescent="0.35">
      <c r="A286" s="49" t="s">
        <v>166</v>
      </c>
      <c r="B286" s="50">
        <v>45748</v>
      </c>
      <c r="C286" s="51" t="s">
        <v>25</v>
      </c>
      <c r="D286" s="51" t="s">
        <v>12</v>
      </c>
      <c r="E286" s="51" t="s">
        <v>9</v>
      </c>
      <c r="F286" s="51" t="s">
        <v>65</v>
      </c>
      <c r="G286" s="52">
        <v>0</v>
      </c>
      <c r="H286" s="53">
        <v>0</v>
      </c>
    </row>
    <row r="287" spans="1:8" x14ac:dyDescent="0.35">
      <c r="A287" s="54" t="s">
        <v>169</v>
      </c>
      <c r="B287" s="55">
        <v>45748</v>
      </c>
      <c r="C287" s="56" t="s">
        <v>25</v>
      </c>
      <c r="D287" s="56" t="s">
        <v>12</v>
      </c>
      <c r="E287" s="56" t="s">
        <v>170</v>
      </c>
      <c r="F287" s="56" t="s">
        <v>7</v>
      </c>
      <c r="G287" s="57">
        <v>0</v>
      </c>
      <c r="H287" s="58">
        <v>0</v>
      </c>
    </row>
    <row r="288" spans="1:8" x14ac:dyDescent="0.35">
      <c r="A288" s="49" t="s">
        <v>169</v>
      </c>
      <c r="B288" s="50">
        <v>45748</v>
      </c>
      <c r="C288" s="51" t="s">
        <v>25</v>
      </c>
      <c r="D288" s="51" t="s">
        <v>12</v>
      </c>
      <c r="E288" s="51" t="s">
        <v>170</v>
      </c>
      <c r="F288" s="51" t="s">
        <v>8</v>
      </c>
      <c r="G288" s="52">
        <v>0</v>
      </c>
      <c r="H288" s="53">
        <v>0</v>
      </c>
    </row>
    <row r="289" spans="1:8" x14ac:dyDescent="0.35">
      <c r="A289" s="54" t="s">
        <v>169</v>
      </c>
      <c r="B289" s="55">
        <v>45748</v>
      </c>
      <c r="C289" s="56" t="s">
        <v>25</v>
      </c>
      <c r="D289" s="56" t="s">
        <v>12</v>
      </c>
      <c r="E289" s="56" t="s">
        <v>170</v>
      </c>
      <c r="F289" s="56" t="s">
        <v>15</v>
      </c>
      <c r="G289" s="57">
        <v>0</v>
      </c>
      <c r="H289" s="58">
        <v>0</v>
      </c>
    </row>
    <row r="290" spans="1:8" x14ac:dyDescent="0.35">
      <c r="A290" s="49" t="s">
        <v>134</v>
      </c>
      <c r="B290" s="50">
        <v>45839</v>
      </c>
      <c r="C290" s="51" t="s">
        <v>57</v>
      </c>
      <c r="D290" s="51" t="s">
        <v>58</v>
      </c>
      <c r="E290" s="51" t="s">
        <v>10</v>
      </c>
      <c r="F290" s="51" t="s">
        <v>7</v>
      </c>
      <c r="G290" s="52">
        <v>0</v>
      </c>
      <c r="H290" s="53">
        <v>0</v>
      </c>
    </row>
    <row r="291" spans="1:8" x14ac:dyDescent="0.35">
      <c r="A291" s="54" t="s">
        <v>134</v>
      </c>
      <c r="B291" s="55">
        <v>45839</v>
      </c>
      <c r="C291" s="56" t="s">
        <v>57</v>
      </c>
      <c r="D291" s="56" t="s">
        <v>58</v>
      </c>
      <c r="E291" s="56" t="s">
        <v>10</v>
      </c>
      <c r="F291" s="56" t="s">
        <v>8</v>
      </c>
      <c r="G291" s="57">
        <v>0</v>
      </c>
      <c r="H291" s="58">
        <v>0</v>
      </c>
    </row>
    <row r="292" spans="1:8" x14ac:dyDescent="0.35">
      <c r="A292" s="49" t="s">
        <v>134</v>
      </c>
      <c r="B292" s="50">
        <v>45839</v>
      </c>
      <c r="C292" s="51" t="s">
        <v>57</v>
      </c>
      <c r="D292" s="51" t="s">
        <v>58</v>
      </c>
      <c r="E292" s="51" t="s">
        <v>10</v>
      </c>
      <c r="F292" s="51" t="s">
        <v>15</v>
      </c>
      <c r="G292" s="52">
        <v>35019.49</v>
      </c>
      <c r="H292" s="53">
        <v>1100</v>
      </c>
    </row>
    <row r="293" spans="1:8" x14ac:dyDescent="0.35">
      <c r="A293" s="54" t="s">
        <v>134</v>
      </c>
      <c r="B293" s="55">
        <v>45839</v>
      </c>
      <c r="C293" s="56" t="s">
        <v>57</v>
      </c>
      <c r="D293" s="56" t="s">
        <v>58</v>
      </c>
      <c r="E293" s="56" t="s">
        <v>10</v>
      </c>
      <c r="F293" s="56" t="s">
        <v>65</v>
      </c>
      <c r="G293" s="57">
        <v>0</v>
      </c>
      <c r="H293" s="58">
        <v>0</v>
      </c>
    </row>
    <row r="294" spans="1:8" x14ac:dyDescent="0.35">
      <c r="A294" s="59">
        <v>20105</v>
      </c>
      <c r="B294" s="50">
        <v>45839</v>
      </c>
      <c r="C294" s="51" t="s">
        <v>26</v>
      </c>
      <c r="D294" s="51" t="s">
        <v>19</v>
      </c>
      <c r="E294" s="51" t="s">
        <v>13</v>
      </c>
      <c r="F294" s="51" t="s">
        <v>7</v>
      </c>
      <c r="G294" s="52">
        <v>0</v>
      </c>
      <c r="H294" s="53">
        <v>0</v>
      </c>
    </row>
    <row r="295" spans="1:8" x14ac:dyDescent="0.35">
      <c r="A295" s="60">
        <v>20105</v>
      </c>
      <c r="B295" s="55">
        <v>45839</v>
      </c>
      <c r="C295" s="56" t="s">
        <v>26</v>
      </c>
      <c r="D295" s="56" t="s">
        <v>19</v>
      </c>
      <c r="E295" s="56" t="s">
        <v>13</v>
      </c>
      <c r="F295" s="56" t="s">
        <v>8</v>
      </c>
      <c r="G295" s="57">
        <v>0</v>
      </c>
      <c r="H295" s="58">
        <v>0</v>
      </c>
    </row>
    <row r="296" spans="1:8" x14ac:dyDescent="0.35">
      <c r="A296" s="59">
        <v>20105</v>
      </c>
      <c r="B296" s="50">
        <v>45839</v>
      </c>
      <c r="C296" s="51" t="s">
        <v>26</v>
      </c>
      <c r="D296" s="51" t="s">
        <v>19</v>
      </c>
      <c r="E296" s="51" t="s">
        <v>13</v>
      </c>
      <c r="F296" s="51" t="s">
        <v>15</v>
      </c>
      <c r="G296" s="52">
        <v>15310.52</v>
      </c>
      <c r="H296" s="53">
        <v>510</v>
      </c>
    </row>
    <row r="297" spans="1:8" x14ac:dyDescent="0.35">
      <c r="A297" s="60">
        <v>20105</v>
      </c>
      <c r="B297" s="55">
        <v>45839</v>
      </c>
      <c r="C297" s="56" t="s">
        <v>26</v>
      </c>
      <c r="D297" s="56" t="s">
        <v>19</v>
      </c>
      <c r="E297" s="56" t="s">
        <v>13</v>
      </c>
      <c r="F297" s="56" t="s">
        <v>65</v>
      </c>
      <c r="G297" s="57">
        <v>0</v>
      </c>
      <c r="H297" s="58">
        <v>0</v>
      </c>
    </row>
    <row r="298" spans="1:8" x14ac:dyDescent="0.35">
      <c r="A298" s="49" t="s">
        <v>142</v>
      </c>
      <c r="B298" s="50">
        <v>45870</v>
      </c>
      <c r="C298" s="51" t="s">
        <v>48</v>
      </c>
      <c r="D298" s="51" t="s">
        <v>49</v>
      </c>
      <c r="E298" s="51" t="s">
        <v>52</v>
      </c>
      <c r="F298" s="51" t="s">
        <v>7</v>
      </c>
      <c r="G298" s="52">
        <v>0</v>
      </c>
      <c r="H298" s="53">
        <v>0</v>
      </c>
    </row>
    <row r="299" spans="1:8" x14ac:dyDescent="0.35">
      <c r="A299" s="54" t="s">
        <v>142</v>
      </c>
      <c r="B299" s="55">
        <v>45870</v>
      </c>
      <c r="C299" s="56" t="s">
        <v>48</v>
      </c>
      <c r="D299" s="56" t="s">
        <v>49</v>
      </c>
      <c r="E299" s="56" t="s">
        <v>52</v>
      </c>
      <c r="F299" s="56" t="s">
        <v>8</v>
      </c>
      <c r="G299" s="57">
        <v>0</v>
      </c>
      <c r="H299" s="58">
        <v>0</v>
      </c>
    </row>
    <row r="300" spans="1:8" x14ac:dyDescent="0.35">
      <c r="A300" s="49" t="s">
        <v>142</v>
      </c>
      <c r="B300" s="50">
        <v>45870</v>
      </c>
      <c r="C300" s="51" t="s">
        <v>48</v>
      </c>
      <c r="D300" s="51" t="s">
        <v>49</v>
      </c>
      <c r="E300" s="51" t="s">
        <v>52</v>
      </c>
      <c r="F300" s="51" t="s">
        <v>15</v>
      </c>
      <c r="G300" s="52">
        <v>89789.370062370057</v>
      </c>
      <c r="H300" s="53">
        <v>2040</v>
      </c>
    </row>
    <row r="301" spans="1:8" x14ac:dyDescent="0.35">
      <c r="A301" s="54" t="s">
        <v>142</v>
      </c>
      <c r="B301" s="55">
        <v>45870</v>
      </c>
      <c r="C301" s="56" t="s">
        <v>48</v>
      </c>
      <c r="D301" s="56" t="s">
        <v>49</v>
      </c>
      <c r="E301" s="56" t="s">
        <v>52</v>
      </c>
      <c r="F301" s="56" t="s">
        <v>65</v>
      </c>
      <c r="G301" s="57">
        <v>0</v>
      </c>
      <c r="H301" s="58">
        <v>0</v>
      </c>
    </row>
    <row r="302" spans="1:8" x14ac:dyDescent="0.35">
      <c r="A302" s="49" t="s">
        <v>139</v>
      </c>
      <c r="B302" s="50">
        <v>45870</v>
      </c>
      <c r="C302" s="51" t="s">
        <v>48</v>
      </c>
      <c r="D302" s="51" t="s">
        <v>49</v>
      </c>
      <c r="E302" s="51" t="s">
        <v>14</v>
      </c>
      <c r="F302" s="51" t="s">
        <v>7</v>
      </c>
      <c r="G302" s="52">
        <v>0</v>
      </c>
      <c r="H302" s="53">
        <v>0</v>
      </c>
    </row>
    <row r="303" spans="1:8" x14ac:dyDescent="0.35">
      <c r="A303" s="54" t="s">
        <v>139</v>
      </c>
      <c r="B303" s="55">
        <v>45870</v>
      </c>
      <c r="C303" s="56" t="s">
        <v>48</v>
      </c>
      <c r="D303" s="56" t="s">
        <v>49</v>
      </c>
      <c r="E303" s="56" t="s">
        <v>14</v>
      </c>
      <c r="F303" s="56" t="s">
        <v>8</v>
      </c>
      <c r="G303" s="57">
        <v>0</v>
      </c>
      <c r="H303" s="58">
        <v>0</v>
      </c>
    </row>
    <row r="304" spans="1:8" x14ac:dyDescent="0.35">
      <c r="A304" s="49" t="s">
        <v>139</v>
      </c>
      <c r="B304" s="50">
        <v>45870</v>
      </c>
      <c r="C304" s="51" t="s">
        <v>48</v>
      </c>
      <c r="D304" s="51" t="s">
        <v>49</v>
      </c>
      <c r="E304" s="51" t="s">
        <v>14</v>
      </c>
      <c r="F304" s="51" t="s">
        <v>15</v>
      </c>
      <c r="G304" s="52">
        <v>17995.57</v>
      </c>
      <c r="H304" s="53">
        <v>936</v>
      </c>
    </row>
    <row r="305" spans="1:8" x14ac:dyDescent="0.35">
      <c r="A305" s="54" t="s">
        <v>139</v>
      </c>
      <c r="B305" s="55">
        <v>45870</v>
      </c>
      <c r="C305" s="56" t="s">
        <v>48</v>
      </c>
      <c r="D305" s="56" t="s">
        <v>49</v>
      </c>
      <c r="E305" s="56" t="s">
        <v>14</v>
      </c>
      <c r="F305" s="56" t="s">
        <v>65</v>
      </c>
      <c r="G305" s="57">
        <v>0</v>
      </c>
      <c r="H305" s="58">
        <v>0</v>
      </c>
    </row>
    <row r="306" spans="1:8" x14ac:dyDescent="0.35">
      <c r="A306" s="49" t="s">
        <v>25</v>
      </c>
      <c r="B306" s="50">
        <v>45870</v>
      </c>
      <c r="C306" s="51" t="s">
        <v>48</v>
      </c>
      <c r="D306" s="51" t="s">
        <v>49</v>
      </c>
      <c r="E306" s="51" t="s">
        <v>116</v>
      </c>
      <c r="F306" s="51" t="s">
        <v>7</v>
      </c>
      <c r="G306" s="52">
        <v>0</v>
      </c>
      <c r="H306" s="53">
        <v>0</v>
      </c>
    </row>
    <row r="307" spans="1:8" x14ac:dyDescent="0.35">
      <c r="A307" s="54" t="s">
        <v>25</v>
      </c>
      <c r="B307" s="55">
        <v>45870</v>
      </c>
      <c r="C307" s="56" t="s">
        <v>48</v>
      </c>
      <c r="D307" s="56" t="s">
        <v>49</v>
      </c>
      <c r="E307" s="56" t="s">
        <v>116</v>
      </c>
      <c r="F307" s="56" t="s">
        <v>8</v>
      </c>
      <c r="G307" s="57">
        <v>0</v>
      </c>
      <c r="H307" s="58">
        <v>0</v>
      </c>
    </row>
    <row r="308" spans="1:8" x14ac:dyDescent="0.35">
      <c r="A308" s="49" t="s">
        <v>25</v>
      </c>
      <c r="B308" s="50">
        <v>45870</v>
      </c>
      <c r="C308" s="51" t="s">
        <v>48</v>
      </c>
      <c r="D308" s="51" t="s">
        <v>49</v>
      </c>
      <c r="E308" s="51" t="s">
        <v>116</v>
      </c>
      <c r="F308" s="51" t="s">
        <v>15</v>
      </c>
      <c r="G308" s="52">
        <v>0</v>
      </c>
      <c r="H308" s="53">
        <v>0</v>
      </c>
    </row>
    <row r="309" spans="1:8" x14ac:dyDescent="0.35">
      <c r="A309" s="54" t="s">
        <v>25</v>
      </c>
      <c r="B309" s="55">
        <v>45870</v>
      </c>
      <c r="C309" s="56" t="s">
        <v>48</v>
      </c>
      <c r="D309" s="56" t="s">
        <v>49</v>
      </c>
      <c r="E309" s="56" t="s">
        <v>116</v>
      </c>
      <c r="F309" s="56" t="s">
        <v>65</v>
      </c>
      <c r="G309" s="57">
        <v>0</v>
      </c>
      <c r="H309" s="58">
        <v>0</v>
      </c>
    </row>
    <row r="310" spans="1:8" x14ac:dyDescent="0.35">
      <c r="A310" s="49" t="s">
        <v>102</v>
      </c>
      <c r="B310" s="50">
        <v>45870</v>
      </c>
      <c r="C310" s="51" t="s">
        <v>48</v>
      </c>
      <c r="D310" s="51" t="s">
        <v>49</v>
      </c>
      <c r="E310" s="51" t="s">
        <v>51</v>
      </c>
      <c r="F310" s="51" t="s">
        <v>7</v>
      </c>
      <c r="G310" s="52">
        <v>0</v>
      </c>
      <c r="H310" s="53">
        <v>0</v>
      </c>
    </row>
    <row r="311" spans="1:8" x14ac:dyDescent="0.35">
      <c r="A311" s="54" t="s">
        <v>102</v>
      </c>
      <c r="B311" s="55">
        <v>45870</v>
      </c>
      <c r="C311" s="56" t="s">
        <v>48</v>
      </c>
      <c r="D311" s="56" t="s">
        <v>49</v>
      </c>
      <c r="E311" s="56" t="s">
        <v>51</v>
      </c>
      <c r="F311" s="56" t="s">
        <v>8</v>
      </c>
      <c r="G311" s="57">
        <v>0</v>
      </c>
      <c r="H311" s="58">
        <v>0</v>
      </c>
    </row>
    <row r="312" spans="1:8" x14ac:dyDescent="0.35">
      <c r="A312" s="49" t="s">
        <v>102</v>
      </c>
      <c r="B312" s="50">
        <v>45870</v>
      </c>
      <c r="C312" s="51" t="s">
        <v>48</v>
      </c>
      <c r="D312" s="51" t="s">
        <v>49</v>
      </c>
      <c r="E312" s="51" t="s">
        <v>51</v>
      </c>
      <c r="F312" s="51" t="s">
        <v>15</v>
      </c>
      <c r="G312" s="52">
        <v>0</v>
      </c>
      <c r="H312" s="53">
        <v>0</v>
      </c>
    </row>
    <row r="313" spans="1:8" x14ac:dyDescent="0.35">
      <c r="A313" s="54" t="s">
        <v>102</v>
      </c>
      <c r="B313" s="55">
        <v>45870</v>
      </c>
      <c r="C313" s="56" t="s">
        <v>48</v>
      </c>
      <c r="D313" s="56" t="s">
        <v>49</v>
      </c>
      <c r="E313" s="56" t="s">
        <v>51</v>
      </c>
      <c r="F313" s="56" t="s">
        <v>65</v>
      </c>
      <c r="G313" s="57">
        <v>0</v>
      </c>
      <c r="H313" s="58">
        <v>0</v>
      </c>
    </row>
    <row r="314" spans="1:8" x14ac:dyDescent="0.35">
      <c r="A314" s="49" t="s">
        <v>172</v>
      </c>
      <c r="B314" s="50">
        <v>45870</v>
      </c>
      <c r="C314" s="51" t="s">
        <v>22</v>
      </c>
      <c r="D314" s="51" t="s">
        <v>11</v>
      </c>
      <c r="E314" s="51" t="s">
        <v>13</v>
      </c>
      <c r="F314" s="51" t="s">
        <v>7</v>
      </c>
      <c r="G314" s="52">
        <v>0</v>
      </c>
      <c r="H314" s="53">
        <v>0</v>
      </c>
    </row>
    <row r="315" spans="1:8" x14ac:dyDescent="0.35">
      <c r="A315" s="54" t="s">
        <v>172</v>
      </c>
      <c r="B315" s="55">
        <v>45870</v>
      </c>
      <c r="C315" s="56" t="s">
        <v>22</v>
      </c>
      <c r="D315" s="56" t="s">
        <v>11</v>
      </c>
      <c r="E315" s="56" t="s">
        <v>13</v>
      </c>
      <c r="F315" s="56" t="s">
        <v>8</v>
      </c>
      <c r="G315" s="57">
        <v>0</v>
      </c>
      <c r="H315" s="58">
        <v>0</v>
      </c>
    </row>
    <row r="316" spans="1:8" x14ac:dyDescent="0.35">
      <c r="A316" s="49" t="s">
        <v>172</v>
      </c>
      <c r="B316" s="50">
        <v>45870</v>
      </c>
      <c r="C316" s="51" t="s">
        <v>22</v>
      </c>
      <c r="D316" s="51" t="s">
        <v>11</v>
      </c>
      <c r="E316" s="51" t="s">
        <v>13</v>
      </c>
      <c r="F316" s="51" t="s">
        <v>15</v>
      </c>
      <c r="G316" s="52">
        <v>0</v>
      </c>
      <c r="H316" s="53">
        <v>0</v>
      </c>
    </row>
    <row r="317" spans="1:8" x14ac:dyDescent="0.35">
      <c r="A317" s="54" t="s">
        <v>172</v>
      </c>
      <c r="B317" s="55">
        <v>45870</v>
      </c>
      <c r="C317" s="56" t="s">
        <v>22</v>
      </c>
      <c r="D317" s="56" t="s">
        <v>11</v>
      </c>
      <c r="E317" s="56" t="s">
        <v>13</v>
      </c>
      <c r="F317" s="56" t="s">
        <v>65</v>
      </c>
      <c r="G317" s="57">
        <v>0</v>
      </c>
      <c r="H317" s="58">
        <v>0</v>
      </c>
    </row>
    <row r="318" spans="1:8" x14ac:dyDescent="0.35">
      <c r="A318" s="49" t="s">
        <v>149</v>
      </c>
      <c r="B318" s="50">
        <v>45870</v>
      </c>
      <c r="C318" s="51" t="s">
        <v>23</v>
      </c>
      <c r="D318" s="51" t="s">
        <v>112</v>
      </c>
      <c r="E318" s="51" t="s">
        <v>113</v>
      </c>
      <c r="F318" s="51" t="s">
        <v>7</v>
      </c>
      <c r="G318" s="52">
        <v>0</v>
      </c>
      <c r="H318" s="53">
        <v>0</v>
      </c>
    </row>
    <row r="319" spans="1:8" x14ac:dyDescent="0.35">
      <c r="A319" s="54" t="s">
        <v>149</v>
      </c>
      <c r="B319" s="55">
        <v>45870</v>
      </c>
      <c r="C319" s="56" t="s">
        <v>23</v>
      </c>
      <c r="D319" s="56" t="s">
        <v>112</v>
      </c>
      <c r="E319" s="56" t="s">
        <v>113</v>
      </c>
      <c r="F319" s="56" t="s">
        <v>8</v>
      </c>
      <c r="G319" s="57">
        <v>0</v>
      </c>
      <c r="H319" s="58">
        <v>0</v>
      </c>
    </row>
    <row r="320" spans="1:8" x14ac:dyDescent="0.35">
      <c r="A320" s="49" t="s">
        <v>149</v>
      </c>
      <c r="B320" s="50">
        <v>45870</v>
      </c>
      <c r="C320" s="51" t="s">
        <v>23</v>
      </c>
      <c r="D320" s="51" t="s">
        <v>112</v>
      </c>
      <c r="E320" s="51" t="s">
        <v>113</v>
      </c>
      <c r="F320" s="51" t="s">
        <v>15</v>
      </c>
      <c r="G320" s="52">
        <v>0</v>
      </c>
      <c r="H320" s="53">
        <v>0</v>
      </c>
    </row>
    <row r="321" spans="1:8" x14ac:dyDescent="0.35">
      <c r="A321" s="54" t="s">
        <v>149</v>
      </c>
      <c r="B321" s="55">
        <v>45870</v>
      </c>
      <c r="C321" s="56" t="s">
        <v>23</v>
      </c>
      <c r="D321" s="56" t="s">
        <v>112</v>
      </c>
      <c r="E321" s="56" t="s">
        <v>113</v>
      </c>
      <c r="F321" s="56" t="s">
        <v>65</v>
      </c>
      <c r="G321" s="57">
        <v>0</v>
      </c>
      <c r="H321" s="58">
        <v>0</v>
      </c>
    </row>
    <row r="322" spans="1:8" x14ac:dyDescent="0.35">
      <c r="A322" s="49" t="s">
        <v>177</v>
      </c>
      <c r="B322" s="50">
        <v>45870</v>
      </c>
      <c r="C322" s="51" t="s">
        <v>46</v>
      </c>
      <c r="D322" s="51" t="s">
        <v>87</v>
      </c>
      <c r="E322" s="51" t="s">
        <v>9</v>
      </c>
      <c r="F322" s="51" t="s">
        <v>7</v>
      </c>
      <c r="G322" s="52">
        <v>0</v>
      </c>
      <c r="H322" s="53">
        <v>0</v>
      </c>
    </row>
    <row r="323" spans="1:8" x14ac:dyDescent="0.35">
      <c r="A323" s="54" t="s">
        <v>177</v>
      </c>
      <c r="B323" s="55">
        <v>45870</v>
      </c>
      <c r="C323" s="56" t="s">
        <v>46</v>
      </c>
      <c r="D323" s="56" t="s">
        <v>87</v>
      </c>
      <c r="E323" s="56" t="s">
        <v>9</v>
      </c>
      <c r="F323" s="56" t="s">
        <v>8</v>
      </c>
      <c r="G323" s="57">
        <v>0</v>
      </c>
      <c r="H323" s="58">
        <v>0</v>
      </c>
    </row>
    <row r="324" spans="1:8" x14ac:dyDescent="0.35">
      <c r="A324" s="49" t="s">
        <v>177</v>
      </c>
      <c r="B324" s="50">
        <v>45870</v>
      </c>
      <c r="C324" s="51" t="s">
        <v>46</v>
      </c>
      <c r="D324" s="51" t="s">
        <v>87</v>
      </c>
      <c r="E324" s="51" t="s">
        <v>9</v>
      </c>
      <c r="F324" s="51" t="s">
        <v>15</v>
      </c>
      <c r="G324" s="52">
        <v>65348.32</v>
      </c>
      <c r="H324" s="53">
        <v>1926</v>
      </c>
    </row>
    <row r="325" spans="1:8" x14ac:dyDescent="0.35">
      <c r="A325" s="54" t="s">
        <v>177</v>
      </c>
      <c r="B325" s="55">
        <v>45870</v>
      </c>
      <c r="C325" s="56" t="s">
        <v>46</v>
      </c>
      <c r="D325" s="56" t="s">
        <v>87</v>
      </c>
      <c r="E325" s="56" t="s">
        <v>9</v>
      </c>
      <c r="F325" s="56" t="s">
        <v>65</v>
      </c>
      <c r="G325" s="57">
        <v>0</v>
      </c>
      <c r="H325" s="58">
        <v>0</v>
      </c>
    </row>
    <row r="326" spans="1:8" x14ac:dyDescent="0.35">
      <c r="A326" s="49" t="s">
        <v>169</v>
      </c>
      <c r="B326" s="50">
        <v>45748</v>
      </c>
      <c r="C326" s="51" t="s">
        <v>25</v>
      </c>
      <c r="D326" s="51" t="s">
        <v>12</v>
      </c>
      <c r="E326" s="51" t="s">
        <v>170</v>
      </c>
      <c r="F326" s="51" t="s">
        <v>65</v>
      </c>
      <c r="G326" s="52">
        <v>0</v>
      </c>
      <c r="H326" s="53">
        <v>0</v>
      </c>
    </row>
    <row r="327" spans="1:8" x14ac:dyDescent="0.35">
      <c r="A327" s="54" t="s">
        <v>194</v>
      </c>
      <c r="B327" s="55">
        <v>45778</v>
      </c>
      <c r="C327" s="56" t="s">
        <v>25</v>
      </c>
      <c r="D327" s="56" t="s">
        <v>12</v>
      </c>
      <c r="E327" s="56" t="s">
        <v>9</v>
      </c>
      <c r="F327" s="56" t="s">
        <v>7</v>
      </c>
      <c r="G327" s="57">
        <v>0</v>
      </c>
      <c r="H327" s="58">
        <v>0</v>
      </c>
    </row>
    <row r="328" spans="1:8" x14ac:dyDescent="0.35">
      <c r="A328" s="49" t="s">
        <v>194</v>
      </c>
      <c r="B328" s="50">
        <v>45778</v>
      </c>
      <c r="C328" s="51" t="s">
        <v>25</v>
      </c>
      <c r="D328" s="51" t="s">
        <v>12</v>
      </c>
      <c r="E328" s="51" t="s">
        <v>9</v>
      </c>
      <c r="F328" s="51" t="s">
        <v>8</v>
      </c>
      <c r="G328" s="52">
        <v>0</v>
      </c>
      <c r="H328" s="53">
        <v>0</v>
      </c>
    </row>
    <row r="329" spans="1:8" x14ac:dyDescent="0.35">
      <c r="A329" s="54" t="s">
        <v>194</v>
      </c>
      <c r="B329" s="55">
        <v>45778</v>
      </c>
      <c r="C329" s="56" t="s">
        <v>25</v>
      </c>
      <c r="D329" s="56" t="s">
        <v>12</v>
      </c>
      <c r="E329" s="56" t="s">
        <v>9</v>
      </c>
      <c r="F329" s="56" t="s">
        <v>15</v>
      </c>
      <c r="G329" s="57">
        <v>179058.61</v>
      </c>
      <c r="H329" s="58">
        <v>6100</v>
      </c>
    </row>
    <row r="330" spans="1:8" x14ac:dyDescent="0.35">
      <c r="A330" s="49" t="s">
        <v>134</v>
      </c>
      <c r="B330" s="50">
        <v>45870</v>
      </c>
      <c r="C330" s="51" t="s">
        <v>57</v>
      </c>
      <c r="D330" s="51" t="s">
        <v>58</v>
      </c>
      <c r="E330" s="51" t="s">
        <v>10</v>
      </c>
      <c r="F330" s="51" t="s">
        <v>7</v>
      </c>
      <c r="G330" s="52">
        <v>0</v>
      </c>
      <c r="H330" s="53">
        <v>0</v>
      </c>
    </row>
    <row r="331" spans="1:8" x14ac:dyDescent="0.35">
      <c r="A331" s="54" t="s">
        <v>134</v>
      </c>
      <c r="B331" s="55">
        <v>45870</v>
      </c>
      <c r="C331" s="56" t="s">
        <v>57</v>
      </c>
      <c r="D331" s="56" t="s">
        <v>58</v>
      </c>
      <c r="E331" s="56" t="s">
        <v>10</v>
      </c>
      <c r="F331" s="56" t="s">
        <v>8</v>
      </c>
      <c r="G331" s="57">
        <v>0</v>
      </c>
      <c r="H331" s="58">
        <v>0</v>
      </c>
    </row>
    <row r="332" spans="1:8" x14ac:dyDescent="0.35">
      <c r="A332" s="49" t="s">
        <v>134</v>
      </c>
      <c r="B332" s="50">
        <v>45870</v>
      </c>
      <c r="C332" s="51" t="s">
        <v>57</v>
      </c>
      <c r="D332" s="51" t="s">
        <v>58</v>
      </c>
      <c r="E332" s="51" t="s">
        <v>10</v>
      </c>
      <c r="F332" s="51" t="s">
        <v>15</v>
      </c>
      <c r="G332" s="52">
        <v>35019.49</v>
      </c>
      <c r="H332" s="53">
        <v>1100</v>
      </c>
    </row>
    <row r="333" spans="1:8" x14ac:dyDescent="0.35">
      <c r="A333" s="54" t="s">
        <v>134</v>
      </c>
      <c r="B333" s="55">
        <v>45870</v>
      </c>
      <c r="C333" s="56" t="s">
        <v>57</v>
      </c>
      <c r="D333" s="56" t="s">
        <v>58</v>
      </c>
      <c r="E333" s="56" t="s">
        <v>10</v>
      </c>
      <c r="F333" s="56" t="s">
        <v>65</v>
      </c>
      <c r="G333" s="57">
        <v>0</v>
      </c>
      <c r="H333" s="58">
        <v>0</v>
      </c>
    </row>
    <row r="334" spans="1:8" x14ac:dyDescent="0.35">
      <c r="A334" s="59">
        <v>20105</v>
      </c>
      <c r="B334" s="50">
        <v>45870</v>
      </c>
      <c r="C334" s="51" t="s">
        <v>26</v>
      </c>
      <c r="D334" s="51" t="s">
        <v>19</v>
      </c>
      <c r="E334" s="51" t="s">
        <v>13</v>
      </c>
      <c r="F334" s="51" t="s">
        <v>7</v>
      </c>
      <c r="G334" s="52">
        <v>0</v>
      </c>
      <c r="H334" s="53">
        <v>0</v>
      </c>
    </row>
    <row r="335" spans="1:8" x14ac:dyDescent="0.35">
      <c r="A335" s="60">
        <v>20105</v>
      </c>
      <c r="B335" s="55">
        <v>45870</v>
      </c>
      <c r="C335" s="56" t="s">
        <v>26</v>
      </c>
      <c r="D335" s="56" t="s">
        <v>19</v>
      </c>
      <c r="E335" s="56" t="s">
        <v>13</v>
      </c>
      <c r="F335" s="56" t="s">
        <v>8</v>
      </c>
      <c r="G335" s="57">
        <v>0</v>
      </c>
      <c r="H335" s="58">
        <v>0</v>
      </c>
    </row>
    <row r="336" spans="1:8" x14ac:dyDescent="0.35">
      <c r="A336" s="59">
        <v>20105</v>
      </c>
      <c r="B336" s="50">
        <v>45870</v>
      </c>
      <c r="C336" s="51" t="s">
        <v>26</v>
      </c>
      <c r="D336" s="51" t="s">
        <v>19</v>
      </c>
      <c r="E336" s="51" t="s">
        <v>13</v>
      </c>
      <c r="F336" s="51" t="s">
        <v>15</v>
      </c>
      <c r="G336" s="52">
        <v>15310.52</v>
      </c>
      <c r="H336" s="53">
        <v>510</v>
      </c>
    </row>
    <row r="337" spans="1:8" x14ac:dyDescent="0.35">
      <c r="A337" s="60">
        <v>20105</v>
      </c>
      <c r="B337" s="55">
        <v>45870</v>
      </c>
      <c r="C337" s="56" t="s">
        <v>26</v>
      </c>
      <c r="D337" s="56" t="s">
        <v>19</v>
      </c>
      <c r="E337" s="56" t="s">
        <v>13</v>
      </c>
      <c r="F337" s="56" t="s">
        <v>65</v>
      </c>
      <c r="G337" s="57">
        <v>0</v>
      </c>
      <c r="H337" s="58">
        <v>0</v>
      </c>
    </row>
    <row r="338" spans="1:8" x14ac:dyDescent="0.35">
      <c r="A338" s="49" t="s">
        <v>142</v>
      </c>
      <c r="B338" s="50">
        <v>45901</v>
      </c>
      <c r="C338" s="51" t="s">
        <v>48</v>
      </c>
      <c r="D338" s="51" t="s">
        <v>49</v>
      </c>
      <c r="E338" s="51" t="s">
        <v>52</v>
      </c>
      <c r="F338" s="51" t="s">
        <v>7</v>
      </c>
      <c r="G338" s="52">
        <v>0</v>
      </c>
      <c r="H338" s="53">
        <v>0</v>
      </c>
    </row>
    <row r="339" spans="1:8" x14ac:dyDescent="0.35">
      <c r="A339" s="54" t="s">
        <v>142</v>
      </c>
      <c r="B339" s="55">
        <v>45901</v>
      </c>
      <c r="C339" s="56" t="s">
        <v>48</v>
      </c>
      <c r="D339" s="56" t="s">
        <v>49</v>
      </c>
      <c r="E339" s="56" t="s">
        <v>52</v>
      </c>
      <c r="F339" s="56" t="s">
        <v>8</v>
      </c>
      <c r="G339" s="57">
        <v>0</v>
      </c>
      <c r="H339" s="58">
        <v>0</v>
      </c>
    </row>
    <row r="340" spans="1:8" x14ac:dyDescent="0.35">
      <c r="A340" s="49" t="s">
        <v>142</v>
      </c>
      <c r="B340" s="50">
        <v>45901</v>
      </c>
      <c r="C340" s="51" t="s">
        <v>48</v>
      </c>
      <c r="D340" s="51" t="s">
        <v>49</v>
      </c>
      <c r="E340" s="51" t="s">
        <v>52</v>
      </c>
      <c r="F340" s="51" t="s">
        <v>15</v>
      </c>
      <c r="G340" s="52">
        <v>89789.370062370057</v>
      </c>
      <c r="H340" s="53">
        <v>2040</v>
      </c>
    </row>
    <row r="341" spans="1:8" x14ac:dyDescent="0.35">
      <c r="A341" s="54" t="s">
        <v>142</v>
      </c>
      <c r="B341" s="55">
        <v>45901</v>
      </c>
      <c r="C341" s="56" t="s">
        <v>48</v>
      </c>
      <c r="D341" s="56" t="s">
        <v>49</v>
      </c>
      <c r="E341" s="56" t="s">
        <v>52</v>
      </c>
      <c r="F341" s="56" t="s">
        <v>65</v>
      </c>
      <c r="G341" s="57">
        <v>0</v>
      </c>
      <c r="H341" s="58">
        <v>0</v>
      </c>
    </row>
    <row r="342" spans="1:8" x14ac:dyDescent="0.35">
      <c r="A342" s="49" t="s">
        <v>139</v>
      </c>
      <c r="B342" s="50">
        <v>45901</v>
      </c>
      <c r="C342" s="51" t="s">
        <v>48</v>
      </c>
      <c r="D342" s="51" t="s">
        <v>49</v>
      </c>
      <c r="E342" s="51" t="s">
        <v>14</v>
      </c>
      <c r="F342" s="51" t="s">
        <v>7</v>
      </c>
      <c r="G342" s="52">
        <v>0</v>
      </c>
      <c r="H342" s="53">
        <v>0</v>
      </c>
    </row>
    <row r="343" spans="1:8" x14ac:dyDescent="0.35">
      <c r="A343" s="54" t="s">
        <v>139</v>
      </c>
      <c r="B343" s="55">
        <v>45901</v>
      </c>
      <c r="C343" s="56" t="s">
        <v>48</v>
      </c>
      <c r="D343" s="56" t="s">
        <v>49</v>
      </c>
      <c r="E343" s="56" t="s">
        <v>14</v>
      </c>
      <c r="F343" s="56" t="s">
        <v>8</v>
      </c>
      <c r="G343" s="57">
        <v>0</v>
      </c>
      <c r="H343" s="58">
        <v>0</v>
      </c>
    </row>
    <row r="344" spans="1:8" x14ac:dyDescent="0.35">
      <c r="A344" s="49" t="s">
        <v>139</v>
      </c>
      <c r="B344" s="50">
        <v>45901</v>
      </c>
      <c r="C344" s="51" t="s">
        <v>48</v>
      </c>
      <c r="D344" s="51" t="s">
        <v>49</v>
      </c>
      <c r="E344" s="51" t="s">
        <v>14</v>
      </c>
      <c r="F344" s="51" t="s">
        <v>15</v>
      </c>
      <c r="G344" s="52">
        <v>17995.57</v>
      </c>
      <c r="H344" s="53">
        <v>936</v>
      </c>
    </row>
    <row r="345" spans="1:8" x14ac:dyDescent="0.35">
      <c r="A345" s="54" t="s">
        <v>139</v>
      </c>
      <c r="B345" s="55">
        <v>45901</v>
      </c>
      <c r="C345" s="56" t="s">
        <v>48</v>
      </c>
      <c r="D345" s="56" t="s">
        <v>49</v>
      </c>
      <c r="E345" s="56" t="s">
        <v>14</v>
      </c>
      <c r="F345" s="56" t="s">
        <v>65</v>
      </c>
      <c r="G345" s="57">
        <v>0</v>
      </c>
      <c r="H345" s="58">
        <v>0</v>
      </c>
    </row>
    <row r="346" spans="1:8" x14ac:dyDescent="0.35">
      <c r="A346" s="49" t="s">
        <v>25</v>
      </c>
      <c r="B346" s="50">
        <v>45901</v>
      </c>
      <c r="C346" s="51" t="s">
        <v>48</v>
      </c>
      <c r="D346" s="51" t="s">
        <v>49</v>
      </c>
      <c r="E346" s="51" t="s">
        <v>116</v>
      </c>
      <c r="F346" s="51" t="s">
        <v>7</v>
      </c>
      <c r="G346" s="52">
        <v>0</v>
      </c>
      <c r="H346" s="53">
        <v>0</v>
      </c>
    </row>
    <row r="347" spans="1:8" x14ac:dyDescent="0.35">
      <c r="A347" s="54" t="s">
        <v>25</v>
      </c>
      <c r="B347" s="55">
        <v>45901</v>
      </c>
      <c r="C347" s="56" t="s">
        <v>48</v>
      </c>
      <c r="D347" s="56" t="s">
        <v>49</v>
      </c>
      <c r="E347" s="56" t="s">
        <v>116</v>
      </c>
      <c r="F347" s="56" t="s">
        <v>8</v>
      </c>
      <c r="G347" s="57">
        <v>0</v>
      </c>
      <c r="H347" s="58">
        <v>0</v>
      </c>
    </row>
    <row r="348" spans="1:8" x14ac:dyDescent="0.35">
      <c r="A348" s="49" t="s">
        <v>25</v>
      </c>
      <c r="B348" s="50">
        <v>45901</v>
      </c>
      <c r="C348" s="51" t="s">
        <v>48</v>
      </c>
      <c r="D348" s="51" t="s">
        <v>49</v>
      </c>
      <c r="E348" s="51" t="s">
        <v>116</v>
      </c>
      <c r="F348" s="51" t="s">
        <v>15</v>
      </c>
      <c r="G348" s="52">
        <v>0</v>
      </c>
      <c r="H348" s="53">
        <v>0</v>
      </c>
    </row>
    <row r="349" spans="1:8" x14ac:dyDescent="0.35">
      <c r="A349" s="54" t="s">
        <v>25</v>
      </c>
      <c r="B349" s="55">
        <v>45901</v>
      </c>
      <c r="C349" s="56" t="s">
        <v>48</v>
      </c>
      <c r="D349" s="56" t="s">
        <v>49</v>
      </c>
      <c r="E349" s="56" t="s">
        <v>116</v>
      </c>
      <c r="F349" s="56" t="s">
        <v>65</v>
      </c>
      <c r="G349" s="57">
        <v>0</v>
      </c>
      <c r="H349" s="58">
        <v>0</v>
      </c>
    </row>
    <row r="350" spans="1:8" x14ac:dyDescent="0.35">
      <c r="A350" s="49" t="s">
        <v>102</v>
      </c>
      <c r="B350" s="50">
        <v>45901</v>
      </c>
      <c r="C350" s="51" t="s">
        <v>48</v>
      </c>
      <c r="D350" s="51" t="s">
        <v>49</v>
      </c>
      <c r="E350" s="51" t="s">
        <v>51</v>
      </c>
      <c r="F350" s="51" t="s">
        <v>7</v>
      </c>
      <c r="G350" s="52">
        <v>0</v>
      </c>
      <c r="H350" s="53">
        <v>0</v>
      </c>
    </row>
    <row r="351" spans="1:8" x14ac:dyDescent="0.35">
      <c r="A351" s="54" t="s">
        <v>102</v>
      </c>
      <c r="B351" s="55">
        <v>45901</v>
      </c>
      <c r="C351" s="56" t="s">
        <v>48</v>
      </c>
      <c r="D351" s="56" t="s">
        <v>49</v>
      </c>
      <c r="E351" s="56" t="s">
        <v>51</v>
      </c>
      <c r="F351" s="56" t="s">
        <v>8</v>
      </c>
      <c r="G351" s="57">
        <v>0</v>
      </c>
      <c r="H351" s="58">
        <v>0</v>
      </c>
    </row>
    <row r="352" spans="1:8" x14ac:dyDescent="0.35">
      <c r="A352" s="49" t="s">
        <v>102</v>
      </c>
      <c r="B352" s="50">
        <v>45901</v>
      </c>
      <c r="C352" s="51" t="s">
        <v>48</v>
      </c>
      <c r="D352" s="51" t="s">
        <v>49</v>
      </c>
      <c r="E352" s="51" t="s">
        <v>51</v>
      </c>
      <c r="F352" s="51" t="s">
        <v>15</v>
      </c>
      <c r="G352" s="52">
        <v>0</v>
      </c>
      <c r="H352" s="53">
        <v>0</v>
      </c>
    </row>
    <row r="353" spans="1:8" x14ac:dyDescent="0.35">
      <c r="A353" s="54" t="s">
        <v>102</v>
      </c>
      <c r="B353" s="55">
        <v>45901</v>
      </c>
      <c r="C353" s="56" t="s">
        <v>48</v>
      </c>
      <c r="D353" s="56" t="s">
        <v>49</v>
      </c>
      <c r="E353" s="56" t="s">
        <v>51</v>
      </c>
      <c r="F353" s="56" t="s">
        <v>65</v>
      </c>
      <c r="G353" s="57">
        <v>0</v>
      </c>
      <c r="H353" s="58">
        <v>0</v>
      </c>
    </row>
    <row r="354" spans="1:8" x14ac:dyDescent="0.35">
      <c r="A354" s="49" t="s">
        <v>172</v>
      </c>
      <c r="B354" s="50">
        <v>45901</v>
      </c>
      <c r="C354" s="51" t="s">
        <v>22</v>
      </c>
      <c r="D354" s="51" t="s">
        <v>11</v>
      </c>
      <c r="E354" s="51" t="s">
        <v>13</v>
      </c>
      <c r="F354" s="51" t="s">
        <v>7</v>
      </c>
      <c r="G354" s="52">
        <v>0</v>
      </c>
      <c r="H354" s="53">
        <v>0</v>
      </c>
    </row>
    <row r="355" spans="1:8" x14ac:dyDescent="0.35">
      <c r="A355" s="54" t="s">
        <v>172</v>
      </c>
      <c r="B355" s="55">
        <v>45901</v>
      </c>
      <c r="C355" s="56" t="s">
        <v>22</v>
      </c>
      <c r="D355" s="56" t="s">
        <v>11</v>
      </c>
      <c r="E355" s="56" t="s">
        <v>13</v>
      </c>
      <c r="F355" s="56" t="s">
        <v>8</v>
      </c>
      <c r="G355" s="57">
        <v>0</v>
      </c>
      <c r="H355" s="58">
        <v>0</v>
      </c>
    </row>
    <row r="356" spans="1:8" x14ac:dyDescent="0.35">
      <c r="A356" s="49" t="s">
        <v>172</v>
      </c>
      <c r="B356" s="50">
        <v>45901</v>
      </c>
      <c r="C356" s="51" t="s">
        <v>22</v>
      </c>
      <c r="D356" s="51" t="s">
        <v>11</v>
      </c>
      <c r="E356" s="51" t="s">
        <v>13</v>
      </c>
      <c r="F356" s="51" t="s">
        <v>15</v>
      </c>
      <c r="G356" s="52">
        <v>0</v>
      </c>
      <c r="H356" s="53">
        <v>0</v>
      </c>
    </row>
    <row r="357" spans="1:8" x14ac:dyDescent="0.35">
      <c r="A357" s="54" t="s">
        <v>172</v>
      </c>
      <c r="B357" s="55">
        <v>45901</v>
      </c>
      <c r="C357" s="56" t="s">
        <v>22</v>
      </c>
      <c r="D357" s="56" t="s">
        <v>11</v>
      </c>
      <c r="E357" s="56" t="s">
        <v>13</v>
      </c>
      <c r="F357" s="56" t="s">
        <v>65</v>
      </c>
      <c r="G357" s="57">
        <v>0</v>
      </c>
      <c r="H357" s="58">
        <v>0</v>
      </c>
    </row>
    <row r="358" spans="1:8" x14ac:dyDescent="0.35">
      <c r="A358" s="49" t="s">
        <v>149</v>
      </c>
      <c r="B358" s="50">
        <v>45901</v>
      </c>
      <c r="C358" s="51" t="s">
        <v>23</v>
      </c>
      <c r="D358" s="51" t="s">
        <v>112</v>
      </c>
      <c r="E358" s="51" t="s">
        <v>113</v>
      </c>
      <c r="F358" s="51" t="s">
        <v>7</v>
      </c>
      <c r="G358" s="52">
        <v>0</v>
      </c>
      <c r="H358" s="53">
        <v>0</v>
      </c>
    </row>
    <row r="359" spans="1:8" x14ac:dyDescent="0.35">
      <c r="A359" s="54" t="s">
        <v>149</v>
      </c>
      <c r="B359" s="55">
        <v>45901</v>
      </c>
      <c r="C359" s="56" t="s">
        <v>23</v>
      </c>
      <c r="D359" s="56" t="s">
        <v>112</v>
      </c>
      <c r="E359" s="56" t="s">
        <v>113</v>
      </c>
      <c r="F359" s="56" t="s">
        <v>8</v>
      </c>
      <c r="G359" s="57">
        <v>0</v>
      </c>
      <c r="H359" s="58">
        <v>0</v>
      </c>
    </row>
    <row r="360" spans="1:8" x14ac:dyDescent="0.35">
      <c r="A360" s="49" t="s">
        <v>149</v>
      </c>
      <c r="B360" s="50">
        <v>45901</v>
      </c>
      <c r="C360" s="51" t="s">
        <v>23</v>
      </c>
      <c r="D360" s="51" t="s">
        <v>112</v>
      </c>
      <c r="E360" s="51" t="s">
        <v>113</v>
      </c>
      <c r="F360" s="51" t="s">
        <v>15</v>
      </c>
      <c r="G360" s="52">
        <v>0</v>
      </c>
      <c r="H360" s="53">
        <v>0</v>
      </c>
    </row>
    <row r="361" spans="1:8" x14ac:dyDescent="0.35">
      <c r="A361" s="54" t="s">
        <v>149</v>
      </c>
      <c r="B361" s="55">
        <v>45901</v>
      </c>
      <c r="C361" s="56" t="s">
        <v>23</v>
      </c>
      <c r="D361" s="56" t="s">
        <v>112</v>
      </c>
      <c r="E361" s="56" t="s">
        <v>113</v>
      </c>
      <c r="F361" s="56" t="s">
        <v>65</v>
      </c>
      <c r="G361" s="57">
        <v>0</v>
      </c>
      <c r="H361" s="58">
        <v>0</v>
      </c>
    </row>
    <row r="362" spans="1:8" x14ac:dyDescent="0.35">
      <c r="A362" s="49" t="s">
        <v>177</v>
      </c>
      <c r="B362" s="50">
        <v>45901</v>
      </c>
      <c r="C362" s="51" t="s">
        <v>46</v>
      </c>
      <c r="D362" s="51" t="s">
        <v>87</v>
      </c>
      <c r="E362" s="51" t="s">
        <v>9</v>
      </c>
      <c r="F362" s="51" t="s">
        <v>7</v>
      </c>
      <c r="G362" s="52">
        <v>0</v>
      </c>
      <c r="H362" s="53">
        <v>0</v>
      </c>
    </row>
    <row r="363" spans="1:8" x14ac:dyDescent="0.35">
      <c r="A363" s="54" t="s">
        <v>177</v>
      </c>
      <c r="B363" s="55">
        <v>45901</v>
      </c>
      <c r="C363" s="56" t="s">
        <v>46</v>
      </c>
      <c r="D363" s="56" t="s">
        <v>87</v>
      </c>
      <c r="E363" s="56" t="s">
        <v>9</v>
      </c>
      <c r="F363" s="56" t="s">
        <v>8</v>
      </c>
      <c r="G363" s="57">
        <v>0</v>
      </c>
      <c r="H363" s="58">
        <v>0</v>
      </c>
    </row>
    <row r="364" spans="1:8" x14ac:dyDescent="0.35">
      <c r="A364" s="49" t="s">
        <v>177</v>
      </c>
      <c r="B364" s="50">
        <v>45901</v>
      </c>
      <c r="C364" s="51" t="s">
        <v>46</v>
      </c>
      <c r="D364" s="51" t="s">
        <v>87</v>
      </c>
      <c r="E364" s="51" t="s">
        <v>9</v>
      </c>
      <c r="F364" s="51" t="s">
        <v>15</v>
      </c>
      <c r="G364" s="52">
        <v>65348.32</v>
      </c>
      <c r="H364" s="53">
        <v>1926</v>
      </c>
    </row>
    <row r="365" spans="1:8" x14ac:dyDescent="0.35">
      <c r="A365" s="54" t="s">
        <v>177</v>
      </c>
      <c r="B365" s="55">
        <v>45901</v>
      </c>
      <c r="C365" s="56" t="s">
        <v>46</v>
      </c>
      <c r="D365" s="56" t="s">
        <v>87</v>
      </c>
      <c r="E365" s="56" t="s">
        <v>9</v>
      </c>
      <c r="F365" s="56" t="s">
        <v>65</v>
      </c>
      <c r="G365" s="57">
        <v>0</v>
      </c>
      <c r="H365" s="58">
        <v>0</v>
      </c>
    </row>
    <row r="366" spans="1:8" x14ac:dyDescent="0.35">
      <c r="A366" s="49" t="s">
        <v>194</v>
      </c>
      <c r="B366" s="50">
        <v>45778</v>
      </c>
      <c r="C366" s="51" t="s">
        <v>25</v>
      </c>
      <c r="D366" s="51" t="s">
        <v>12</v>
      </c>
      <c r="E366" s="51" t="s">
        <v>9</v>
      </c>
      <c r="F366" s="51" t="s">
        <v>65</v>
      </c>
      <c r="G366" s="52">
        <v>0</v>
      </c>
      <c r="H366" s="53">
        <v>0</v>
      </c>
    </row>
    <row r="367" spans="1:8" x14ac:dyDescent="0.35">
      <c r="A367" s="54" t="s">
        <v>169</v>
      </c>
      <c r="B367" s="55">
        <v>45778</v>
      </c>
      <c r="C367" s="56" t="s">
        <v>25</v>
      </c>
      <c r="D367" s="56" t="s">
        <v>12</v>
      </c>
      <c r="E367" s="56" t="s">
        <v>170</v>
      </c>
      <c r="F367" s="56" t="s">
        <v>7</v>
      </c>
      <c r="G367" s="57">
        <v>0</v>
      </c>
      <c r="H367" s="58">
        <v>0</v>
      </c>
    </row>
    <row r="368" spans="1:8" x14ac:dyDescent="0.35">
      <c r="A368" s="49" t="s">
        <v>169</v>
      </c>
      <c r="B368" s="50">
        <v>45778</v>
      </c>
      <c r="C368" s="51" t="s">
        <v>25</v>
      </c>
      <c r="D368" s="51" t="s">
        <v>12</v>
      </c>
      <c r="E368" s="51" t="s">
        <v>170</v>
      </c>
      <c r="F368" s="51" t="s">
        <v>8</v>
      </c>
      <c r="G368" s="52">
        <v>0</v>
      </c>
      <c r="H368" s="53">
        <v>0</v>
      </c>
    </row>
    <row r="369" spans="1:8" x14ac:dyDescent="0.35">
      <c r="A369" s="54" t="s">
        <v>169</v>
      </c>
      <c r="B369" s="55">
        <v>45778</v>
      </c>
      <c r="C369" s="56" t="s">
        <v>25</v>
      </c>
      <c r="D369" s="56" t="s">
        <v>12</v>
      </c>
      <c r="E369" s="56" t="s">
        <v>170</v>
      </c>
      <c r="F369" s="56" t="s">
        <v>15</v>
      </c>
      <c r="G369" s="57">
        <v>123240</v>
      </c>
      <c r="H369" s="58">
        <v>4160</v>
      </c>
    </row>
    <row r="370" spans="1:8" x14ac:dyDescent="0.35">
      <c r="A370" s="49" t="s">
        <v>134</v>
      </c>
      <c r="B370" s="50">
        <v>45901</v>
      </c>
      <c r="C370" s="51" t="s">
        <v>57</v>
      </c>
      <c r="D370" s="51" t="s">
        <v>58</v>
      </c>
      <c r="E370" s="51" t="s">
        <v>10</v>
      </c>
      <c r="F370" s="51" t="s">
        <v>7</v>
      </c>
      <c r="G370" s="52">
        <v>0</v>
      </c>
      <c r="H370" s="53">
        <v>0</v>
      </c>
    </row>
    <row r="371" spans="1:8" x14ac:dyDescent="0.35">
      <c r="A371" s="54" t="s">
        <v>134</v>
      </c>
      <c r="B371" s="55">
        <v>45901</v>
      </c>
      <c r="C371" s="56" t="s">
        <v>57</v>
      </c>
      <c r="D371" s="56" t="s">
        <v>58</v>
      </c>
      <c r="E371" s="56" t="s">
        <v>10</v>
      </c>
      <c r="F371" s="56" t="s">
        <v>8</v>
      </c>
      <c r="G371" s="57">
        <v>0</v>
      </c>
      <c r="H371" s="58">
        <v>0</v>
      </c>
    </row>
    <row r="372" spans="1:8" x14ac:dyDescent="0.35">
      <c r="A372" s="49" t="s">
        <v>134</v>
      </c>
      <c r="B372" s="50">
        <v>45901</v>
      </c>
      <c r="C372" s="51" t="s">
        <v>57</v>
      </c>
      <c r="D372" s="51" t="s">
        <v>58</v>
      </c>
      <c r="E372" s="51" t="s">
        <v>10</v>
      </c>
      <c r="F372" s="51" t="s">
        <v>15</v>
      </c>
      <c r="G372" s="52">
        <v>35019.49</v>
      </c>
      <c r="H372" s="53">
        <v>1100</v>
      </c>
    </row>
    <row r="373" spans="1:8" x14ac:dyDescent="0.35">
      <c r="A373" s="54" t="s">
        <v>134</v>
      </c>
      <c r="B373" s="55">
        <v>45901</v>
      </c>
      <c r="C373" s="56" t="s">
        <v>57</v>
      </c>
      <c r="D373" s="56" t="s">
        <v>58</v>
      </c>
      <c r="E373" s="56" t="s">
        <v>10</v>
      </c>
      <c r="F373" s="56" t="s">
        <v>65</v>
      </c>
      <c r="G373" s="57">
        <v>0</v>
      </c>
      <c r="H373" s="58">
        <v>0</v>
      </c>
    </row>
    <row r="374" spans="1:8" x14ac:dyDescent="0.35">
      <c r="A374" s="59">
        <v>20105</v>
      </c>
      <c r="B374" s="50">
        <v>45901</v>
      </c>
      <c r="C374" s="51" t="s">
        <v>26</v>
      </c>
      <c r="D374" s="51" t="s">
        <v>19</v>
      </c>
      <c r="E374" s="51" t="s">
        <v>13</v>
      </c>
      <c r="F374" s="51" t="s">
        <v>7</v>
      </c>
      <c r="G374" s="52">
        <v>0</v>
      </c>
      <c r="H374" s="53">
        <v>0</v>
      </c>
    </row>
    <row r="375" spans="1:8" x14ac:dyDescent="0.35">
      <c r="A375" s="60">
        <v>20105</v>
      </c>
      <c r="B375" s="55">
        <v>45901</v>
      </c>
      <c r="C375" s="56" t="s">
        <v>26</v>
      </c>
      <c r="D375" s="56" t="s">
        <v>19</v>
      </c>
      <c r="E375" s="56" t="s">
        <v>13</v>
      </c>
      <c r="F375" s="56" t="s">
        <v>8</v>
      </c>
      <c r="G375" s="57">
        <v>0</v>
      </c>
      <c r="H375" s="58">
        <v>0</v>
      </c>
    </row>
    <row r="376" spans="1:8" x14ac:dyDescent="0.35">
      <c r="A376" s="59">
        <v>20105</v>
      </c>
      <c r="B376" s="50">
        <v>45901</v>
      </c>
      <c r="C376" s="51" t="s">
        <v>26</v>
      </c>
      <c r="D376" s="51" t="s">
        <v>19</v>
      </c>
      <c r="E376" s="51" t="s">
        <v>13</v>
      </c>
      <c r="F376" s="51" t="s">
        <v>15</v>
      </c>
      <c r="G376" s="52">
        <v>15310.52</v>
      </c>
      <c r="H376" s="53">
        <v>510</v>
      </c>
    </row>
    <row r="377" spans="1:8" x14ac:dyDescent="0.35">
      <c r="A377" s="60">
        <v>20105</v>
      </c>
      <c r="B377" s="55">
        <v>45901</v>
      </c>
      <c r="C377" s="56" t="s">
        <v>26</v>
      </c>
      <c r="D377" s="56" t="s">
        <v>19</v>
      </c>
      <c r="E377" s="56" t="s">
        <v>13</v>
      </c>
      <c r="F377" s="56" t="s">
        <v>65</v>
      </c>
      <c r="G377" s="57">
        <v>0</v>
      </c>
      <c r="H377" s="58">
        <v>0</v>
      </c>
    </row>
    <row r="378" spans="1:8" x14ac:dyDescent="0.35">
      <c r="A378" s="49" t="s">
        <v>142</v>
      </c>
      <c r="B378" s="50">
        <v>45931</v>
      </c>
      <c r="C378" s="51" t="s">
        <v>48</v>
      </c>
      <c r="D378" s="51" t="s">
        <v>49</v>
      </c>
      <c r="E378" s="51" t="s">
        <v>52</v>
      </c>
      <c r="F378" s="51" t="s">
        <v>7</v>
      </c>
      <c r="G378" s="52">
        <v>0</v>
      </c>
      <c r="H378" s="53">
        <v>0</v>
      </c>
    </row>
    <row r="379" spans="1:8" x14ac:dyDescent="0.35">
      <c r="A379" s="54" t="s">
        <v>142</v>
      </c>
      <c r="B379" s="55">
        <v>45931</v>
      </c>
      <c r="C379" s="56" t="s">
        <v>48</v>
      </c>
      <c r="D379" s="56" t="s">
        <v>49</v>
      </c>
      <c r="E379" s="56" t="s">
        <v>52</v>
      </c>
      <c r="F379" s="56" t="s">
        <v>8</v>
      </c>
      <c r="G379" s="57">
        <v>0</v>
      </c>
      <c r="H379" s="58">
        <v>0</v>
      </c>
    </row>
    <row r="380" spans="1:8" x14ac:dyDescent="0.35">
      <c r="A380" s="49" t="s">
        <v>142</v>
      </c>
      <c r="B380" s="50">
        <v>45931</v>
      </c>
      <c r="C380" s="51" t="s">
        <v>48</v>
      </c>
      <c r="D380" s="51" t="s">
        <v>49</v>
      </c>
      <c r="E380" s="51" t="s">
        <v>52</v>
      </c>
      <c r="F380" s="51" t="s">
        <v>15</v>
      </c>
      <c r="G380" s="52">
        <v>93380.944864864854</v>
      </c>
      <c r="H380" s="53">
        <v>2040</v>
      </c>
    </row>
    <row r="381" spans="1:8" x14ac:dyDescent="0.35">
      <c r="A381" s="54" t="s">
        <v>142</v>
      </c>
      <c r="B381" s="55">
        <v>45931</v>
      </c>
      <c r="C381" s="56" t="s">
        <v>48</v>
      </c>
      <c r="D381" s="56" t="s">
        <v>49</v>
      </c>
      <c r="E381" s="56" t="s">
        <v>52</v>
      </c>
      <c r="F381" s="56" t="s">
        <v>65</v>
      </c>
      <c r="G381" s="57">
        <v>0</v>
      </c>
      <c r="H381" s="58">
        <v>0</v>
      </c>
    </row>
    <row r="382" spans="1:8" x14ac:dyDescent="0.35">
      <c r="A382" s="49" t="s">
        <v>139</v>
      </c>
      <c r="B382" s="50">
        <v>45931</v>
      </c>
      <c r="C382" s="51" t="s">
        <v>48</v>
      </c>
      <c r="D382" s="51" t="s">
        <v>49</v>
      </c>
      <c r="E382" s="51" t="s">
        <v>14</v>
      </c>
      <c r="F382" s="51" t="s">
        <v>7</v>
      </c>
      <c r="G382" s="52">
        <v>0</v>
      </c>
      <c r="H382" s="53">
        <v>0</v>
      </c>
    </row>
    <row r="383" spans="1:8" x14ac:dyDescent="0.35">
      <c r="A383" s="54" t="s">
        <v>139</v>
      </c>
      <c r="B383" s="55">
        <v>45931</v>
      </c>
      <c r="C383" s="56" t="s">
        <v>48</v>
      </c>
      <c r="D383" s="56" t="s">
        <v>49</v>
      </c>
      <c r="E383" s="56" t="s">
        <v>14</v>
      </c>
      <c r="F383" s="56" t="s">
        <v>8</v>
      </c>
      <c r="G383" s="57">
        <v>0</v>
      </c>
      <c r="H383" s="58">
        <v>0</v>
      </c>
    </row>
    <row r="384" spans="1:8" x14ac:dyDescent="0.35">
      <c r="A384" s="49" t="s">
        <v>139</v>
      </c>
      <c r="B384" s="50">
        <v>45931</v>
      </c>
      <c r="C384" s="51" t="s">
        <v>48</v>
      </c>
      <c r="D384" s="51" t="s">
        <v>49</v>
      </c>
      <c r="E384" s="51" t="s">
        <v>14</v>
      </c>
      <c r="F384" s="51" t="s">
        <v>15</v>
      </c>
      <c r="G384" s="52">
        <v>17995.57</v>
      </c>
      <c r="H384" s="53">
        <v>936</v>
      </c>
    </row>
    <row r="385" spans="1:8" x14ac:dyDescent="0.35">
      <c r="A385" s="54" t="s">
        <v>139</v>
      </c>
      <c r="B385" s="55">
        <v>45931</v>
      </c>
      <c r="C385" s="56" t="s">
        <v>48</v>
      </c>
      <c r="D385" s="56" t="s">
        <v>49</v>
      </c>
      <c r="E385" s="56" t="s">
        <v>14</v>
      </c>
      <c r="F385" s="56" t="s">
        <v>65</v>
      </c>
      <c r="G385" s="57">
        <v>0</v>
      </c>
      <c r="H385" s="58">
        <v>0</v>
      </c>
    </row>
    <row r="386" spans="1:8" x14ac:dyDescent="0.35">
      <c r="A386" s="49" t="s">
        <v>25</v>
      </c>
      <c r="B386" s="50">
        <v>45931</v>
      </c>
      <c r="C386" s="51" t="s">
        <v>48</v>
      </c>
      <c r="D386" s="51" t="s">
        <v>49</v>
      </c>
      <c r="E386" s="51" t="s">
        <v>116</v>
      </c>
      <c r="F386" s="51" t="s">
        <v>7</v>
      </c>
      <c r="G386" s="52">
        <v>0</v>
      </c>
      <c r="H386" s="53">
        <v>0</v>
      </c>
    </row>
    <row r="387" spans="1:8" x14ac:dyDescent="0.35">
      <c r="A387" s="54" t="s">
        <v>25</v>
      </c>
      <c r="B387" s="55">
        <v>45931</v>
      </c>
      <c r="C387" s="56" t="s">
        <v>48</v>
      </c>
      <c r="D387" s="56" t="s">
        <v>49</v>
      </c>
      <c r="E387" s="56" t="s">
        <v>116</v>
      </c>
      <c r="F387" s="56" t="s">
        <v>8</v>
      </c>
      <c r="G387" s="57">
        <v>0</v>
      </c>
      <c r="H387" s="58">
        <v>0</v>
      </c>
    </row>
    <row r="388" spans="1:8" x14ac:dyDescent="0.35">
      <c r="A388" s="49" t="s">
        <v>25</v>
      </c>
      <c r="B388" s="50">
        <v>45931</v>
      </c>
      <c r="C388" s="51" t="s">
        <v>48</v>
      </c>
      <c r="D388" s="51" t="s">
        <v>49</v>
      </c>
      <c r="E388" s="51" t="s">
        <v>116</v>
      </c>
      <c r="F388" s="51" t="s">
        <v>15</v>
      </c>
      <c r="G388" s="52">
        <v>0</v>
      </c>
      <c r="H388" s="53">
        <v>0</v>
      </c>
    </row>
    <row r="389" spans="1:8" x14ac:dyDescent="0.35">
      <c r="A389" s="54" t="s">
        <v>25</v>
      </c>
      <c r="B389" s="55">
        <v>45931</v>
      </c>
      <c r="C389" s="56" t="s">
        <v>48</v>
      </c>
      <c r="D389" s="56" t="s">
        <v>49</v>
      </c>
      <c r="E389" s="56" t="s">
        <v>116</v>
      </c>
      <c r="F389" s="56" t="s">
        <v>65</v>
      </c>
      <c r="G389" s="57">
        <v>0</v>
      </c>
      <c r="H389" s="58">
        <v>0</v>
      </c>
    </row>
    <row r="390" spans="1:8" x14ac:dyDescent="0.35">
      <c r="A390" s="49" t="s">
        <v>102</v>
      </c>
      <c r="B390" s="50">
        <v>45931</v>
      </c>
      <c r="C390" s="51" t="s">
        <v>48</v>
      </c>
      <c r="D390" s="51" t="s">
        <v>49</v>
      </c>
      <c r="E390" s="51" t="s">
        <v>51</v>
      </c>
      <c r="F390" s="51" t="s">
        <v>7</v>
      </c>
      <c r="G390" s="52">
        <v>0</v>
      </c>
      <c r="H390" s="53">
        <v>0</v>
      </c>
    </row>
    <row r="391" spans="1:8" x14ac:dyDescent="0.35">
      <c r="A391" s="54" t="s">
        <v>102</v>
      </c>
      <c r="B391" s="55">
        <v>45931</v>
      </c>
      <c r="C391" s="56" t="s">
        <v>48</v>
      </c>
      <c r="D391" s="56" t="s">
        <v>49</v>
      </c>
      <c r="E391" s="56" t="s">
        <v>51</v>
      </c>
      <c r="F391" s="56" t="s">
        <v>8</v>
      </c>
      <c r="G391" s="57">
        <v>0</v>
      </c>
      <c r="H391" s="58">
        <v>0</v>
      </c>
    </row>
    <row r="392" spans="1:8" x14ac:dyDescent="0.35">
      <c r="A392" s="49" t="s">
        <v>102</v>
      </c>
      <c r="B392" s="50">
        <v>45931</v>
      </c>
      <c r="C392" s="51" t="s">
        <v>48</v>
      </c>
      <c r="D392" s="51" t="s">
        <v>49</v>
      </c>
      <c r="E392" s="51" t="s">
        <v>51</v>
      </c>
      <c r="F392" s="51" t="s">
        <v>15</v>
      </c>
      <c r="G392" s="52">
        <v>0</v>
      </c>
      <c r="H392" s="53">
        <v>0</v>
      </c>
    </row>
    <row r="393" spans="1:8" x14ac:dyDescent="0.35">
      <c r="A393" s="54" t="s">
        <v>102</v>
      </c>
      <c r="B393" s="55">
        <v>45931</v>
      </c>
      <c r="C393" s="56" t="s">
        <v>48</v>
      </c>
      <c r="D393" s="56" t="s">
        <v>49</v>
      </c>
      <c r="E393" s="56" t="s">
        <v>51</v>
      </c>
      <c r="F393" s="56" t="s">
        <v>65</v>
      </c>
      <c r="G393" s="57">
        <v>0</v>
      </c>
      <c r="H393" s="58">
        <v>0</v>
      </c>
    </row>
    <row r="394" spans="1:8" x14ac:dyDescent="0.35">
      <c r="A394" s="49" t="s">
        <v>172</v>
      </c>
      <c r="B394" s="50">
        <v>45931</v>
      </c>
      <c r="C394" s="51" t="s">
        <v>22</v>
      </c>
      <c r="D394" s="51" t="s">
        <v>11</v>
      </c>
      <c r="E394" s="51" t="s">
        <v>13</v>
      </c>
      <c r="F394" s="51" t="s">
        <v>7</v>
      </c>
      <c r="G394" s="52">
        <v>0</v>
      </c>
      <c r="H394" s="53">
        <v>0</v>
      </c>
    </row>
    <row r="395" spans="1:8" x14ac:dyDescent="0.35">
      <c r="A395" s="54" t="s">
        <v>172</v>
      </c>
      <c r="B395" s="55">
        <v>45931</v>
      </c>
      <c r="C395" s="56" t="s">
        <v>22</v>
      </c>
      <c r="D395" s="56" t="s">
        <v>11</v>
      </c>
      <c r="E395" s="56" t="s">
        <v>13</v>
      </c>
      <c r="F395" s="56" t="s">
        <v>8</v>
      </c>
      <c r="G395" s="57">
        <v>0</v>
      </c>
      <c r="H395" s="58">
        <v>0</v>
      </c>
    </row>
    <row r="396" spans="1:8" x14ac:dyDescent="0.35">
      <c r="A396" s="49" t="s">
        <v>172</v>
      </c>
      <c r="B396" s="50">
        <v>45931</v>
      </c>
      <c r="C396" s="51" t="s">
        <v>22</v>
      </c>
      <c r="D396" s="51" t="s">
        <v>11</v>
      </c>
      <c r="E396" s="51" t="s">
        <v>13</v>
      </c>
      <c r="F396" s="51" t="s">
        <v>15</v>
      </c>
      <c r="G396" s="52">
        <v>0</v>
      </c>
      <c r="H396" s="53">
        <v>0</v>
      </c>
    </row>
    <row r="397" spans="1:8" x14ac:dyDescent="0.35">
      <c r="A397" s="54" t="s">
        <v>172</v>
      </c>
      <c r="B397" s="55">
        <v>45931</v>
      </c>
      <c r="C397" s="56" t="s">
        <v>22</v>
      </c>
      <c r="D397" s="56" t="s">
        <v>11</v>
      </c>
      <c r="E397" s="56" t="s">
        <v>13</v>
      </c>
      <c r="F397" s="56" t="s">
        <v>65</v>
      </c>
      <c r="G397" s="57">
        <v>0</v>
      </c>
      <c r="H397" s="58">
        <v>0</v>
      </c>
    </row>
    <row r="398" spans="1:8" x14ac:dyDescent="0.35">
      <c r="A398" s="49" t="s">
        <v>149</v>
      </c>
      <c r="B398" s="50">
        <v>45931</v>
      </c>
      <c r="C398" s="51" t="s">
        <v>23</v>
      </c>
      <c r="D398" s="51" t="s">
        <v>112</v>
      </c>
      <c r="E398" s="51" t="s">
        <v>113</v>
      </c>
      <c r="F398" s="51" t="s">
        <v>7</v>
      </c>
      <c r="G398" s="52">
        <v>0</v>
      </c>
      <c r="H398" s="53">
        <v>0</v>
      </c>
    </row>
    <row r="399" spans="1:8" x14ac:dyDescent="0.35">
      <c r="A399" s="54" t="s">
        <v>149</v>
      </c>
      <c r="B399" s="55">
        <v>45931</v>
      </c>
      <c r="C399" s="56" t="s">
        <v>23</v>
      </c>
      <c r="D399" s="56" t="s">
        <v>112</v>
      </c>
      <c r="E399" s="56" t="s">
        <v>113</v>
      </c>
      <c r="F399" s="56" t="s">
        <v>8</v>
      </c>
      <c r="G399" s="57">
        <v>0</v>
      </c>
      <c r="H399" s="58">
        <v>0</v>
      </c>
    </row>
    <row r="400" spans="1:8" x14ac:dyDescent="0.35">
      <c r="A400" s="49" t="s">
        <v>149</v>
      </c>
      <c r="B400" s="50">
        <v>45931</v>
      </c>
      <c r="C400" s="51" t="s">
        <v>23</v>
      </c>
      <c r="D400" s="51" t="s">
        <v>112</v>
      </c>
      <c r="E400" s="51" t="s">
        <v>113</v>
      </c>
      <c r="F400" s="51" t="s">
        <v>15</v>
      </c>
      <c r="G400" s="52">
        <v>0</v>
      </c>
      <c r="H400" s="53">
        <v>0</v>
      </c>
    </row>
    <row r="401" spans="1:8" x14ac:dyDescent="0.35">
      <c r="A401" s="54" t="s">
        <v>149</v>
      </c>
      <c r="B401" s="55">
        <v>45931</v>
      </c>
      <c r="C401" s="56" t="s">
        <v>23</v>
      </c>
      <c r="D401" s="56" t="s">
        <v>112</v>
      </c>
      <c r="E401" s="56" t="s">
        <v>113</v>
      </c>
      <c r="F401" s="56" t="s">
        <v>65</v>
      </c>
      <c r="G401" s="57">
        <v>0</v>
      </c>
      <c r="H401" s="58">
        <v>0</v>
      </c>
    </row>
    <row r="402" spans="1:8" x14ac:dyDescent="0.35">
      <c r="A402" s="49" t="s">
        <v>177</v>
      </c>
      <c r="B402" s="50">
        <v>45931</v>
      </c>
      <c r="C402" s="51" t="s">
        <v>46</v>
      </c>
      <c r="D402" s="51" t="s">
        <v>87</v>
      </c>
      <c r="E402" s="51" t="s">
        <v>9</v>
      </c>
      <c r="F402" s="51" t="s">
        <v>7</v>
      </c>
      <c r="G402" s="52">
        <v>0</v>
      </c>
      <c r="H402" s="53">
        <v>0</v>
      </c>
    </row>
    <row r="403" spans="1:8" x14ac:dyDescent="0.35">
      <c r="A403" s="54" t="s">
        <v>177</v>
      </c>
      <c r="B403" s="55">
        <v>45931</v>
      </c>
      <c r="C403" s="56" t="s">
        <v>46</v>
      </c>
      <c r="D403" s="56" t="s">
        <v>87</v>
      </c>
      <c r="E403" s="56" t="s">
        <v>9</v>
      </c>
      <c r="F403" s="56" t="s">
        <v>8</v>
      </c>
      <c r="G403" s="57">
        <v>0</v>
      </c>
      <c r="H403" s="58">
        <v>0</v>
      </c>
    </row>
    <row r="404" spans="1:8" x14ac:dyDescent="0.35">
      <c r="A404" s="49" t="s">
        <v>177</v>
      </c>
      <c r="B404" s="50">
        <v>45931</v>
      </c>
      <c r="C404" s="51" t="s">
        <v>46</v>
      </c>
      <c r="D404" s="51" t="s">
        <v>87</v>
      </c>
      <c r="E404" s="51" t="s">
        <v>9</v>
      </c>
      <c r="F404" s="51" t="s">
        <v>15</v>
      </c>
      <c r="G404" s="52">
        <v>65348.32</v>
      </c>
      <c r="H404" s="53">
        <v>1926</v>
      </c>
    </row>
    <row r="405" spans="1:8" x14ac:dyDescent="0.35">
      <c r="A405" s="54" t="s">
        <v>177</v>
      </c>
      <c r="B405" s="55">
        <v>45931</v>
      </c>
      <c r="C405" s="56" t="s">
        <v>46</v>
      </c>
      <c r="D405" s="56" t="s">
        <v>87</v>
      </c>
      <c r="E405" s="56" t="s">
        <v>9</v>
      </c>
      <c r="F405" s="56" t="s">
        <v>65</v>
      </c>
      <c r="G405" s="57">
        <v>0</v>
      </c>
      <c r="H405" s="58">
        <v>0</v>
      </c>
    </row>
    <row r="406" spans="1:8" x14ac:dyDescent="0.35">
      <c r="A406" s="49" t="s">
        <v>169</v>
      </c>
      <c r="B406" s="50">
        <v>45778</v>
      </c>
      <c r="C406" s="51" t="s">
        <v>25</v>
      </c>
      <c r="D406" s="51" t="s">
        <v>12</v>
      </c>
      <c r="E406" s="51" t="s">
        <v>170</v>
      </c>
      <c r="F406" s="51" t="s">
        <v>65</v>
      </c>
      <c r="G406" s="52">
        <v>0</v>
      </c>
      <c r="H406" s="53">
        <v>0</v>
      </c>
    </row>
    <row r="407" spans="1:8" x14ac:dyDescent="0.35">
      <c r="A407" s="54" t="s">
        <v>194</v>
      </c>
      <c r="B407" s="55">
        <v>45809</v>
      </c>
      <c r="C407" s="56" t="s">
        <v>25</v>
      </c>
      <c r="D407" s="56" t="s">
        <v>12</v>
      </c>
      <c r="E407" s="56" t="s">
        <v>9</v>
      </c>
      <c r="F407" s="56" t="s">
        <v>7</v>
      </c>
      <c r="G407" s="57">
        <v>0</v>
      </c>
      <c r="H407" s="58">
        <v>0</v>
      </c>
    </row>
    <row r="408" spans="1:8" x14ac:dyDescent="0.35">
      <c r="A408" s="49" t="s">
        <v>194</v>
      </c>
      <c r="B408" s="50">
        <v>45809</v>
      </c>
      <c r="C408" s="51" t="s">
        <v>25</v>
      </c>
      <c r="D408" s="51" t="s">
        <v>12</v>
      </c>
      <c r="E408" s="51" t="s">
        <v>9</v>
      </c>
      <c r="F408" s="51" t="s">
        <v>8</v>
      </c>
      <c r="G408" s="52">
        <v>0</v>
      </c>
      <c r="H408" s="53">
        <v>0</v>
      </c>
    </row>
    <row r="409" spans="1:8" x14ac:dyDescent="0.35">
      <c r="A409" s="54" t="s">
        <v>194</v>
      </c>
      <c r="B409" s="55">
        <v>45809</v>
      </c>
      <c r="C409" s="56" t="s">
        <v>25</v>
      </c>
      <c r="D409" s="56" t="s">
        <v>12</v>
      </c>
      <c r="E409" s="56" t="s">
        <v>9</v>
      </c>
      <c r="F409" s="56" t="s">
        <v>15</v>
      </c>
      <c r="G409" s="57">
        <v>179058.61</v>
      </c>
      <c r="H409" s="58">
        <v>6100</v>
      </c>
    </row>
    <row r="410" spans="1:8" x14ac:dyDescent="0.35">
      <c r="A410" s="49" t="s">
        <v>134</v>
      </c>
      <c r="B410" s="50">
        <v>45931</v>
      </c>
      <c r="C410" s="51" t="s">
        <v>57</v>
      </c>
      <c r="D410" s="51" t="s">
        <v>58</v>
      </c>
      <c r="E410" s="51" t="s">
        <v>10</v>
      </c>
      <c r="F410" s="51" t="s">
        <v>7</v>
      </c>
      <c r="G410" s="52">
        <v>0</v>
      </c>
      <c r="H410" s="53">
        <v>0</v>
      </c>
    </row>
    <row r="411" spans="1:8" x14ac:dyDescent="0.35">
      <c r="A411" s="54" t="s">
        <v>134</v>
      </c>
      <c r="B411" s="55">
        <v>45931</v>
      </c>
      <c r="C411" s="56" t="s">
        <v>57</v>
      </c>
      <c r="D411" s="56" t="s">
        <v>58</v>
      </c>
      <c r="E411" s="56" t="s">
        <v>10</v>
      </c>
      <c r="F411" s="56" t="s">
        <v>8</v>
      </c>
      <c r="G411" s="57">
        <v>0</v>
      </c>
      <c r="H411" s="58">
        <v>0</v>
      </c>
    </row>
    <row r="412" spans="1:8" x14ac:dyDescent="0.35">
      <c r="A412" s="49" t="s">
        <v>134</v>
      </c>
      <c r="B412" s="50">
        <v>45931</v>
      </c>
      <c r="C412" s="51" t="s">
        <v>57</v>
      </c>
      <c r="D412" s="51" t="s">
        <v>58</v>
      </c>
      <c r="E412" s="51" t="s">
        <v>10</v>
      </c>
      <c r="F412" s="51" t="s">
        <v>15</v>
      </c>
      <c r="G412" s="52">
        <v>35019.49</v>
      </c>
      <c r="H412" s="53">
        <v>1100</v>
      </c>
    </row>
    <row r="413" spans="1:8" x14ac:dyDescent="0.35">
      <c r="A413" s="54" t="s">
        <v>134</v>
      </c>
      <c r="B413" s="55">
        <v>45931</v>
      </c>
      <c r="C413" s="56" t="s">
        <v>57</v>
      </c>
      <c r="D413" s="56" t="s">
        <v>58</v>
      </c>
      <c r="E413" s="56" t="s">
        <v>10</v>
      </c>
      <c r="F413" s="56" t="s">
        <v>65</v>
      </c>
      <c r="G413" s="57">
        <v>0</v>
      </c>
      <c r="H413" s="58">
        <v>0</v>
      </c>
    </row>
    <row r="414" spans="1:8" x14ac:dyDescent="0.35">
      <c r="A414" s="59">
        <v>20105</v>
      </c>
      <c r="B414" s="50">
        <v>45931</v>
      </c>
      <c r="C414" s="51" t="s">
        <v>26</v>
      </c>
      <c r="D414" s="51" t="s">
        <v>19</v>
      </c>
      <c r="E414" s="51" t="s">
        <v>13</v>
      </c>
      <c r="F414" s="51" t="s">
        <v>7</v>
      </c>
      <c r="G414" s="52">
        <v>0</v>
      </c>
      <c r="H414" s="53">
        <v>0</v>
      </c>
    </row>
    <row r="415" spans="1:8" x14ac:dyDescent="0.35">
      <c r="A415" s="60">
        <v>20105</v>
      </c>
      <c r="B415" s="55">
        <v>45931</v>
      </c>
      <c r="C415" s="56" t="s">
        <v>26</v>
      </c>
      <c r="D415" s="56" t="s">
        <v>19</v>
      </c>
      <c r="E415" s="56" t="s">
        <v>13</v>
      </c>
      <c r="F415" s="56" t="s">
        <v>8</v>
      </c>
      <c r="G415" s="57">
        <v>0</v>
      </c>
      <c r="H415" s="58">
        <v>0</v>
      </c>
    </row>
    <row r="416" spans="1:8" x14ac:dyDescent="0.35">
      <c r="A416" s="59">
        <v>20105</v>
      </c>
      <c r="B416" s="50">
        <v>45931</v>
      </c>
      <c r="C416" s="51" t="s">
        <v>26</v>
      </c>
      <c r="D416" s="51" t="s">
        <v>19</v>
      </c>
      <c r="E416" s="51" t="s">
        <v>13</v>
      </c>
      <c r="F416" s="51" t="s">
        <v>15</v>
      </c>
      <c r="G416" s="52">
        <v>15310.52</v>
      </c>
      <c r="H416" s="53">
        <v>510</v>
      </c>
    </row>
    <row r="417" spans="1:8" x14ac:dyDescent="0.35">
      <c r="A417" s="60">
        <v>20105</v>
      </c>
      <c r="B417" s="55">
        <v>45931</v>
      </c>
      <c r="C417" s="56" t="s">
        <v>26</v>
      </c>
      <c r="D417" s="56" t="s">
        <v>19</v>
      </c>
      <c r="E417" s="56" t="s">
        <v>13</v>
      </c>
      <c r="F417" s="56" t="s">
        <v>65</v>
      </c>
      <c r="G417" s="57">
        <v>0</v>
      </c>
      <c r="H417" s="58">
        <v>0</v>
      </c>
    </row>
    <row r="418" spans="1:8" x14ac:dyDescent="0.35">
      <c r="A418" s="49" t="s">
        <v>142</v>
      </c>
      <c r="B418" s="50">
        <v>45962</v>
      </c>
      <c r="C418" s="51" t="s">
        <v>48</v>
      </c>
      <c r="D418" s="51" t="s">
        <v>49</v>
      </c>
      <c r="E418" s="51" t="s">
        <v>52</v>
      </c>
      <c r="F418" s="51" t="s">
        <v>7</v>
      </c>
      <c r="G418" s="52">
        <v>0</v>
      </c>
      <c r="H418" s="53">
        <v>0</v>
      </c>
    </row>
    <row r="419" spans="1:8" x14ac:dyDescent="0.35">
      <c r="A419" s="54" t="s">
        <v>142</v>
      </c>
      <c r="B419" s="55">
        <v>45962</v>
      </c>
      <c r="C419" s="56" t="s">
        <v>48</v>
      </c>
      <c r="D419" s="56" t="s">
        <v>49</v>
      </c>
      <c r="E419" s="56" t="s">
        <v>52</v>
      </c>
      <c r="F419" s="56" t="s">
        <v>8</v>
      </c>
      <c r="G419" s="57">
        <v>0</v>
      </c>
      <c r="H419" s="58">
        <v>0</v>
      </c>
    </row>
    <row r="420" spans="1:8" x14ac:dyDescent="0.35">
      <c r="A420" s="49" t="s">
        <v>142</v>
      </c>
      <c r="B420" s="50">
        <v>45962</v>
      </c>
      <c r="C420" s="51" t="s">
        <v>48</v>
      </c>
      <c r="D420" s="51" t="s">
        <v>49</v>
      </c>
      <c r="E420" s="51" t="s">
        <v>52</v>
      </c>
      <c r="F420" s="51" t="s">
        <v>15</v>
      </c>
      <c r="G420" s="52">
        <v>93380.944864864854</v>
      </c>
      <c r="H420" s="53">
        <v>2040</v>
      </c>
    </row>
    <row r="421" spans="1:8" x14ac:dyDescent="0.35">
      <c r="A421" s="54" t="s">
        <v>142</v>
      </c>
      <c r="B421" s="55">
        <v>45962</v>
      </c>
      <c r="C421" s="56" t="s">
        <v>48</v>
      </c>
      <c r="D421" s="56" t="s">
        <v>49</v>
      </c>
      <c r="E421" s="56" t="s">
        <v>52</v>
      </c>
      <c r="F421" s="56" t="s">
        <v>65</v>
      </c>
      <c r="G421" s="57">
        <v>0</v>
      </c>
      <c r="H421" s="58">
        <v>0</v>
      </c>
    </row>
    <row r="422" spans="1:8" x14ac:dyDescent="0.35">
      <c r="A422" s="49" t="s">
        <v>139</v>
      </c>
      <c r="B422" s="50">
        <v>45962</v>
      </c>
      <c r="C422" s="51" t="s">
        <v>48</v>
      </c>
      <c r="D422" s="51" t="s">
        <v>49</v>
      </c>
      <c r="E422" s="51" t="s">
        <v>14</v>
      </c>
      <c r="F422" s="51" t="s">
        <v>7</v>
      </c>
      <c r="G422" s="52">
        <v>0</v>
      </c>
      <c r="H422" s="53">
        <v>0</v>
      </c>
    </row>
    <row r="423" spans="1:8" x14ac:dyDescent="0.35">
      <c r="A423" s="54" t="s">
        <v>139</v>
      </c>
      <c r="B423" s="55">
        <v>45962</v>
      </c>
      <c r="C423" s="56" t="s">
        <v>48</v>
      </c>
      <c r="D423" s="56" t="s">
        <v>49</v>
      </c>
      <c r="E423" s="56" t="s">
        <v>14</v>
      </c>
      <c r="F423" s="56" t="s">
        <v>8</v>
      </c>
      <c r="G423" s="57">
        <v>0</v>
      </c>
      <c r="H423" s="58">
        <v>0</v>
      </c>
    </row>
    <row r="424" spans="1:8" x14ac:dyDescent="0.35">
      <c r="A424" s="49" t="s">
        <v>139</v>
      </c>
      <c r="B424" s="50">
        <v>45962</v>
      </c>
      <c r="C424" s="51" t="s">
        <v>48</v>
      </c>
      <c r="D424" s="51" t="s">
        <v>49</v>
      </c>
      <c r="E424" s="51" t="s">
        <v>14</v>
      </c>
      <c r="F424" s="51" t="s">
        <v>15</v>
      </c>
      <c r="G424" s="52">
        <v>18715.400000000001</v>
      </c>
      <c r="H424" s="53">
        <v>936</v>
      </c>
    </row>
    <row r="425" spans="1:8" x14ac:dyDescent="0.35">
      <c r="A425" s="54" t="s">
        <v>139</v>
      </c>
      <c r="B425" s="55">
        <v>45962</v>
      </c>
      <c r="C425" s="56" t="s">
        <v>48</v>
      </c>
      <c r="D425" s="56" t="s">
        <v>49</v>
      </c>
      <c r="E425" s="56" t="s">
        <v>14</v>
      </c>
      <c r="F425" s="56" t="s">
        <v>65</v>
      </c>
      <c r="G425" s="57">
        <v>0</v>
      </c>
      <c r="H425" s="58">
        <v>0</v>
      </c>
    </row>
    <row r="426" spans="1:8" x14ac:dyDescent="0.35">
      <c r="A426" s="49" t="s">
        <v>25</v>
      </c>
      <c r="B426" s="50">
        <v>45962</v>
      </c>
      <c r="C426" s="51" t="s">
        <v>48</v>
      </c>
      <c r="D426" s="51" t="s">
        <v>49</v>
      </c>
      <c r="E426" s="51" t="s">
        <v>116</v>
      </c>
      <c r="F426" s="51" t="s">
        <v>7</v>
      </c>
      <c r="G426" s="52">
        <v>0</v>
      </c>
      <c r="H426" s="53">
        <v>0</v>
      </c>
    </row>
    <row r="427" spans="1:8" x14ac:dyDescent="0.35">
      <c r="A427" s="54" t="s">
        <v>25</v>
      </c>
      <c r="B427" s="55">
        <v>45962</v>
      </c>
      <c r="C427" s="56" t="s">
        <v>48</v>
      </c>
      <c r="D427" s="56" t="s">
        <v>49</v>
      </c>
      <c r="E427" s="56" t="s">
        <v>116</v>
      </c>
      <c r="F427" s="56" t="s">
        <v>8</v>
      </c>
      <c r="G427" s="57">
        <v>0</v>
      </c>
      <c r="H427" s="58">
        <v>0</v>
      </c>
    </row>
    <row r="428" spans="1:8" x14ac:dyDescent="0.35">
      <c r="A428" s="49" t="s">
        <v>25</v>
      </c>
      <c r="B428" s="50">
        <v>45962</v>
      </c>
      <c r="C428" s="51" t="s">
        <v>48</v>
      </c>
      <c r="D428" s="51" t="s">
        <v>49</v>
      </c>
      <c r="E428" s="51" t="s">
        <v>116</v>
      </c>
      <c r="F428" s="51" t="s">
        <v>15</v>
      </c>
      <c r="G428" s="52">
        <v>0</v>
      </c>
      <c r="H428" s="53">
        <v>0</v>
      </c>
    </row>
    <row r="429" spans="1:8" x14ac:dyDescent="0.35">
      <c r="A429" s="54" t="s">
        <v>25</v>
      </c>
      <c r="B429" s="55">
        <v>45962</v>
      </c>
      <c r="C429" s="56" t="s">
        <v>48</v>
      </c>
      <c r="D429" s="56" t="s">
        <v>49</v>
      </c>
      <c r="E429" s="56" t="s">
        <v>116</v>
      </c>
      <c r="F429" s="56" t="s">
        <v>65</v>
      </c>
      <c r="G429" s="57">
        <v>0</v>
      </c>
      <c r="H429" s="58">
        <v>0</v>
      </c>
    </row>
    <row r="430" spans="1:8" x14ac:dyDescent="0.35">
      <c r="A430" s="49" t="s">
        <v>102</v>
      </c>
      <c r="B430" s="50">
        <v>45962</v>
      </c>
      <c r="C430" s="51" t="s">
        <v>48</v>
      </c>
      <c r="D430" s="51" t="s">
        <v>49</v>
      </c>
      <c r="E430" s="51" t="s">
        <v>51</v>
      </c>
      <c r="F430" s="51" t="s">
        <v>7</v>
      </c>
      <c r="G430" s="52">
        <v>0</v>
      </c>
      <c r="H430" s="53">
        <v>0</v>
      </c>
    </row>
    <row r="431" spans="1:8" x14ac:dyDescent="0.35">
      <c r="A431" s="54" t="s">
        <v>102</v>
      </c>
      <c r="B431" s="55">
        <v>45962</v>
      </c>
      <c r="C431" s="56" t="s">
        <v>48</v>
      </c>
      <c r="D431" s="56" t="s">
        <v>49</v>
      </c>
      <c r="E431" s="56" t="s">
        <v>51</v>
      </c>
      <c r="F431" s="56" t="s">
        <v>8</v>
      </c>
      <c r="G431" s="57">
        <v>0</v>
      </c>
      <c r="H431" s="58">
        <v>0</v>
      </c>
    </row>
    <row r="432" spans="1:8" x14ac:dyDescent="0.35">
      <c r="A432" s="49" t="s">
        <v>102</v>
      </c>
      <c r="B432" s="50">
        <v>45962</v>
      </c>
      <c r="C432" s="51" t="s">
        <v>48</v>
      </c>
      <c r="D432" s="51" t="s">
        <v>49</v>
      </c>
      <c r="E432" s="51" t="s">
        <v>51</v>
      </c>
      <c r="F432" s="51" t="s">
        <v>15</v>
      </c>
      <c r="G432" s="52">
        <v>0</v>
      </c>
      <c r="H432" s="53">
        <v>0</v>
      </c>
    </row>
    <row r="433" spans="1:8" x14ac:dyDescent="0.35">
      <c r="A433" s="54" t="s">
        <v>102</v>
      </c>
      <c r="B433" s="55">
        <v>45962</v>
      </c>
      <c r="C433" s="56" t="s">
        <v>48</v>
      </c>
      <c r="D433" s="56" t="s">
        <v>49</v>
      </c>
      <c r="E433" s="56" t="s">
        <v>51</v>
      </c>
      <c r="F433" s="56" t="s">
        <v>65</v>
      </c>
      <c r="G433" s="57">
        <v>0</v>
      </c>
      <c r="H433" s="58">
        <v>0</v>
      </c>
    </row>
    <row r="434" spans="1:8" x14ac:dyDescent="0.35">
      <c r="A434" s="49" t="s">
        <v>172</v>
      </c>
      <c r="B434" s="50">
        <v>45962</v>
      </c>
      <c r="C434" s="51" t="s">
        <v>22</v>
      </c>
      <c r="D434" s="51" t="s">
        <v>11</v>
      </c>
      <c r="E434" s="51" t="s">
        <v>13</v>
      </c>
      <c r="F434" s="51" t="s">
        <v>7</v>
      </c>
      <c r="G434" s="52">
        <v>0</v>
      </c>
      <c r="H434" s="53">
        <v>0</v>
      </c>
    </row>
    <row r="435" spans="1:8" x14ac:dyDescent="0.35">
      <c r="A435" s="54" t="s">
        <v>172</v>
      </c>
      <c r="B435" s="55">
        <v>45962</v>
      </c>
      <c r="C435" s="56" t="s">
        <v>22</v>
      </c>
      <c r="D435" s="56" t="s">
        <v>11</v>
      </c>
      <c r="E435" s="56" t="s">
        <v>13</v>
      </c>
      <c r="F435" s="56" t="s">
        <v>8</v>
      </c>
      <c r="G435" s="57">
        <v>0</v>
      </c>
      <c r="H435" s="58">
        <v>0</v>
      </c>
    </row>
    <row r="436" spans="1:8" x14ac:dyDescent="0.35">
      <c r="A436" s="49" t="s">
        <v>172</v>
      </c>
      <c r="B436" s="50">
        <v>45962</v>
      </c>
      <c r="C436" s="51" t="s">
        <v>22</v>
      </c>
      <c r="D436" s="51" t="s">
        <v>11</v>
      </c>
      <c r="E436" s="51" t="s">
        <v>13</v>
      </c>
      <c r="F436" s="51" t="s">
        <v>15</v>
      </c>
      <c r="G436" s="52">
        <v>0</v>
      </c>
      <c r="H436" s="53">
        <v>0</v>
      </c>
    </row>
    <row r="437" spans="1:8" x14ac:dyDescent="0.35">
      <c r="A437" s="54" t="s">
        <v>172</v>
      </c>
      <c r="B437" s="55">
        <v>45962</v>
      </c>
      <c r="C437" s="56" t="s">
        <v>22</v>
      </c>
      <c r="D437" s="56" t="s">
        <v>11</v>
      </c>
      <c r="E437" s="56" t="s">
        <v>13</v>
      </c>
      <c r="F437" s="56" t="s">
        <v>65</v>
      </c>
      <c r="G437" s="57">
        <v>0</v>
      </c>
      <c r="H437" s="58">
        <v>0</v>
      </c>
    </row>
    <row r="438" spans="1:8" x14ac:dyDescent="0.35">
      <c r="A438" s="49" t="s">
        <v>149</v>
      </c>
      <c r="B438" s="50">
        <v>45962</v>
      </c>
      <c r="C438" s="51" t="s">
        <v>23</v>
      </c>
      <c r="D438" s="51" t="s">
        <v>112</v>
      </c>
      <c r="E438" s="51" t="s">
        <v>113</v>
      </c>
      <c r="F438" s="51" t="s">
        <v>7</v>
      </c>
      <c r="G438" s="52">
        <v>0</v>
      </c>
      <c r="H438" s="53">
        <v>0</v>
      </c>
    </row>
    <row r="439" spans="1:8" x14ac:dyDescent="0.35">
      <c r="A439" s="54" t="s">
        <v>149</v>
      </c>
      <c r="B439" s="55">
        <v>45962</v>
      </c>
      <c r="C439" s="56" t="s">
        <v>23</v>
      </c>
      <c r="D439" s="56" t="s">
        <v>112</v>
      </c>
      <c r="E439" s="56" t="s">
        <v>113</v>
      </c>
      <c r="F439" s="56" t="s">
        <v>8</v>
      </c>
      <c r="G439" s="57">
        <v>0</v>
      </c>
      <c r="H439" s="58">
        <v>0</v>
      </c>
    </row>
    <row r="440" spans="1:8" x14ac:dyDescent="0.35">
      <c r="A440" s="49" t="s">
        <v>149</v>
      </c>
      <c r="B440" s="50">
        <v>45962</v>
      </c>
      <c r="C440" s="51" t="s">
        <v>23</v>
      </c>
      <c r="D440" s="51" t="s">
        <v>112</v>
      </c>
      <c r="E440" s="51" t="s">
        <v>113</v>
      </c>
      <c r="F440" s="51" t="s">
        <v>15</v>
      </c>
      <c r="G440" s="52">
        <v>0</v>
      </c>
      <c r="H440" s="53">
        <v>0</v>
      </c>
    </row>
    <row r="441" spans="1:8" x14ac:dyDescent="0.35">
      <c r="A441" s="54" t="s">
        <v>149</v>
      </c>
      <c r="B441" s="55">
        <v>45962</v>
      </c>
      <c r="C441" s="56" t="s">
        <v>23</v>
      </c>
      <c r="D441" s="56" t="s">
        <v>112</v>
      </c>
      <c r="E441" s="56" t="s">
        <v>113</v>
      </c>
      <c r="F441" s="56" t="s">
        <v>65</v>
      </c>
      <c r="G441" s="57">
        <v>0</v>
      </c>
      <c r="H441" s="58">
        <v>0</v>
      </c>
    </row>
    <row r="442" spans="1:8" x14ac:dyDescent="0.35">
      <c r="A442" s="49" t="s">
        <v>177</v>
      </c>
      <c r="B442" s="50">
        <v>45962</v>
      </c>
      <c r="C442" s="51" t="s">
        <v>46</v>
      </c>
      <c r="D442" s="51" t="s">
        <v>87</v>
      </c>
      <c r="E442" s="51" t="s">
        <v>9</v>
      </c>
      <c r="F442" s="51" t="s">
        <v>7</v>
      </c>
      <c r="G442" s="52">
        <v>0</v>
      </c>
      <c r="H442" s="53">
        <v>0</v>
      </c>
    </row>
    <row r="443" spans="1:8" x14ac:dyDescent="0.35">
      <c r="A443" s="54" t="s">
        <v>177</v>
      </c>
      <c r="B443" s="55">
        <v>45962</v>
      </c>
      <c r="C443" s="56" t="s">
        <v>46</v>
      </c>
      <c r="D443" s="56" t="s">
        <v>87</v>
      </c>
      <c r="E443" s="56" t="s">
        <v>9</v>
      </c>
      <c r="F443" s="56" t="s">
        <v>8</v>
      </c>
      <c r="G443" s="57">
        <v>0</v>
      </c>
      <c r="H443" s="58">
        <v>0</v>
      </c>
    </row>
    <row r="444" spans="1:8" x14ac:dyDescent="0.35">
      <c r="A444" s="49" t="s">
        <v>177</v>
      </c>
      <c r="B444" s="50">
        <v>45962</v>
      </c>
      <c r="C444" s="51" t="s">
        <v>46</v>
      </c>
      <c r="D444" s="51" t="s">
        <v>87</v>
      </c>
      <c r="E444" s="51" t="s">
        <v>9</v>
      </c>
      <c r="F444" s="51" t="s">
        <v>15</v>
      </c>
      <c r="G444" s="52">
        <v>65348.32</v>
      </c>
      <c r="H444" s="53">
        <v>1926</v>
      </c>
    </row>
    <row r="445" spans="1:8" x14ac:dyDescent="0.35">
      <c r="A445" s="54" t="s">
        <v>177</v>
      </c>
      <c r="B445" s="55">
        <v>45962</v>
      </c>
      <c r="C445" s="56" t="s">
        <v>46</v>
      </c>
      <c r="D445" s="56" t="s">
        <v>87</v>
      </c>
      <c r="E445" s="56" t="s">
        <v>9</v>
      </c>
      <c r="F445" s="56" t="s">
        <v>65</v>
      </c>
      <c r="G445" s="57">
        <v>0</v>
      </c>
      <c r="H445" s="58">
        <v>0</v>
      </c>
    </row>
    <row r="446" spans="1:8" x14ac:dyDescent="0.35">
      <c r="A446" s="49" t="s">
        <v>194</v>
      </c>
      <c r="B446" s="50">
        <v>45809</v>
      </c>
      <c r="C446" s="51" t="s">
        <v>25</v>
      </c>
      <c r="D446" s="51" t="s">
        <v>12</v>
      </c>
      <c r="E446" s="51" t="s">
        <v>9</v>
      </c>
      <c r="F446" s="51" t="s">
        <v>65</v>
      </c>
      <c r="G446" s="52">
        <v>0</v>
      </c>
      <c r="H446" s="53">
        <v>0</v>
      </c>
    </row>
    <row r="447" spans="1:8" x14ac:dyDescent="0.35">
      <c r="A447" s="54" t="s">
        <v>169</v>
      </c>
      <c r="B447" s="55">
        <v>45809</v>
      </c>
      <c r="C447" s="56" t="s">
        <v>25</v>
      </c>
      <c r="D447" s="56" t="s">
        <v>12</v>
      </c>
      <c r="E447" s="56" t="s">
        <v>170</v>
      </c>
      <c r="F447" s="56" t="s">
        <v>7</v>
      </c>
      <c r="G447" s="57">
        <v>0</v>
      </c>
      <c r="H447" s="58">
        <v>0</v>
      </c>
    </row>
    <row r="448" spans="1:8" x14ac:dyDescent="0.35">
      <c r="A448" s="49" t="s">
        <v>169</v>
      </c>
      <c r="B448" s="50">
        <v>45809</v>
      </c>
      <c r="C448" s="51" t="s">
        <v>25</v>
      </c>
      <c r="D448" s="51" t="s">
        <v>12</v>
      </c>
      <c r="E448" s="51" t="s">
        <v>170</v>
      </c>
      <c r="F448" s="51" t="s">
        <v>8</v>
      </c>
      <c r="G448" s="52">
        <v>0</v>
      </c>
      <c r="H448" s="53">
        <v>0</v>
      </c>
    </row>
    <row r="449" spans="1:8" x14ac:dyDescent="0.35">
      <c r="A449" s="54" t="s">
        <v>169</v>
      </c>
      <c r="B449" s="55">
        <v>45809</v>
      </c>
      <c r="C449" s="56" t="s">
        <v>25</v>
      </c>
      <c r="D449" s="56" t="s">
        <v>12</v>
      </c>
      <c r="E449" s="56" t="s">
        <v>170</v>
      </c>
      <c r="F449" s="56" t="s">
        <v>15</v>
      </c>
      <c r="G449" s="57">
        <v>123240</v>
      </c>
      <c r="H449" s="58">
        <v>4160</v>
      </c>
    </row>
    <row r="450" spans="1:8" x14ac:dyDescent="0.35">
      <c r="A450" s="49" t="s">
        <v>134</v>
      </c>
      <c r="B450" s="50">
        <v>45962</v>
      </c>
      <c r="C450" s="51" t="s">
        <v>57</v>
      </c>
      <c r="D450" s="51" t="s">
        <v>58</v>
      </c>
      <c r="E450" s="51" t="s">
        <v>10</v>
      </c>
      <c r="F450" s="51" t="s">
        <v>7</v>
      </c>
      <c r="G450" s="52">
        <v>0</v>
      </c>
      <c r="H450" s="53">
        <v>0</v>
      </c>
    </row>
    <row r="451" spans="1:8" x14ac:dyDescent="0.35">
      <c r="A451" s="54" t="s">
        <v>134</v>
      </c>
      <c r="B451" s="55">
        <v>45962</v>
      </c>
      <c r="C451" s="56" t="s">
        <v>57</v>
      </c>
      <c r="D451" s="56" t="s">
        <v>58</v>
      </c>
      <c r="E451" s="56" t="s">
        <v>10</v>
      </c>
      <c r="F451" s="56" t="s">
        <v>8</v>
      </c>
      <c r="G451" s="57">
        <v>0</v>
      </c>
      <c r="H451" s="58">
        <v>0</v>
      </c>
    </row>
    <row r="452" spans="1:8" x14ac:dyDescent="0.35">
      <c r="A452" s="49" t="s">
        <v>134</v>
      </c>
      <c r="B452" s="50">
        <v>45962</v>
      </c>
      <c r="C452" s="51" t="s">
        <v>57</v>
      </c>
      <c r="D452" s="51" t="s">
        <v>58</v>
      </c>
      <c r="E452" s="51" t="s">
        <v>10</v>
      </c>
      <c r="F452" s="51" t="s">
        <v>15</v>
      </c>
      <c r="G452" s="52">
        <v>35019.49</v>
      </c>
      <c r="H452" s="53">
        <v>1100</v>
      </c>
    </row>
    <row r="453" spans="1:8" x14ac:dyDescent="0.35">
      <c r="A453" s="54" t="s">
        <v>134</v>
      </c>
      <c r="B453" s="55">
        <v>45962</v>
      </c>
      <c r="C453" s="56" t="s">
        <v>57</v>
      </c>
      <c r="D453" s="56" t="s">
        <v>58</v>
      </c>
      <c r="E453" s="56" t="s">
        <v>10</v>
      </c>
      <c r="F453" s="56" t="s">
        <v>65</v>
      </c>
      <c r="G453" s="57">
        <v>0</v>
      </c>
      <c r="H453" s="58">
        <v>0</v>
      </c>
    </row>
    <row r="454" spans="1:8" x14ac:dyDescent="0.35">
      <c r="A454" s="59">
        <v>20105</v>
      </c>
      <c r="B454" s="50">
        <v>45962</v>
      </c>
      <c r="C454" s="51" t="s">
        <v>26</v>
      </c>
      <c r="D454" s="51" t="s">
        <v>19</v>
      </c>
      <c r="E454" s="51" t="s">
        <v>13</v>
      </c>
      <c r="F454" s="51" t="s">
        <v>7</v>
      </c>
      <c r="G454" s="52">
        <v>0</v>
      </c>
      <c r="H454" s="53">
        <v>0</v>
      </c>
    </row>
    <row r="455" spans="1:8" x14ac:dyDescent="0.35">
      <c r="A455" s="60">
        <v>20105</v>
      </c>
      <c r="B455" s="55">
        <v>45962</v>
      </c>
      <c r="C455" s="56" t="s">
        <v>26</v>
      </c>
      <c r="D455" s="56" t="s">
        <v>19</v>
      </c>
      <c r="E455" s="56" t="s">
        <v>13</v>
      </c>
      <c r="F455" s="56" t="s">
        <v>8</v>
      </c>
      <c r="G455" s="57">
        <v>0</v>
      </c>
      <c r="H455" s="58">
        <v>0</v>
      </c>
    </row>
    <row r="456" spans="1:8" x14ac:dyDescent="0.35">
      <c r="A456" s="59">
        <v>20105</v>
      </c>
      <c r="B456" s="50">
        <v>45962</v>
      </c>
      <c r="C456" s="51" t="s">
        <v>26</v>
      </c>
      <c r="D456" s="51" t="s">
        <v>19</v>
      </c>
      <c r="E456" s="51" t="s">
        <v>13</v>
      </c>
      <c r="F456" s="51" t="s">
        <v>15</v>
      </c>
      <c r="G456" s="52">
        <v>15310.52</v>
      </c>
      <c r="H456" s="53">
        <v>510</v>
      </c>
    </row>
    <row r="457" spans="1:8" x14ac:dyDescent="0.35">
      <c r="A457" s="60">
        <v>20105</v>
      </c>
      <c r="B457" s="55">
        <v>45962</v>
      </c>
      <c r="C457" s="56" t="s">
        <v>26</v>
      </c>
      <c r="D457" s="56" t="s">
        <v>19</v>
      </c>
      <c r="E457" s="56" t="s">
        <v>13</v>
      </c>
      <c r="F457" s="56" t="s">
        <v>65</v>
      </c>
      <c r="G457" s="57">
        <v>0</v>
      </c>
      <c r="H457" s="58">
        <v>0</v>
      </c>
    </row>
    <row r="458" spans="1:8" x14ac:dyDescent="0.35">
      <c r="A458" s="49" t="s">
        <v>142</v>
      </c>
      <c r="B458" s="50">
        <v>45992</v>
      </c>
      <c r="C458" s="51" t="s">
        <v>48</v>
      </c>
      <c r="D458" s="51" t="s">
        <v>49</v>
      </c>
      <c r="E458" s="51" t="s">
        <v>52</v>
      </c>
      <c r="F458" s="51" t="s">
        <v>7</v>
      </c>
      <c r="G458" s="52">
        <v>0</v>
      </c>
      <c r="H458" s="53">
        <v>0</v>
      </c>
    </row>
    <row r="459" spans="1:8" x14ac:dyDescent="0.35">
      <c r="A459" s="54" t="s">
        <v>142</v>
      </c>
      <c r="B459" s="55">
        <v>45992</v>
      </c>
      <c r="C459" s="56" t="s">
        <v>48</v>
      </c>
      <c r="D459" s="56" t="s">
        <v>49</v>
      </c>
      <c r="E459" s="56" t="s">
        <v>52</v>
      </c>
      <c r="F459" s="56" t="s">
        <v>8</v>
      </c>
      <c r="G459" s="57">
        <v>0</v>
      </c>
      <c r="H459" s="58">
        <v>0</v>
      </c>
    </row>
    <row r="460" spans="1:8" x14ac:dyDescent="0.35">
      <c r="A460" s="49" t="s">
        <v>142</v>
      </c>
      <c r="B460" s="50">
        <v>45992</v>
      </c>
      <c r="C460" s="51" t="s">
        <v>48</v>
      </c>
      <c r="D460" s="51" t="s">
        <v>49</v>
      </c>
      <c r="E460" s="51" t="s">
        <v>52</v>
      </c>
      <c r="F460" s="51" t="s">
        <v>15</v>
      </c>
      <c r="G460" s="52">
        <v>93380.944864864854</v>
      </c>
      <c r="H460" s="53">
        <v>2040</v>
      </c>
    </row>
    <row r="461" spans="1:8" x14ac:dyDescent="0.35">
      <c r="A461" s="54" t="s">
        <v>142</v>
      </c>
      <c r="B461" s="55">
        <v>45992</v>
      </c>
      <c r="C461" s="56" t="s">
        <v>48</v>
      </c>
      <c r="D461" s="56" t="s">
        <v>49</v>
      </c>
      <c r="E461" s="56" t="s">
        <v>52</v>
      </c>
      <c r="F461" s="56" t="s">
        <v>65</v>
      </c>
      <c r="G461" s="57">
        <v>0</v>
      </c>
      <c r="H461" s="58">
        <v>0</v>
      </c>
    </row>
    <row r="462" spans="1:8" x14ac:dyDescent="0.35">
      <c r="A462" s="49" t="s">
        <v>139</v>
      </c>
      <c r="B462" s="50">
        <v>45992</v>
      </c>
      <c r="C462" s="51" t="s">
        <v>48</v>
      </c>
      <c r="D462" s="51" t="s">
        <v>49</v>
      </c>
      <c r="E462" s="51" t="s">
        <v>14</v>
      </c>
      <c r="F462" s="51" t="s">
        <v>7</v>
      </c>
      <c r="G462" s="52">
        <v>0</v>
      </c>
      <c r="H462" s="53">
        <v>0</v>
      </c>
    </row>
    <row r="463" spans="1:8" x14ac:dyDescent="0.35">
      <c r="A463" s="54" t="s">
        <v>139</v>
      </c>
      <c r="B463" s="55">
        <v>45992</v>
      </c>
      <c r="C463" s="56" t="s">
        <v>48</v>
      </c>
      <c r="D463" s="56" t="s">
        <v>49</v>
      </c>
      <c r="E463" s="56" t="s">
        <v>14</v>
      </c>
      <c r="F463" s="56" t="s">
        <v>8</v>
      </c>
      <c r="G463" s="57">
        <v>0</v>
      </c>
      <c r="H463" s="58">
        <v>0</v>
      </c>
    </row>
    <row r="464" spans="1:8" x14ac:dyDescent="0.35">
      <c r="A464" s="49" t="s">
        <v>139</v>
      </c>
      <c r="B464" s="50">
        <v>45992</v>
      </c>
      <c r="C464" s="51" t="s">
        <v>48</v>
      </c>
      <c r="D464" s="51" t="s">
        <v>49</v>
      </c>
      <c r="E464" s="51" t="s">
        <v>14</v>
      </c>
      <c r="F464" s="51" t="s">
        <v>15</v>
      </c>
      <c r="G464" s="52">
        <v>18715.400000000001</v>
      </c>
      <c r="H464" s="53">
        <v>936</v>
      </c>
    </row>
    <row r="465" spans="1:8" x14ac:dyDescent="0.35">
      <c r="A465" s="54" t="s">
        <v>139</v>
      </c>
      <c r="B465" s="55">
        <v>45992</v>
      </c>
      <c r="C465" s="56" t="s">
        <v>48</v>
      </c>
      <c r="D465" s="56" t="s">
        <v>49</v>
      </c>
      <c r="E465" s="56" t="s">
        <v>14</v>
      </c>
      <c r="F465" s="56" t="s">
        <v>65</v>
      </c>
      <c r="G465" s="57">
        <v>0</v>
      </c>
      <c r="H465" s="58">
        <v>0</v>
      </c>
    </row>
    <row r="466" spans="1:8" x14ac:dyDescent="0.35">
      <c r="A466" s="49" t="s">
        <v>25</v>
      </c>
      <c r="B466" s="50">
        <v>45992</v>
      </c>
      <c r="C466" s="51" t="s">
        <v>48</v>
      </c>
      <c r="D466" s="51" t="s">
        <v>49</v>
      </c>
      <c r="E466" s="51" t="s">
        <v>116</v>
      </c>
      <c r="F466" s="51" t="s">
        <v>7</v>
      </c>
      <c r="G466" s="52">
        <v>0</v>
      </c>
      <c r="H466" s="53">
        <v>0</v>
      </c>
    </row>
    <row r="467" spans="1:8" x14ac:dyDescent="0.35">
      <c r="A467" s="54" t="s">
        <v>25</v>
      </c>
      <c r="B467" s="55">
        <v>45992</v>
      </c>
      <c r="C467" s="56" t="s">
        <v>48</v>
      </c>
      <c r="D467" s="56" t="s">
        <v>49</v>
      </c>
      <c r="E467" s="56" t="s">
        <v>116</v>
      </c>
      <c r="F467" s="56" t="s">
        <v>8</v>
      </c>
      <c r="G467" s="57">
        <v>0</v>
      </c>
      <c r="H467" s="58">
        <v>0</v>
      </c>
    </row>
    <row r="468" spans="1:8" x14ac:dyDescent="0.35">
      <c r="A468" s="49" t="s">
        <v>25</v>
      </c>
      <c r="B468" s="50">
        <v>45992</v>
      </c>
      <c r="C468" s="51" t="s">
        <v>48</v>
      </c>
      <c r="D468" s="51" t="s">
        <v>49</v>
      </c>
      <c r="E468" s="51" t="s">
        <v>116</v>
      </c>
      <c r="F468" s="51" t="s">
        <v>15</v>
      </c>
      <c r="G468" s="52">
        <v>0</v>
      </c>
      <c r="H468" s="53">
        <v>0</v>
      </c>
    </row>
    <row r="469" spans="1:8" x14ac:dyDescent="0.35">
      <c r="A469" s="54" t="s">
        <v>25</v>
      </c>
      <c r="B469" s="55">
        <v>45992</v>
      </c>
      <c r="C469" s="56" t="s">
        <v>48</v>
      </c>
      <c r="D469" s="56" t="s">
        <v>49</v>
      </c>
      <c r="E469" s="56" t="s">
        <v>116</v>
      </c>
      <c r="F469" s="56" t="s">
        <v>65</v>
      </c>
      <c r="G469" s="57">
        <v>0</v>
      </c>
      <c r="H469" s="58">
        <v>0</v>
      </c>
    </row>
    <row r="470" spans="1:8" x14ac:dyDescent="0.35">
      <c r="A470" s="49" t="s">
        <v>102</v>
      </c>
      <c r="B470" s="50">
        <v>45992</v>
      </c>
      <c r="C470" s="51" t="s">
        <v>48</v>
      </c>
      <c r="D470" s="51" t="s">
        <v>49</v>
      </c>
      <c r="E470" s="51" t="s">
        <v>51</v>
      </c>
      <c r="F470" s="51" t="s">
        <v>7</v>
      </c>
      <c r="G470" s="52">
        <v>0</v>
      </c>
      <c r="H470" s="53">
        <v>0</v>
      </c>
    </row>
    <row r="471" spans="1:8" x14ac:dyDescent="0.35">
      <c r="A471" s="54" t="s">
        <v>102</v>
      </c>
      <c r="B471" s="55">
        <v>45992</v>
      </c>
      <c r="C471" s="56" t="s">
        <v>48</v>
      </c>
      <c r="D471" s="56" t="s">
        <v>49</v>
      </c>
      <c r="E471" s="56" t="s">
        <v>51</v>
      </c>
      <c r="F471" s="56" t="s">
        <v>8</v>
      </c>
      <c r="G471" s="57">
        <v>0</v>
      </c>
      <c r="H471" s="58">
        <v>0</v>
      </c>
    </row>
    <row r="472" spans="1:8" x14ac:dyDescent="0.35">
      <c r="A472" s="49" t="s">
        <v>102</v>
      </c>
      <c r="B472" s="50">
        <v>45992</v>
      </c>
      <c r="C472" s="51" t="s">
        <v>48</v>
      </c>
      <c r="D472" s="51" t="s">
        <v>49</v>
      </c>
      <c r="E472" s="51" t="s">
        <v>51</v>
      </c>
      <c r="F472" s="51" t="s">
        <v>15</v>
      </c>
      <c r="G472" s="52">
        <v>0</v>
      </c>
      <c r="H472" s="53">
        <v>0</v>
      </c>
    </row>
    <row r="473" spans="1:8" x14ac:dyDescent="0.35">
      <c r="A473" s="54" t="s">
        <v>102</v>
      </c>
      <c r="B473" s="55">
        <v>45992</v>
      </c>
      <c r="C473" s="56" t="s">
        <v>48</v>
      </c>
      <c r="D473" s="56" t="s">
        <v>49</v>
      </c>
      <c r="E473" s="56" t="s">
        <v>51</v>
      </c>
      <c r="F473" s="56" t="s">
        <v>65</v>
      </c>
      <c r="G473" s="57">
        <v>0</v>
      </c>
      <c r="H473" s="58">
        <v>0</v>
      </c>
    </row>
    <row r="474" spans="1:8" x14ac:dyDescent="0.35">
      <c r="A474" s="49" t="s">
        <v>172</v>
      </c>
      <c r="B474" s="50">
        <v>45992</v>
      </c>
      <c r="C474" s="51" t="s">
        <v>22</v>
      </c>
      <c r="D474" s="51" t="s">
        <v>11</v>
      </c>
      <c r="E474" s="51" t="s">
        <v>13</v>
      </c>
      <c r="F474" s="51" t="s">
        <v>7</v>
      </c>
      <c r="G474" s="52">
        <v>0</v>
      </c>
      <c r="H474" s="53">
        <v>0</v>
      </c>
    </row>
    <row r="475" spans="1:8" x14ac:dyDescent="0.35">
      <c r="A475" s="54" t="s">
        <v>172</v>
      </c>
      <c r="B475" s="55">
        <v>45992</v>
      </c>
      <c r="C475" s="56" t="s">
        <v>22</v>
      </c>
      <c r="D475" s="56" t="s">
        <v>11</v>
      </c>
      <c r="E475" s="56" t="s">
        <v>13</v>
      </c>
      <c r="F475" s="56" t="s">
        <v>8</v>
      </c>
      <c r="G475" s="57">
        <v>0</v>
      </c>
      <c r="H475" s="58">
        <v>0</v>
      </c>
    </row>
    <row r="476" spans="1:8" x14ac:dyDescent="0.35">
      <c r="A476" s="49" t="s">
        <v>172</v>
      </c>
      <c r="B476" s="50">
        <v>45992</v>
      </c>
      <c r="C476" s="51" t="s">
        <v>22</v>
      </c>
      <c r="D476" s="51" t="s">
        <v>11</v>
      </c>
      <c r="E476" s="51" t="s">
        <v>13</v>
      </c>
      <c r="F476" s="51" t="s">
        <v>15</v>
      </c>
      <c r="G476" s="52">
        <v>0</v>
      </c>
      <c r="H476" s="53">
        <v>0</v>
      </c>
    </row>
    <row r="477" spans="1:8" x14ac:dyDescent="0.35">
      <c r="A477" s="54" t="s">
        <v>172</v>
      </c>
      <c r="B477" s="55">
        <v>45992</v>
      </c>
      <c r="C477" s="56" t="s">
        <v>22</v>
      </c>
      <c r="D477" s="56" t="s">
        <v>11</v>
      </c>
      <c r="E477" s="56" t="s">
        <v>13</v>
      </c>
      <c r="F477" s="56" t="s">
        <v>65</v>
      </c>
      <c r="G477" s="57">
        <v>0</v>
      </c>
      <c r="H477" s="58">
        <v>0</v>
      </c>
    </row>
    <row r="478" spans="1:8" x14ac:dyDescent="0.35">
      <c r="A478" s="49" t="s">
        <v>149</v>
      </c>
      <c r="B478" s="50">
        <v>45992</v>
      </c>
      <c r="C478" s="51" t="s">
        <v>23</v>
      </c>
      <c r="D478" s="51" t="s">
        <v>112</v>
      </c>
      <c r="E478" s="51" t="s">
        <v>113</v>
      </c>
      <c r="F478" s="51" t="s">
        <v>7</v>
      </c>
      <c r="G478" s="52">
        <v>0</v>
      </c>
      <c r="H478" s="53">
        <v>0</v>
      </c>
    </row>
    <row r="479" spans="1:8" x14ac:dyDescent="0.35">
      <c r="A479" s="54" t="s">
        <v>149</v>
      </c>
      <c r="B479" s="55">
        <v>45992</v>
      </c>
      <c r="C479" s="56" t="s">
        <v>23</v>
      </c>
      <c r="D479" s="56" t="s">
        <v>112</v>
      </c>
      <c r="E479" s="56" t="s">
        <v>113</v>
      </c>
      <c r="F479" s="56" t="s">
        <v>8</v>
      </c>
      <c r="G479" s="57">
        <v>0</v>
      </c>
      <c r="H479" s="58">
        <v>0</v>
      </c>
    </row>
    <row r="480" spans="1:8" x14ac:dyDescent="0.35">
      <c r="A480" s="49" t="s">
        <v>149</v>
      </c>
      <c r="B480" s="50">
        <v>45992</v>
      </c>
      <c r="C480" s="51" t="s">
        <v>23</v>
      </c>
      <c r="D480" s="51" t="s">
        <v>112</v>
      </c>
      <c r="E480" s="51" t="s">
        <v>113</v>
      </c>
      <c r="F480" s="51" t="s">
        <v>15</v>
      </c>
      <c r="G480" s="52">
        <v>0</v>
      </c>
      <c r="H480" s="53">
        <v>0</v>
      </c>
    </row>
    <row r="481" spans="1:8" x14ac:dyDescent="0.35">
      <c r="A481" s="54" t="s">
        <v>149</v>
      </c>
      <c r="B481" s="55">
        <v>45992</v>
      </c>
      <c r="C481" s="56" t="s">
        <v>23</v>
      </c>
      <c r="D481" s="56" t="s">
        <v>112</v>
      </c>
      <c r="E481" s="56" t="s">
        <v>113</v>
      </c>
      <c r="F481" s="56" t="s">
        <v>65</v>
      </c>
      <c r="G481" s="57">
        <v>0</v>
      </c>
      <c r="H481" s="58">
        <v>0</v>
      </c>
    </row>
    <row r="482" spans="1:8" x14ac:dyDescent="0.35">
      <c r="A482" s="49" t="s">
        <v>177</v>
      </c>
      <c r="B482" s="50">
        <v>45992</v>
      </c>
      <c r="C482" s="51" t="s">
        <v>46</v>
      </c>
      <c r="D482" s="51" t="s">
        <v>87</v>
      </c>
      <c r="E482" s="51" t="s">
        <v>9</v>
      </c>
      <c r="F482" s="51" t="s">
        <v>7</v>
      </c>
      <c r="G482" s="52">
        <v>0</v>
      </c>
      <c r="H482" s="53">
        <v>0</v>
      </c>
    </row>
    <row r="483" spans="1:8" x14ac:dyDescent="0.35">
      <c r="A483" s="54" t="s">
        <v>177</v>
      </c>
      <c r="B483" s="55">
        <v>45992</v>
      </c>
      <c r="C483" s="56" t="s">
        <v>46</v>
      </c>
      <c r="D483" s="56" t="s">
        <v>87</v>
      </c>
      <c r="E483" s="56" t="s">
        <v>9</v>
      </c>
      <c r="F483" s="56" t="s">
        <v>8</v>
      </c>
      <c r="G483" s="57">
        <v>0</v>
      </c>
      <c r="H483" s="58">
        <v>0</v>
      </c>
    </row>
    <row r="484" spans="1:8" x14ac:dyDescent="0.35">
      <c r="A484" s="49" t="s">
        <v>177</v>
      </c>
      <c r="B484" s="50">
        <v>45992</v>
      </c>
      <c r="C484" s="51" t="s">
        <v>46</v>
      </c>
      <c r="D484" s="51" t="s">
        <v>87</v>
      </c>
      <c r="E484" s="51" t="s">
        <v>9</v>
      </c>
      <c r="F484" s="51" t="s">
        <v>15</v>
      </c>
      <c r="G484" s="52">
        <v>65348.32</v>
      </c>
      <c r="H484" s="53">
        <v>1926</v>
      </c>
    </row>
    <row r="485" spans="1:8" x14ac:dyDescent="0.35">
      <c r="A485" s="54" t="s">
        <v>177</v>
      </c>
      <c r="B485" s="55">
        <v>45992</v>
      </c>
      <c r="C485" s="56" t="s">
        <v>46</v>
      </c>
      <c r="D485" s="56" t="s">
        <v>87</v>
      </c>
      <c r="E485" s="56" t="s">
        <v>9</v>
      </c>
      <c r="F485" s="56" t="s">
        <v>65</v>
      </c>
      <c r="G485" s="57">
        <v>0</v>
      </c>
      <c r="H485" s="58">
        <v>0</v>
      </c>
    </row>
    <row r="486" spans="1:8" x14ac:dyDescent="0.35">
      <c r="A486" s="49" t="s">
        <v>169</v>
      </c>
      <c r="B486" s="50">
        <v>45809</v>
      </c>
      <c r="C486" s="51" t="s">
        <v>25</v>
      </c>
      <c r="D486" s="51" t="s">
        <v>12</v>
      </c>
      <c r="E486" s="51" t="s">
        <v>170</v>
      </c>
      <c r="F486" s="51" t="s">
        <v>65</v>
      </c>
      <c r="G486" s="52">
        <v>0</v>
      </c>
      <c r="H486" s="53">
        <v>0</v>
      </c>
    </row>
    <row r="487" spans="1:8" x14ac:dyDescent="0.35">
      <c r="A487" s="54" t="s">
        <v>194</v>
      </c>
      <c r="B487" s="55">
        <v>45839</v>
      </c>
      <c r="C487" s="56" t="s">
        <v>25</v>
      </c>
      <c r="D487" s="56" t="s">
        <v>12</v>
      </c>
      <c r="E487" s="56" t="s">
        <v>9</v>
      </c>
      <c r="F487" s="56" t="s">
        <v>7</v>
      </c>
      <c r="G487" s="57">
        <v>0</v>
      </c>
      <c r="H487" s="58">
        <v>0</v>
      </c>
    </row>
    <row r="488" spans="1:8" x14ac:dyDescent="0.35">
      <c r="A488" s="49" t="s">
        <v>194</v>
      </c>
      <c r="B488" s="50">
        <v>45839</v>
      </c>
      <c r="C488" s="51" t="s">
        <v>25</v>
      </c>
      <c r="D488" s="51" t="s">
        <v>12</v>
      </c>
      <c r="E488" s="51" t="s">
        <v>9</v>
      </c>
      <c r="F488" s="51" t="s">
        <v>8</v>
      </c>
      <c r="G488" s="52">
        <v>0</v>
      </c>
      <c r="H488" s="53">
        <v>0</v>
      </c>
    </row>
    <row r="489" spans="1:8" x14ac:dyDescent="0.35">
      <c r="A489" s="54" t="s">
        <v>194</v>
      </c>
      <c r="B489" s="55">
        <v>45839</v>
      </c>
      <c r="C489" s="56" t="s">
        <v>25</v>
      </c>
      <c r="D489" s="56" t="s">
        <v>12</v>
      </c>
      <c r="E489" s="56" t="s">
        <v>9</v>
      </c>
      <c r="F489" s="56" t="s">
        <v>15</v>
      </c>
      <c r="G489" s="57">
        <v>165115.51999999999</v>
      </c>
      <c r="H489" s="58">
        <v>5625</v>
      </c>
    </row>
    <row r="490" spans="1:8" x14ac:dyDescent="0.35">
      <c r="A490" s="49" t="s">
        <v>134</v>
      </c>
      <c r="B490" s="50">
        <v>45992</v>
      </c>
      <c r="C490" s="51" t="s">
        <v>57</v>
      </c>
      <c r="D490" s="51" t="s">
        <v>58</v>
      </c>
      <c r="E490" s="51" t="s">
        <v>10</v>
      </c>
      <c r="F490" s="51" t="s">
        <v>7</v>
      </c>
      <c r="G490" s="52">
        <v>0</v>
      </c>
      <c r="H490" s="53">
        <v>0</v>
      </c>
    </row>
    <row r="491" spans="1:8" x14ac:dyDescent="0.35">
      <c r="A491" s="54" t="s">
        <v>134</v>
      </c>
      <c r="B491" s="55">
        <v>45992</v>
      </c>
      <c r="C491" s="56" t="s">
        <v>57</v>
      </c>
      <c r="D491" s="56" t="s">
        <v>58</v>
      </c>
      <c r="E491" s="56" t="s">
        <v>10</v>
      </c>
      <c r="F491" s="56" t="s">
        <v>8</v>
      </c>
      <c r="G491" s="57">
        <v>0</v>
      </c>
      <c r="H491" s="58">
        <v>0</v>
      </c>
    </row>
    <row r="492" spans="1:8" x14ac:dyDescent="0.35">
      <c r="A492" s="49" t="s">
        <v>134</v>
      </c>
      <c r="B492" s="50">
        <v>45992</v>
      </c>
      <c r="C492" s="51" t="s">
        <v>57</v>
      </c>
      <c r="D492" s="51" t="s">
        <v>58</v>
      </c>
      <c r="E492" s="51" t="s">
        <v>10</v>
      </c>
      <c r="F492" s="51" t="s">
        <v>15</v>
      </c>
      <c r="G492" s="52">
        <v>36294.29</v>
      </c>
      <c r="H492" s="53">
        <v>1100</v>
      </c>
    </row>
    <row r="493" spans="1:8" x14ac:dyDescent="0.35">
      <c r="A493" s="54" t="s">
        <v>134</v>
      </c>
      <c r="B493" s="55">
        <v>45992</v>
      </c>
      <c r="C493" s="56" t="s">
        <v>57</v>
      </c>
      <c r="D493" s="56" t="s">
        <v>58</v>
      </c>
      <c r="E493" s="56" t="s">
        <v>10</v>
      </c>
      <c r="F493" s="56" t="s">
        <v>65</v>
      </c>
      <c r="G493" s="57">
        <v>0</v>
      </c>
      <c r="H493" s="58">
        <v>0</v>
      </c>
    </row>
    <row r="494" spans="1:8" x14ac:dyDescent="0.35">
      <c r="A494" s="59">
        <v>20105</v>
      </c>
      <c r="B494" s="50">
        <v>45992</v>
      </c>
      <c r="C494" s="51" t="s">
        <v>26</v>
      </c>
      <c r="D494" s="51" t="s">
        <v>19</v>
      </c>
      <c r="E494" s="51" t="s">
        <v>13</v>
      </c>
      <c r="F494" s="51" t="s">
        <v>7</v>
      </c>
      <c r="G494" s="52">
        <v>0</v>
      </c>
      <c r="H494" s="53">
        <v>0</v>
      </c>
    </row>
    <row r="495" spans="1:8" x14ac:dyDescent="0.35">
      <c r="A495" s="60">
        <v>20105</v>
      </c>
      <c r="B495" s="55">
        <v>45992</v>
      </c>
      <c r="C495" s="56" t="s">
        <v>26</v>
      </c>
      <c r="D495" s="56" t="s">
        <v>19</v>
      </c>
      <c r="E495" s="56" t="s">
        <v>13</v>
      </c>
      <c r="F495" s="56" t="s">
        <v>8</v>
      </c>
      <c r="G495" s="57">
        <v>0</v>
      </c>
      <c r="H495" s="58">
        <v>0</v>
      </c>
    </row>
    <row r="496" spans="1:8" x14ac:dyDescent="0.35">
      <c r="A496" s="59">
        <v>20105</v>
      </c>
      <c r="B496" s="50">
        <v>45992</v>
      </c>
      <c r="C496" s="51" t="s">
        <v>26</v>
      </c>
      <c r="D496" s="51" t="s">
        <v>19</v>
      </c>
      <c r="E496" s="51" t="s">
        <v>13</v>
      </c>
      <c r="F496" s="51" t="s">
        <v>15</v>
      </c>
      <c r="G496" s="52">
        <v>15310.52</v>
      </c>
      <c r="H496" s="53">
        <v>510</v>
      </c>
    </row>
    <row r="497" spans="1:8" x14ac:dyDescent="0.35">
      <c r="A497" s="60">
        <v>20105</v>
      </c>
      <c r="B497" s="55">
        <v>45992</v>
      </c>
      <c r="C497" s="56" t="s">
        <v>26</v>
      </c>
      <c r="D497" s="56" t="s">
        <v>19</v>
      </c>
      <c r="E497" s="56" t="s">
        <v>13</v>
      </c>
      <c r="F497" s="56" t="s">
        <v>65</v>
      </c>
      <c r="G497" s="57">
        <v>0</v>
      </c>
      <c r="H497" s="58">
        <v>0</v>
      </c>
    </row>
    <row r="498" spans="1:8" x14ac:dyDescent="0.35">
      <c r="A498" s="59">
        <v>49206</v>
      </c>
      <c r="B498" s="50">
        <v>45658</v>
      </c>
      <c r="C498" s="51" t="s">
        <v>57</v>
      </c>
      <c r="D498" s="51" t="s">
        <v>58</v>
      </c>
      <c r="E498" s="51" t="s">
        <v>6</v>
      </c>
      <c r="F498" s="51" t="s">
        <v>7</v>
      </c>
      <c r="G498" s="52">
        <v>0</v>
      </c>
      <c r="H498" s="53">
        <v>0</v>
      </c>
    </row>
    <row r="499" spans="1:8" x14ac:dyDescent="0.35">
      <c r="A499" s="60">
        <v>49206</v>
      </c>
      <c r="B499" s="55">
        <v>45658</v>
      </c>
      <c r="C499" s="56" t="s">
        <v>57</v>
      </c>
      <c r="D499" s="56" t="s">
        <v>58</v>
      </c>
      <c r="E499" s="56" t="s">
        <v>6</v>
      </c>
      <c r="F499" s="56" t="s">
        <v>8</v>
      </c>
      <c r="G499" s="57">
        <v>0</v>
      </c>
      <c r="H499" s="58">
        <v>0</v>
      </c>
    </row>
    <row r="500" spans="1:8" x14ac:dyDescent="0.35">
      <c r="A500" s="59">
        <v>49206</v>
      </c>
      <c r="B500" s="50">
        <v>45658</v>
      </c>
      <c r="C500" s="51" t="s">
        <v>57</v>
      </c>
      <c r="D500" s="51" t="s">
        <v>58</v>
      </c>
      <c r="E500" s="51" t="s">
        <v>6</v>
      </c>
      <c r="F500" s="51" t="s">
        <v>15</v>
      </c>
      <c r="G500" s="52">
        <v>0</v>
      </c>
      <c r="H500" s="53">
        <v>0</v>
      </c>
    </row>
    <row r="501" spans="1:8" x14ac:dyDescent="0.35">
      <c r="A501" s="60">
        <v>49206</v>
      </c>
      <c r="B501" s="55">
        <v>45658</v>
      </c>
      <c r="C501" s="56" t="s">
        <v>57</v>
      </c>
      <c r="D501" s="56" t="s">
        <v>58</v>
      </c>
      <c r="E501" s="56" t="s">
        <v>6</v>
      </c>
      <c r="F501" s="56" t="s">
        <v>65</v>
      </c>
      <c r="G501" s="57">
        <v>0</v>
      </c>
      <c r="H501" s="58">
        <v>0</v>
      </c>
    </row>
    <row r="502" spans="1:8" x14ac:dyDescent="0.35">
      <c r="A502" s="59">
        <v>49206</v>
      </c>
      <c r="B502" s="50">
        <v>45689</v>
      </c>
      <c r="C502" s="51" t="s">
        <v>57</v>
      </c>
      <c r="D502" s="51" t="s">
        <v>58</v>
      </c>
      <c r="E502" s="51" t="s">
        <v>6</v>
      </c>
      <c r="F502" s="51" t="s">
        <v>7</v>
      </c>
      <c r="G502" s="52">
        <v>0</v>
      </c>
      <c r="H502" s="53">
        <v>0</v>
      </c>
    </row>
    <row r="503" spans="1:8" x14ac:dyDescent="0.35">
      <c r="A503" s="60">
        <v>49206</v>
      </c>
      <c r="B503" s="55">
        <v>45689</v>
      </c>
      <c r="C503" s="56" t="s">
        <v>57</v>
      </c>
      <c r="D503" s="56" t="s">
        <v>58</v>
      </c>
      <c r="E503" s="56" t="s">
        <v>6</v>
      </c>
      <c r="F503" s="56" t="s">
        <v>8</v>
      </c>
      <c r="G503" s="57">
        <v>0</v>
      </c>
      <c r="H503" s="58">
        <v>0</v>
      </c>
    </row>
    <row r="504" spans="1:8" x14ac:dyDescent="0.35">
      <c r="A504" s="59">
        <v>49206</v>
      </c>
      <c r="B504" s="50">
        <v>45689</v>
      </c>
      <c r="C504" s="51" t="s">
        <v>57</v>
      </c>
      <c r="D504" s="51" t="s">
        <v>58</v>
      </c>
      <c r="E504" s="51" t="s">
        <v>6</v>
      </c>
      <c r="F504" s="51" t="s">
        <v>15</v>
      </c>
      <c r="G504" s="52">
        <v>0</v>
      </c>
      <c r="H504" s="53">
        <v>0</v>
      </c>
    </row>
    <row r="505" spans="1:8" x14ac:dyDescent="0.35">
      <c r="A505" s="60">
        <v>49206</v>
      </c>
      <c r="B505" s="55">
        <v>45689</v>
      </c>
      <c r="C505" s="56" t="s">
        <v>57</v>
      </c>
      <c r="D505" s="56" t="s">
        <v>58</v>
      </c>
      <c r="E505" s="56" t="s">
        <v>6</v>
      </c>
      <c r="F505" s="56" t="s">
        <v>65</v>
      </c>
      <c r="G505" s="57">
        <v>0</v>
      </c>
      <c r="H505" s="58">
        <v>0</v>
      </c>
    </row>
    <row r="506" spans="1:8" x14ac:dyDescent="0.35">
      <c r="A506" s="59">
        <v>49206</v>
      </c>
      <c r="B506" s="50">
        <v>45717</v>
      </c>
      <c r="C506" s="51" t="s">
        <v>57</v>
      </c>
      <c r="D506" s="51" t="s">
        <v>58</v>
      </c>
      <c r="E506" s="51" t="s">
        <v>6</v>
      </c>
      <c r="F506" s="51" t="s">
        <v>7</v>
      </c>
      <c r="G506" s="52">
        <v>0</v>
      </c>
      <c r="H506" s="53">
        <v>0</v>
      </c>
    </row>
    <row r="507" spans="1:8" x14ac:dyDescent="0.35">
      <c r="A507" s="60">
        <v>49206</v>
      </c>
      <c r="B507" s="55">
        <v>45717</v>
      </c>
      <c r="C507" s="56" t="s">
        <v>57</v>
      </c>
      <c r="D507" s="56" t="s">
        <v>58</v>
      </c>
      <c r="E507" s="56" t="s">
        <v>6</v>
      </c>
      <c r="F507" s="56" t="s">
        <v>8</v>
      </c>
      <c r="G507" s="57">
        <v>0</v>
      </c>
      <c r="H507" s="58">
        <v>0</v>
      </c>
    </row>
    <row r="508" spans="1:8" x14ac:dyDescent="0.35">
      <c r="A508" s="59">
        <v>49206</v>
      </c>
      <c r="B508" s="50">
        <v>45717</v>
      </c>
      <c r="C508" s="51" t="s">
        <v>57</v>
      </c>
      <c r="D508" s="51" t="s">
        <v>58</v>
      </c>
      <c r="E508" s="51" t="s">
        <v>6</v>
      </c>
      <c r="F508" s="51" t="s">
        <v>15</v>
      </c>
      <c r="G508" s="52">
        <v>0</v>
      </c>
      <c r="H508" s="53">
        <v>0</v>
      </c>
    </row>
    <row r="509" spans="1:8" x14ac:dyDescent="0.35">
      <c r="A509" s="60">
        <v>49206</v>
      </c>
      <c r="B509" s="55">
        <v>45717</v>
      </c>
      <c r="C509" s="56" t="s">
        <v>57</v>
      </c>
      <c r="D509" s="56" t="s">
        <v>58</v>
      </c>
      <c r="E509" s="56" t="s">
        <v>6</v>
      </c>
      <c r="F509" s="56" t="s">
        <v>65</v>
      </c>
      <c r="G509" s="57">
        <v>0</v>
      </c>
      <c r="H509" s="58">
        <v>0</v>
      </c>
    </row>
    <row r="510" spans="1:8" x14ac:dyDescent="0.35">
      <c r="A510" s="59">
        <v>49206</v>
      </c>
      <c r="B510" s="50">
        <v>45748</v>
      </c>
      <c r="C510" s="51" t="s">
        <v>57</v>
      </c>
      <c r="D510" s="51" t="s">
        <v>58</v>
      </c>
      <c r="E510" s="51" t="s">
        <v>6</v>
      </c>
      <c r="F510" s="51" t="s">
        <v>7</v>
      </c>
      <c r="G510" s="52">
        <v>0</v>
      </c>
      <c r="H510" s="53">
        <v>0</v>
      </c>
    </row>
    <row r="511" spans="1:8" x14ac:dyDescent="0.35">
      <c r="A511" s="60">
        <v>49206</v>
      </c>
      <c r="B511" s="55">
        <v>45748</v>
      </c>
      <c r="C511" s="56" t="s">
        <v>57</v>
      </c>
      <c r="D511" s="56" t="s">
        <v>58</v>
      </c>
      <c r="E511" s="56" t="s">
        <v>6</v>
      </c>
      <c r="F511" s="56" t="s">
        <v>8</v>
      </c>
      <c r="G511" s="57">
        <v>0</v>
      </c>
      <c r="H511" s="58">
        <v>0</v>
      </c>
    </row>
    <row r="512" spans="1:8" x14ac:dyDescent="0.35">
      <c r="A512" s="59">
        <v>49206</v>
      </c>
      <c r="B512" s="50">
        <v>45748</v>
      </c>
      <c r="C512" s="51" t="s">
        <v>57</v>
      </c>
      <c r="D512" s="51" t="s">
        <v>58</v>
      </c>
      <c r="E512" s="51" t="s">
        <v>6</v>
      </c>
      <c r="F512" s="51" t="s">
        <v>15</v>
      </c>
      <c r="G512" s="52">
        <v>0</v>
      </c>
      <c r="H512" s="53">
        <v>0</v>
      </c>
    </row>
    <row r="513" spans="1:8" x14ac:dyDescent="0.35">
      <c r="A513" s="60">
        <v>49206</v>
      </c>
      <c r="B513" s="55">
        <v>45748</v>
      </c>
      <c r="C513" s="56" t="s">
        <v>57</v>
      </c>
      <c r="D513" s="56" t="s">
        <v>58</v>
      </c>
      <c r="E513" s="56" t="s">
        <v>6</v>
      </c>
      <c r="F513" s="56" t="s">
        <v>65</v>
      </c>
      <c r="G513" s="57">
        <v>0</v>
      </c>
      <c r="H513" s="58">
        <v>0</v>
      </c>
    </row>
    <row r="514" spans="1:8" x14ac:dyDescent="0.35">
      <c r="A514" s="59">
        <v>49206</v>
      </c>
      <c r="B514" s="50">
        <v>45778</v>
      </c>
      <c r="C514" s="51" t="s">
        <v>57</v>
      </c>
      <c r="D514" s="51" t="s">
        <v>58</v>
      </c>
      <c r="E514" s="51" t="s">
        <v>6</v>
      </c>
      <c r="F514" s="51" t="s">
        <v>7</v>
      </c>
      <c r="G514" s="52">
        <v>0</v>
      </c>
      <c r="H514" s="53">
        <v>0</v>
      </c>
    </row>
    <row r="515" spans="1:8" x14ac:dyDescent="0.35">
      <c r="A515" s="60">
        <v>49206</v>
      </c>
      <c r="B515" s="55">
        <v>45778</v>
      </c>
      <c r="C515" s="56" t="s">
        <v>57</v>
      </c>
      <c r="D515" s="56" t="s">
        <v>58</v>
      </c>
      <c r="E515" s="56" t="s">
        <v>6</v>
      </c>
      <c r="F515" s="56" t="s">
        <v>8</v>
      </c>
      <c r="G515" s="57">
        <v>0</v>
      </c>
      <c r="H515" s="58">
        <v>0</v>
      </c>
    </row>
    <row r="516" spans="1:8" x14ac:dyDescent="0.35">
      <c r="A516" s="59">
        <v>49206</v>
      </c>
      <c r="B516" s="50">
        <v>45778</v>
      </c>
      <c r="C516" s="51" t="s">
        <v>57</v>
      </c>
      <c r="D516" s="51" t="s">
        <v>58</v>
      </c>
      <c r="E516" s="51" t="s">
        <v>6</v>
      </c>
      <c r="F516" s="51" t="s">
        <v>15</v>
      </c>
      <c r="G516" s="52">
        <v>82153.039999999994</v>
      </c>
      <c r="H516" s="53">
        <v>3300</v>
      </c>
    </row>
    <row r="517" spans="1:8" x14ac:dyDescent="0.35">
      <c r="A517" s="60">
        <v>49206</v>
      </c>
      <c r="B517" s="55">
        <v>45778</v>
      </c>
      <c r="C517" s="56" t="s">
        <v>57</v>
      </c>
      <c r="D517" s="56" t="s">
        <v>58</v>
      </c>
      <c r="E517" s="56" t="s">
        <v>6</v>
      </c>
      <c r="F517" s="56" t="s">
        <v>65</v>
      </c>
      <c r="G517" s="57">
        <v>0</v>
      </c>
      <c r="H517" s="58">
        <v>0</v>
      </c>
    </row>
    <row r="518" spans="1:8" x14ac:dyDescent="0.35">
      <c r="A518" s="59">
        <v>49206</v>
      </c>
      <c r="B518" s="50">
        <v>45809</v>
      </c>
      <c r="C518" s="51" t="s">
        <v>57</v>
      </c>
      <c r="D518" s="51" t="s">
        <v>58</v>
      </c>
      <c r="E518" s="51" t="s">
        <v>6</v>
      </c>
      <c r="F518" s="51" t="s">
        <v>7</v>
      </c>
      <c r="G518" s="52">
        <v>0</v>
      </c>
      <c r="H518" s="53">
        <v>0</v>
      </c>
    </row>
    <row r="519" spans="1:8" x14ac:dyDescent="0.35">
      <c r="A519" s="60">
        <v>49206</v>
      </c>
      <c r="B519" s="55">
        <v>45809</v>
      </c>
      <c r="C519" s="56" t="s">
        <v>57</v>
      </c>
      <c r="D519" s="56" t="s">
        <v>58</v>
      </c>
      <c r="E519" s="56" t="s">
        <v>6</v>
      </c>
      <c r="F519" s="56" t="s">
        <v>8</v>
      </c>
      <c r="G519" s="57">
        <v>0</v>
      </c>
      <c r="H519" s="58">
        <v>0</v>
      </c>
    </row>
    <row r="520" spans="1:8" x14ac:dyDescent="0.35">
      <c r="A520" s="59">
        <v>49206</v>
      </c>
      <c r="B520" s="50">
        <v>45809</v>
      </c>
      <c r="C520" s="51" t="s">
        <v>57</v>
      </c>
      <c r="D520" s="51" t="s">
        <v>58</v>
      </c>
      <c r="E520" s="51" t="s">
        <v>6</v>
      </c>
      <c r="F520" s="51" t="s">
        <v>15</v>
      </c>
      <c r="G520" s="52">
        <v>82153.039999999994</v>
      </c>
      <c r="H520" s="53">
        <v>3300</v>
      </c>
    </row>
    <row r="521" spans="1:8" x14ac:dyDescent="0.35">
      <c r="A521" s="60">
        <v>49206</v>
      </c>
      <c r="B521" s="55">
        <v>45809</v>
      </c>
      <c r="C521" s="56" t="s">
        <v>57</v>
      </c>
      <c r="D521" s="56" t="s">
        <v>58</v>
      </c>
      <c r="E521" s="56" t="s">
        <v>6</v>
      </c>
      <c r="F521" s="56" t="s">
        <v>65</v>
      </c>
      <c r="G521" s="57">
        <v>0</v>
      </c>
      <c r="H521" s="58">
        <v>0</v>
      </c>
    </row>
    <row r="522" spans="1:8" x14ac:dyDescent="0.35">
      <c r="A522" s="59">
        <v>49206</v>
      </c>
      <c r="B522" s="50">
        <v>45839</v>
      </c>
      <c r="C522" s="51" t="s">
        <v>57</v>
      </c>
      <c r="D522" s="51" t="s">
        <v>58</v>
      </c>
      <c r="E522" s="51" t="s">
        <v>6</v>
      </c>
      <c r="F522" s="51" t="s">
        <v>7</v>
      </c>
      <c r="G522" s="52">
        <v>0</v>
      </c>
      <c r="H522" s="53">
        <v>0</v>
      </c>
    </row>
    <row r="523" spans="1:8" x14ac:dyDescent="0.35">
      <c r="A523" s="60">
        <v>49206</v>
      </c>
      <c r="B523" s="55">
        <v>45839</v>
      </c>
      <c r="C523" s="56" t="s">
        <v>57</v>
      </c>
      <c r="D523" s="56" t="s">
        <v>58</v>
      </c>
      <c r="E523" s="56" t="s">
        <v>6</v>
      </c>
      <c r="F523" s="56" t="s">
        <v>8</v>
      </c>
      <c r="G523" s="57">
        <v>0</v>
      </c>
      <c r="H523" s="58">
        <v>0</v>
      </c>
    </row>
    <row r="524" spans="1:8" x14ac:dyDescent="0.35">
      <c r="A524" s="59">
        <v>49206</v>
      </c>
      <c r="B524" s="50">
        <v>45839</v>
      </c>
      <c r="C524" s="51" t="s">
        <v>57</v>
      </c>
      <c r="D524" s="51" t="s">
        <v>58</v>
      </c>
      <c r="E524" s="51" t="s">
        <v>6</v>
      </c>
      <c r="F524" s="51" t="s">
        <v>15</v>
      </c>
      <c r="G524" s="52">
        <v>82153.039999999994</v>
      </c>
      <c r="H524" s="53">
        <v>3300</v>
      </c>
    </row>
    <row r="525" spans="1:8" x14ac:dyDescent="0.35">
      <c r="A525" s="60">
        <v>49206</v>
      </c>
      <c r="B525" s="55">
        <v>45839</v>
      </c>
      <c r="C525" s="56" t="s">
        <v>57</v>
      </c>
      <c r="D525" s="56" t="s">
        <v>58</v>
      </c>
      <c r="E525" s="56" t="s">
        <v>6</v>
      </c>
      <c r="F525" s="56" t="s">
        <v>65</v>
      </c>
      <c r="G525" s="57">
        <v>0</v>
      </c>
      <c r="H525" s="58">
        <v>0</v>
      </c>
    </row>
    <row r="526" spans="1:8" x14ac:dyDescent="0.35">
      <c r="A526" s="59">
        <v>49206</v>
      </c>
      <c r="B526" s="50">
        <v>45870</v>
      </c>
      <c r="C526" s="51" t="s">
        <v>57</v>
      </c>
      <c r="D526" s="51" t="s">
        <v>58</v>
      </c>
      <c r="E526" s="51" t="s">
        <v>6</v>
      </c>
      <c r="F526" s="51" t="s">
        <v>7</v>
      </c>
      <c r="G526" s="52">
        <v>0</v>
      </c>
      <c r="H526" s="53">
        <v>0</v>
      </c>
    </row>
    <row r="527" spans="1:8" x14ac:dyDescent="0.35">
      <c r="A527" s="60">
        <v>49206</v>
      </c>
      <c r="B527" s="55">
        <v>45870</v>
      </c>
      <c r="C527" s="56" t="s">
        <v>57</v>
      </c>
      <c r="D527" s="56" t="s">
        <v>58</v>
      </c>
      <c r="E527" s="56" t="s">
        <v>6</v>
      </c>
      <c r="F527" s="56" t="s">
        <v>8</v>
      </c>
      <c r="G527" s="57">
        <v>0</v>
      </c>
      <c r="H527" s="58">
        <v>0</v>
      </c>
    </row>
    <row r="528" spans="1:8" x14ac:dyDescent="0.35">
      <c r="A528" s="59">
        <v>49206</v>
      </c>
      <c r="B528" s="50">
        <v>45870</v>
      </c>
      <c r="C528" s="51" t="s">
        <v>57</v>
      </c>
      <c r="D528" s="51" t="s">
        <v>58</v>
      </c>
      <c r="E528" s="51" t="s">
        <v>6</v>
      </c>
      <c r="F528" s="51" t="s">
        <v>15</v>
      </c>
      <c r="G528" s="52">
        <v>82153.039999999994</v>
      </c>
      <c r="H528" s="53">
        <v>3300</v>
      </c>
    </row>
    <row r="529" spans="1:8" x14ac:dyDescent="0.35">
      <c r="A529" s="60">
        <v>49206</v>
      </c>
      <c r="B529" s="55">
        <v>45870</v>
      </c>
      <c r="C529" s="56" t="s">
        <v>57</v>
      </c>
      <c r="D529" s="56" t="s">
        <v>58</v>
      </c>
      <c r="E529" s="56" t="s">
        <v>6</v>
      </c>
      <c r="F529" s="56" t="s">
        <v>65</v>
      </c>
      <c r="G529" s="57">
        <v>0</v>
      </c>
      <c r="H529" s="58">
        <v>0</v>
      </c>
    </row>
    <row r="530" spans="1:8" x14ac:dyDescent="0.35">
      <c r="A530" s="59">
        <v>49206</v>
      </c>
      <c r="B530" s="50">
        <v>45901</v>
      </c>
      <c r="C530" s="51" t="s">
        <v>57</v>
      </c>
      <c r="D530" s="51" t="s">
        <v>58</v>
      </c>
      <c r="E530" s="51" t="s">
        <v>6</v>
      </c>
      <c r="F530" s="51" t="s">
        <v>7</v>
      </c>
      <c r="G530" s="52">
        <v>0</v>
      </c>
      <c r="H530" s="53">
        <v>0</v>
      </c>
    </row>
    <row r="531" spans="1:8" x14ac:dyDescent="0.35">
      <c r="A531" s="60">
        <v>49206</v>
      </c>
      <c r="B531" s="55">
        <v>45901</v>
      </c>
      <c r="C531" s="56" t="s">
        <v>57</v>
      </c>
      <c r="D531" s="56" t="s">
        <v>58</v>
      </c>
      <c r="E531" s="56" t="s">
        <v>6</v>
      </c>
      <c r="F531" s="56" t="s">
        <v>8</v>
      </c>
      <c r="G531" s="57">
        <v>0</v>
      </c>
      <c r="H531" s="58">
        <v>0</v>
      </c>
    </row>
    <row r="532" spans="1:8" x14ac:dyDescent="0.35">
      <c r="A532" s="59">
        <v>49206</v>
      </c>
      <c r="B532" s="50">
        <v>45901</v>
      </c>
      <c r="C532" s="51" t="s">
        <v>57</v>
      </c>
      <c r="D532" s="51" t="s">
        <v>58</v>
      </c>
      <c r="E532" s="51" t="s">
        <v>6</v>
      </c>
      <c r="F532" s="51" t="s">
        <v>15</v>
      </c>
      <c r="G532" s="52">
        <v>82153.039999999994</v>
      </c>
      <c r="H532" s="53">
        <v>3300</v>
      </c>
    </row>
    <row r="533" spans="1:8" x14ac:dyDescent="0.35">
      <c r="A533" s="60">
        <v>49206</v>
      </c>
      <c r="B533" s="55">
        <v>45901</v>
      </c>
      <c r="C533" s="56" t="s">
        <v>57</v>
      </c>
      <c r="D533" s="56" t="s">
        <v>58</v>
      </c>
      <c r="E533" s="56" t="s">
        <v>6</v>
      </c>
      <c r="F533" s="56" t="s">
        <v>65</v>
      </c>
      <c r="G533" s="57">
        <v>0</v>
      </c>
      <c r="H533" s="58">
        <v>0</v>
      </c>
    </row>
    <row r="534" spans="1:8" x14ac:dyDescent="0.35">
      <c r="A534" s="59">
        <v>49206</v>
      </c>
      <c r="B534" s="50">
        <v>45931</v>
      </c>
      <c r="C534" s="51" t="s">
        <v>57</v>
      </c>
      <c r="D534" s="51" t="s">
        <v>58</v>
      </c>
      <c r="E534" s="51" t="s">
        <v>6</v>
      </c>
      <c r="F534" s="51" t="s">
        <v>7</v>
      </c>
      <c r="G534" s="52">
        <v>0</v>
      </c>
      <c r="H534" s="53">
        <v>0</v>
      </c>
    </row>
    <row r="535" spans="1:8" x14ac:dyDescent="0.35">
      <c r="A535" s="60">
        <v>49206</v>
      </c>
      <c r="B535" s="55">
        <v>45931</v>
      </c>
      <c r="C535" s="56" t="s">
        <v>57</v>
      </c>
      <c r="D535" s="56" t="s">
        <v>58</v>
      </c>
      <c r="E535" s="56" t="s">
        <v>6</v>
      </c>
      <c r="F535" s="56" t="s">
        <v>8</v>
      </c>
      <c r="G535" s="57">
        <v>0</v>
      </c>
      <c r="H535" s="58">
        <v>0</v>
      </c>
    </row>
    <row r="536" spans="1:8" x14ac:dyDescent="0.35">
      <c r="A536" s="59">
        <v>49206</v>
      </c>
      <c r="B536" s="50">
        <v>45931</v>
      </c>
      <c r="C536" s="51" t="s">
        <v>57</v>
      </c>
      <c r="D536" s="51" t="s">
        <v>58</v>
      </c>
      <c r="E536" s="51" t="s">
        <v>6</v>
      </c>
      <c r="F536" s="51" t="s">
        <v>15</v>
      </c>
      <c r="G536" s="52">
        <v>82153.039999999994</v>
      </c>
      <c r="H536" s="53">
        <v>3300</v>
      </c>
    </row>
    <row r="537" spans="1:8" x14ac:dyDescent="0.35">
      <c r="A537" s="60">
        <v>49206</v>
      </c>
      <c r="B537" s="55">
        <v>45931</v>
      </c>
      <c r="C537" s="56" t="s">
        <v>57</v>
      </c>
      <c r="D537" s="56" t="s">
        <v>58</v>
      </c>
      <c r="E537" s="56" t="s">
        <v>6</v>
      </c>
      <c r="F537" s="56" t="s">
        <v>65</v>
      </c>
      <c r="G537" s="57">
        <v>0</v>
      </c>
      <c r="H537" s="58">
        <v>0</v>
      </c>
    </row>
    <row r="538" spans="1:8" x14ac:dyDescent="0.35">
      <c r="A538" s="59">
        <v>49206</v>
      </c>
      <c r="B538" s="50">
        <v>45962</v>
      </c>
      <c r="C538" s="51" t="s">
        <v>57</v>
      </c>
      <c r="D538" s="51" t="s">
        <v>58</v>
      </c>
      <c r="E538" s="51" t="s">
        <v>6</v>
      </c>
      <c r="F538" s="51" t="s">
        <v>7</v>
      </c>
      <c r="G538" s="52">
        <v>0</v>
      </c>
      <c r="H538" s="53">
        <v>0</v>
      </c>
    </row>
    <row r="539" spans="1:8" x14ac:dyDescent="0.35">
      <c r="A539" s="60">
        <v>49206</v>
      </c>
      <c r="B539" s="55">
        <v>45962</v>
      </c>
      <c r="C539" s="56" t="s">
        <v>57</v>
      </c>
      <c r="D539" s="56" t="s">
        <v>58</v>
      </c>
      <c r="E539" s="56" t="s">
        <v>6</v>
      </c>
      <c r="F539" s="56" t="s">
        <v>8</v>
      </c>
      <c r="G539" s="57">
        <v>0</v>
      </c>
      <c r="H539" s="58">
        <v>0</v>
      </c>
    </row>
    <row r="540" spans="1:8" x14ac:dyDescent="0.35">
      <c r="A540" s="59">
        <v>49206</v>
      </c>
      <c r="B540" s="50">
        <v>45962</v>
      </c>
      <c r="C540" s="51" t="s">
        <v>57</v>
      </c>
      <c r="D540" s="51" t="s">
        <v>58</v>
      </c>
      <c r="E540" s="51" t="s">
        <v>6</v>
      </c>
      <c r="F540" s="51" t="s">
        <v>15</v>
      </c>
      <c r="G540" s="52">
        <v>82153.039999999994</v>
      </c>
      <c r="H540" s="53">
        <v>3300</v>
      </c>
    </row>
    <row r="541" spans="1:8" x14ac:dyDescent="0.35">
      <c r="A541" s="60">
        <v>49206</v>
      </c>
      <c r="B541" s="55">
        <v>45962</v>
      </c>
      <c r="C541" s="56" t="s">
        <v>57</v>
      </c>
      <c r="D541" s="56" t="s">
        <v>58</v>
      </c>
      <c r="E541" s="56" t="s">
        <v>6</v>
      </c>
      <c r="F541" s="56" t="s">
        <v>65</v>
      </c>
      <c r="G541" s="57">
        <v>0</v>
      </c>
      <c r="H541" s="58">
        <v>0</v>
      </c>
    </row>
    <row r="542" spans="1:8" x14ac:dyDescent="0.35">
      <c r="A542" s="59">
        <v>49206</v>
      </c>
      <c r="B542" s="50">
        <v>45992</v>
      </c>
      <c r="C542" s="51" t="s">
        <v>57</v>
      </c>
      <c r="D542" s="51" t="s">
        <v>58</v>
      </c>
      <c r="E542" s="51" t="s">
        <v>6</v>
      </c>
      <c r="F542" s="51" t="s">
        <v>7</v>
      </c>
      <c r="G542" s="52">
        <v>0</v>
      </c>
      <c r="H542" s="53">
        <v>0</v>
      </c>
    </row>
    <row r="543" spans="1:8" x14ac:dyDescent="0.35">
      <c r="A543" s="60">
        <v>49206</v>
      </c>
      <c r="B543" s="55">
        <v>45992</v>
      </c>
      <c r="C543" s="56" t="s">
        <v>57</v>
      </c>
      <c r="D543" s="56" t="s">
        <v>58</v>
      </c>
      <c r="E543" s="56" t="s">
        <v>6</v>
      </c>
      <c r="F543" s="56" t="s">
        <v>8</v>
      </c>
      <c r="G543" s="57">
        <v>0</v>
      </c>
      <c r="H543" s="58">
        <v>0</v>
      </c>
    </row>
    <row r="544" spans="1:8" x14ac:dyDescent="0.35">
      <c r="A544" s="59">
        <v>49206</v>
      </c>
      <c r="B544" s="50">
        <v>45992</v>
      </c>
      <c r="C544" s="51" t="s">
        <v>57</v>
      </c>
      <c r="D544" s="51" t="s">
        <v>58</v>
      </c>
      <c r="E544" s="51" t="s">
        <v>6</v>
      </c>
      <c r="F544" s="51" t="s">
        <v>15</v>
      </c>
      <c r="G544" s="52">
        <v>82153.039999999994</v>
      </c>
      <c r="H544" s="53">
        <v>3300</v>
      </c>
    </row>
    <row r="545" spans="1:8" x14ac:dyDescent="0.35">
      <c r="A545" s="60">
        <v>49206</v>
      </c>
      <c r="B545" s="55">
        <v>45992</v>
      </c>
      <c r="C545" s="56" t="s">
        <v>57</v>
      </c>
      <c r="D545" s="56" t="s">
        <v>58</v>
      </c>
      <c r="E545" s="56" t="s">
        <v>6</v>
      </c>
      <c r="F545" s="56" t="s">
        <v>65</v>
      </c>
      <c r="G545" s="57">
        <v>0</v>
      </c>
      <c r="H545" s="58">
        <v>0</v>
      </c>
    </row>
    <row r="546" spans="1:8" x14ac:dyDescent="0.35">
      <c r="A546" s="49" t="s">
        <v>194</v>
      </c>
      <c r="B546" s="50">
        <v>45839</v>
      </c>
      <c r="C546" s="51" t="s">
        <v>25</v>
      </c>
      <c r="D546" s="51" t="s">
        <v>12</v>
      </c>
      <c r="E546" s="51" t="s">
        <v>9</v>
      </c>
      <c r="F546" s="51" t="s">
        <v>65</v>
      </c>
      <c r="G546" s="52">
        <v>0</v>
      </c>
      <c r="H546" s="53">
        <v>0</v>
      </c>
    </row>
    <row r="547" spans="1:8" x14ac:dyDescent="0.35">
      <c r="A547" s="54" t="s">
        <v>194</v>
      </c>
      <c r="B547" s="55">
        <v>45870</v>
      </c>
      <c r="C547" s="56" t="s">
        <v>25</v>
      </c>
      <c r="D547" s="56" t="s">
        <v>12</v>
      </c>
      <c r="E547" s="56" t="s">
        <v>9</v>
      </c>
      <c r="F547" s="56" t="s">
        <v>7</v>
      </c>
      <c r="G547" s="57">
        <v>0</v>
      </c>
      <c r="H547" s="58">
        <v>0</v>
      </c>
    </row>
    <row r="548" spans="1:8" x14ac:dyDescent="0.35">
      <c r="A548" s="49" t="s">
        <v>194</v>
      </c>
      <c r="B548" s="50">
        <v>45870</v>
      </c>
      <c r="C548" s="51" t="s">
        <v>25</v>
      </c>
      <c r="D548" s="51" t="s">
        <v>12</v>
      </c>
      <c r="E548" s="51" t="s">
        <v>9</v>
      </c>
      <c r="F548" s="51" t="s">
        <v>8</v>
      </c>
      <c r="G548" s="52">
        <v>0</v>
      </c>
      <c r="H548" s="53">
        <v>0</v>
      </c>
    </row>
    <row r="549" spans="1:8" x14ac:dyDescent="0.35">
      <c r="A549" s="54" t="s">
        <v>194</v>
      </c>
      <c r="B549" s="55">
        <v>45870</v>
      </c>
      <c r="C549" s="56" t="s">
        <v>25</v>
      </c>
      <c r="D549" s="56" t="s">
        <v>12</v>
      </c>
      <c r="E549" s="56" t="s">
        <v>9</v>
      </c>
      <c r="F549" s="56" t="s">
        <v>15</v>
      </c>
      <c r="G549" s="57">
        <v>165115.51999999999</v>
      </c>
      <c r="H549" s="58">
        <v>5625</v>
      </c>
    </row>
    <row r="550" spans="1:8" x14ac:dyDescent="0.35">
      <c r="A550" s="49" t="s">
        <v>194</v>
      </c>
      <c r="B550" s="50">
        <v>45870</v>
      </c>
      <c r="C550" s="51" t="s">
        <v>25</v>
      </c>
      <c r="D550" s="51" t="s">
        <v>12</v>
      </c>
      <c r="E550" s="51" t="s">
        <v>9</v>
      </c>
      <c r="F550" s="51" t="s">
        <v>65</v>
      </c>
      <c r="G550" s="52">
        <v>0</v>
      </c>
      <c r="H550" s="53">
        <v>0</v>
      </c>
    </row>
    <row r="551" spans="1:8" x14ac:dyDescent="0.35">
      <c r="A551" s="54" t="s">
        <v>194</v>
      </c>
      <c r="B551" s="55">
        <v>45901</v>
      </c>
      <c r="C551" s="56" t="s">
        <v>25</v>
      </c>
      <c r="D551" s="56" t="s">
        <v>12</v>
      </c>
      <c r="E551" s="56" t="s">
        <v>9</v>
      </c>
      <c r="F551" s="56" t="s">
        <v>7</v>
      </c>
      <c r="G551" s="57">
        <v>0</v>
      </c>
      <c r="H551" s="58">
        <v>0</v>
      </c>
    </row>
    <row r="552" spans="1:8" x14ac:dyDescent="0.35">
      <c r="A552" s="49" t="s">
        <v>194</v>
      </c>
      <c r="B552" s="50">
        <v>45901</v>
      </c>
      <c r="C552" s="51" t="s">
        <v>25</v>
      </c>
      <c r="D552" s="51" t="s">
        <v>12</v>
      </c>
      <c r="E552" s="51" t="s">
        <v>9</v>
      </c>
      <c r="F552" s="51" t="s">
        <v>8</v>
      </c>
      <c r="G552" s="52">
        <v>0</v>
      </c>
      <c r="H552" s="53">
        <v>0</v>
      </c>
    </row>
    <row r="553" spans="1:8" x14ac:dyDescent="0.35">
      <c r="A553" s="54" t="s">
        <v>194</v>
      </c>
      <c r="B553" s="55">
        <v>45901</v>
      </c>
      <c r="C553" s="56" t="s">
        <v>25</v>
      </c>
      <c r="D553" s="56" t="s">
        <v>12</v>
      </c>
      <c r="E553" s="56" t="s">
        <v>9</v>
      </c>
      <c r="F553" s="56" t="s">
        <v>15</v>
      </c>
      <c r="G553" s="57">
        <v>165115.51999999999</v>
      </c>
      <c r="H553" s="58">
        <v>5625</v>
      </c>
    </row>
    <row r="554" spans="1:8" x14ac:dyDescent="0.35">
      <c r="A554" s="49" t="s">
        <v>194</v>
      </c>
      <c r="B554" s="50">
        <v>45901</v>
      </c>
      <c r="C554" s="51" t="s">
        <v>25</v>
      </c>
      <c r="D554" s="51" t="s">
        <v>12</v>
      </c>
      <c r="E554" s="51" t="s">
        <v>9</v>
      </c>
      <c r="F554" s="51" t="s">
        <v>65</v>
      </c>
      <c r="G554" s="52">
        <v>0</v>
      </c>
      <c r="H554" s="53">
        <v>0</v>
      </c>
    </row>
    <row r="555" spans="1:8" x14ac:dyDescent="0.35">
      <c r="A555" s="54" t="s">
        <v>194</v>
      </c>
      <c r="B555" s="55">
        <v>45931</v>
      </c>
      <c r="C555" s="56" t="s">
        <v>25</v>
      </c>
      <c r="D555" s="56" t="s">
        <v>12</v>
      </c>
      <c r="E555" s="56" t="s">
        <v>9</v>
      </c>
      <c r="F555" s="56" t="s">
        <v>7</v>
      </c>
      <c r="G555" s="57">
        <v>0</v>
      </c>
      <c r="H555" s="58">
        <v>0</v>
      </c>
    </row>
    <row r="556" spans="1:8" x14ac:dyDescent="0.35">
      <c r="A556" s="49" t="s">
        <v>194</v>
      </c>
      <c r="B556" s="50">
        <v>45931</v>
      </c>
      <c r="C556" s="51" t="s">
        <v>25</v>
      </c>
      <c r="D556" s="51" t="s">
        <v>12</v>
      </c>
      <c r="E556" s="51" t="s">
        <v>9</v>
      </c>
      <c r="F556" s="51" t="s">
        <v>8</v>
      </c>
      <c r="G556" s="52">
        <v>0</v>
      </c>
      <c r="H556" s="53">
        <v>0</v>
      </c>
    </row>
    <row r="557" spans="1:8" x14ac:dyDescent="0.35">
      <c r="A557" s="54" t="s">
        <v>194</v>
      </c>
      <c r="B557" s="55">
        <v>45931</v>
      </c>
      <c r="C557" s="56" t="s">
        <v>25</v>
      </c>
      <c r="D557" s="56" t="s">
        <v>12</v>
      </c>
      <c r="E557" s="56" t="s">
        <v>9</v>
      </c>
      <c r="F557" s="56" t="s">
        <v>15</v>
      </c>
      <c r="G557" s="57">
        <v>165115.51999999999</v>
      </c>
      <c r="H557" s="58">
        <v>5625</v>
      </c>
    </row>
    <row r="558" spans="1:8" x14ac:dyDescent="0.35">
      <c r="A558" s="49" t="s">
        <v>194</v>
      </c>
      <c r="B558" s="50">
        <v>45931</v>
      </c>
      <c r="C558" s="51" t="s">
        <v>25</v>
      </c>
      <c r="D558" s="51" t="s">
        <v>12</v>
      </c>
      <c r="E558" s="51" t="s">
        <v>9</v>
      </c>
      <c r="F558" s="51" t="s">
        <v>65</v>
      </c>
      <c r="G558" s="52">
        <v>0</v>
      </c>
      <c r="H558" s="53">
        <v>0</v>
      </c>
    </row>
    <row r="559" spans="1:8" x14ac:dyDescent="0.35">
      <c r="A559" s="54" t="s">
        <v>194</v>
      </c>
      <c r="B559" s="55">
        <v>45962</v>
      </c>
      <c r="C559" s="56" t="s">
        <v>25</v>
      </c>
      <c r="D559" s="56" t="s">
        <v>12</v>
      </c>
      <c r="E559" s="56" t="s">
        <v>9</v>
      </c>
      <c r="F559" s="56" t="s">
        <v>7</v>
      </c>
      <c r="G559" s="57">
        <v>0</v>
      </c>
      <c r="H559" s="58">
        <v>0</v>
      </c>
    </row>
    <row r="560" spans="1:8" x14ac:dyDescent="0.35">
      <c r="A560" s="49" t="s">
        <v>194</v>
      </c>
      <c r="B560" s="50">
        <v>45962</v>
      </c>
      <c r="C560" s="51" t="s">
        <v>25</v>
      </c>
      <c r="D560" s="51" t="s">
        <v>12</v>
      </c>
      <c r="E560" s="51" t="s">
        <v>9</v>
      </c>
      <c r="F560" s="51" t="s">
        <v>8</v>
      </c>
      <c r="G560" s="52">
        <v>0</v>
      </c>
      <c r="H560" s="53">
        <v>0</v>
      </c>
    </row>
    <row r="561" spans="1:8" x14ac:dyDescent="0.35">
      <c r="A561" s="54" t="s">
        <v>194</v>
      </c>
      <c r="B561" s="55">
        <v>45962</v>
      </c>
      <c r="C561" s="56" t="s">
        <v>25</v>
      </c>
      <c r="D561" s="56" t="s">
        <v>12</v>
      </c>
      <c r="E561" s="56" t="s">
        <v>9</v>
      </c>
      <c r="F561" s="56" t="s">
        <v>15</v>
      </c>
      <c r="G561" s="57">
        <v>165115.51999999999</v>
      </c>
      <c r="H561" s="58">
        <v>5625</v>
      </c>
    </row>
    <row r="562" spans="1:8" x14ac:dyDescent="0.35">
      <c r="A562" s="49" t="s">
        <v>194</v>
      </c>
      <c r="B562" s="50">
        <v>45962</v>
      </c>
      <c r="C562" s="51" t="s">
        <v>25</v>
      </c>
      <c r="D562" s="51" t="s">
        <v>12</v>
      </c>
      <c r="E562" s="51" t="s">
        <v>9</v>
      </c>
      <c r="F562" s="51" t="s">
        <v>65</v>
      </c>
      <c r="G562" s="52">
        <v>0</v>
      </c>
      <c r="H562" s="53">
        <v>0</v>
      </c>
    </row>
    <row r="563" spans="1:8" x14ac:dyDescent="0.35">
      <c r="A563" s="54" t="s">
        <v>194</v>
      </c>
      <c r="B563" s="55">
        <v>45992</v>
      </c>
      <c r="C563" s="56" t="s">
        <v>25</v>
      </c>
      <c r="D563" s="56" t="s">
        <v>12</v>
      </c>
      <c r="E563" s="56" t="s">
        <v>9</v>
      </c>
      <c r="F563" s="56" t="s">
        <v>7</v>
      </c>
      <c r="G563" s="57">
        <v>0</v>
      </c>
      <c r="H563" s="58">
        <v>0</v>
      </c>
    </row>
    <row r="564" spans="1:8" x14ac:dyDescent="0.35">
      <c r="A564" s="49" t="s">
        <v>194</v>
      </c>
      <c r="B564" s="50">
        <v>45992</v>
      </c>
      <c r="C564" s="51" t="s">
        <v>25</v>
      </c>
      <c r="D564" s="51" t="s">
        <v>12</v>
      </c>
      <c r="E564" s="51" t="s">
        <v>9</v>
      </c>
      <c r="F564" s="51" t="s">
        <v>8</v>
      </c>
      <c r="G564" s="52">
        <v>0</v>
      </c>
      <c r="H564" s="53">
        <v>0</v>
      </c>
    </row>
    <row r="565" spans="1:8" x14ac:dyDescent="0.35">
      <c r="A565" s="54" t="s">
        <v>194</v>
      </c>
      <c r="B565" s="55">
        <v>45992</v>
      </c>
      <c r="C565" s="56" t="s">
        <v>25</v>
      </c>
      <c r="D565" s="56" t="s">
        <v>12</v>
      </c>
      <c r="E565" s="56" t="s">
        <v>9</v>
      </c>
      <c r="F565" s="56" t="s">
        <v>15</v>
      </c>
      <c r="G565" s="57">
        <v>165115.51999999999</v>
      </c>
      <c r="H565" s="58">
        <v>5625</v>
      </c>
    </row>
    <row r="566" spans="1:8" x14ac:dyDescent="0.35">
      <c r="A566" s="49" t="s">
        <v>194</v>
      </c>
      <c r="B566" s="50">
        <v>45992</v>
      </c>
      <c r="C566" s="51" t="s">
        <v>25</v>
      </c>
      <c r="D566" s="51" t="s">
        <v>12</v>
      </c>
      <c r="E566" s="51" t="s">
        <v>9</v>
      </c>
      <c r="F566" s="51" t="s">
        <v>65</v>
      </c>
      <c r="G566" s="52">
        <v>0</v>
      </c>
      <c r="H566" s="53">
        <v>0</v>
      </c>
    </row>
    <row r="567" spans="1:8" x14ac:dyDescent="0.35">
      <c r="A567" s="54" t="s">
        <v>169</v>
      </c>
      <c r="B567" s="55">
        <v>45839</v>
      </c>
      <c r="C567" s="56" t="s">
        <v>25</v>
      </c>
      <c r="D567" s="56" t="s">
        <v>12</v>
      </c>
      <c r="E567" s="56" t="s">
        <v>170</v>
      </c>
      <c r="F567" s="56" t="s">
        <v>7</v>
      </c>
      <c r="G567" s="57">
        <v>0</v>
      </c>
      <c r="H567" s="58">
        <v>0</v>
      </c>
    </row>
    <row r="568" spans="1:8" x14ac:dyDescent="0.35">
      <c r="A568" s="49" t="s">
        <v>169</v>
      </c>
      <c r="B568" s="50">
        <v>45839</v>
      </c>
      <c r="C568" s="51" t="s">
        <v>25</v>
      </c>
      <c r="D568" s="51" t="s">
        <v>12</v>
      </c>
      <c r="E568" s="51" t="s">
        <v>170</v>
      </c>
      <c r="F568" s="51" t="s">
        <v>8</v>
      </c>
      <c r="G568" s="52">
        <v>0</v>
      </c>
      <c r="H568" s="53">
        <v>0</v>
      </c>
    </row>
    <row r="569" spans="1:8" x14ac:dyDescent="0.35">
      <c r="A569" s="54" t="s">
        <v>169</v>
      </c>
      <c r="B569" s="55">
        <v>45839</v>
      </c>
      <c r="C569" s="56" t="s">
        <v>25</v>
      </c>
      <c r="D569" s="56" t="s">
        <v>12</v>
      </c>
      <c r="E569" s="56" t="s">
        <v>170</v>
      </c>
      <c r="F569" s="56" t="s">
        <v>15</v>
      </c>
      <c r="G569" s="57">
        <v>123240</v>
      </c>
      <c r="H569" s="58">
        <v>4160</v>
      </c>
    </row>
    <row r="570" spans="1:8" x14ac:dyDescent="0.35">
      <c r="A570" s="49" t="s">
        <v>169</v>
      </c>
      <c r="B570" s="50">
        <v>45839</v>
      </c>
      <c r="C570" s="51" t="s">
        <v>25</v>
      </c>
      <c r="D570" s="51" t="s">
        <v>12</v>
      </c>
      <c r="E570" s="51" t="s">
        <v>170</v>
      </c>
      <c r="F570" s="51" t="s">
        <v>65</v>
      </c>
      <c r="G570" s="52">
        <v>0</v>
      </c>
      <c r="H570" s="53">
        <v>0</v>
      </c>
    </row>
    <row r="571" spans="1:8" x14ac:dyDescent="0.35">
      <c r="A571" s="54" t="s">
        <v>169</v>
      </c>
      <c r="B571" s="55">
        <v>45870</v>
      </c>
      <c r="C571" s="56" t="s">
        <v>25</v>
      </c>
      <c r="D571" s="56" t="s">
        <v>12</v>
      </c>
      <c r="E571" s="56" t="s">
        <v>170</v>
      </c>
      <c r="F571" s="56" t="s">
        <v>7</v>
      </c>
      <c r="G571" s="57">
        <v>0</v>
      </c>
      <c r="H571" s="58">
        <v>0</v>
      </c>
    </row>
    <row r="572" spans="1:8" x14ac:dyDescent="0.35">
      <c r="A572" s="49" t="s">
        <v>169</v>
      </c>
      <c r="B572" s="50">
        <v>45870</v>
      </c>
      <c r="C572" s="51" t="s">
        <v>25</v>
      </c>
      <c r="D572" s="51" t="s">
        <v>12</v>
      </c>
      <c r="E572" s="51" t="s">
        <v>170</v>
      </c>
      <c r="F572" s="51" t="s">
        <v>8</v>
      </c>
      <c r="G572" s="52">
        <v>0</v>
      </c>
      <c r="H572" s="53">
        <v>0</v>
      </c>
    </row>
    <row r="573" spans="1:8" x14ac:dyDescent="0.35">
      <c r="A573" s="54" t="s">
        <v>169</v>
      </c>
      <c r="B573" s="55">
        <v>45870</v>
      </c>
      <c r="C573" s="56" t="s">
        <v>25</v>
      </c>
      <c r="D573" s="56" t="s">
        <v>12</v>
      </c>
      <c r="E573" s="56" t="s">
        <v>170</v>
      </c>
      <c r="F573" s="56" t="s">
        <v>15</v>
      </c>
      <c r="G573" s="57">
        <v>123240</v>
      </c>
      <c r="H573" s="58">
        <v>4160</v>
      </c>
    </row>
    <row r="574" spans="1:8" x14ac:dyDescent="0.35">
      <c r="A574" s="49" t="s">
        <v>169</v>
      </c>
      <c r="B574" s="50">
        <v>45870</v>
      </c>
      <c r="C574" s="51" t="s">
        <v>25</v>
      </c>
      <c r="D574" s="51" t="s">
        <v>12</v>
      </c>
      <c r="E574" s="51" t="s">
        <v>170</v>
      </c>
      <c r="F574" s="51" t="s">
        <v>65</v>
      </c>
      <c r="G574" s="52">
        <v>0</v>
      </c>
      <c r="H574" s="53">
        <v>0</v>
      </c>
    </row>
    <row r="575" spans="1:8" x14ac:dyDescent="0.35">
      <c r="A575" s="54" t="s">
        <v>169</v>
      </c>
      <c r="B575" s="55">
        <v>45901</v>
      </c>
      <c r="C575" s="56" t="s">
        <v>25</v>
      </c>
      <c r="D575" s="56" t="s">
        <v>12</v>
      </c>
      <c r="E575" s="56" t="s">
        <v>170</v>
      </c>
      <c r="F575" s="56" t="s">
        <v>7</v>
      </c>
      <c r="G575" s="57">
        <v>0</v>
      </c>
      <c r="H575" s="58">
        <v>0</v>
      </c>
    </row>
    <row r="576" spans="1:8" x14ac:dyDescent="0.35">
      <c r="A576" s="49" t="s">
        <v>169</v>
      </c>
      <c r="B576" s="50">
        <v>45901</v>
      </c>
      <c r="C576" s="51" t="s">
        <v>25</v>
      </c>
      <c r="D576" s="51" t="s">
        <v>12</v>
      </c>
      <c r="E576" s="51" t="s">
        <v>170</v>
      </c>
      <c r="F576" s="51" t="s">
        <v>8</v>
      </c>
      <c r="G576" s="52">
        <v>0</v>
      </c>
      <c r="H576" s="53">
        <v>0</v>
      </c>
    </row>
    <row r="577" spans="1:8" x14ac:dyDescent="0.35">
      <c r="A577" s="54" t="s">
        <v>169</v>
      </c>
      <c r="B577" s="55">
        <v>45901</v>
      </c>
      <c r="C577" s="56" t="s">
        <v>25</v>
      </c>
      <c r="D577" s="56" t="s">
        <v>12</v>
      </c>
      <c r="E577" s="56" t="s">
        <v>170</v>
      </c>
      <c r="F577" s="56" t="s">
        <v>15</v>
      </c>
      <c r="G577" s="57">
        <v>123240</v>
      </c>
      <c r="H577" s="58">
        <v>4160</v>
      </c>
    </row>
    <row r="578" spans="1:8" x14ac:dyDescent="0.35">
      <c r="A578" s="49" t="s">
        <v>169</v>
      </c>
      <c r="B578" s="50">
        <v>45901</v>
      </c>
      <c r="C578" s="51" t="s">
        <v>25</v>
      </c>
      <c r="D578" s="51" t="s">
        <v>12</v>
      </c>
      <c r="E578" s="51" t="s">
        <v>170</v>
      </c>
      <c r="F578" s="51" t="s">
        <v>65</v>
      </c>
      <c r="G578" s="52">
        <v>0</v>
      </c>
      <c r="H578" s="53">
        <v>0</v>
      </c>
    </row>
    <row r="579" spans="1:8" x14ac:dyDescent="0.35">
      <c r="A579" s="54" t="s">
        <v>169</v>
      </c>
      <c r="B579" s="55">
        <v>45931</v>
      </c>
      <c r="C579" s="56" t="s">
        <v>25</v>
      </c>
      <c r="D579" s="56" t="s">
        <v>12</v>
      </c>
      <c r="E579" s="56" t="s">
        <v>170</v>
      </c>
      <c r="F579" s="56" t="s">
        <v>7</v>
      </c>
      <c r="G579" s="57">
        <v>0</v>
      </c>
      <c r="H579" s="58">
        <v>0</v>
      </c>
    </row>
    <row r="580" spans="1:8" x14ac:dyDescent="0.35">
      <c r="A580" s="49" t="s">
        <v>169</v>
      </c>
      <c r="B580" s="50">
        <v>45931</v>
      </c>
      <c r="C580" s="51" t="s">
        <v>25</v>
      </c>
      <c r="D580" s="51" t="s">
        <v>12</v>
      </c>
      <c r="E580" s="51" t="s">
        <v>170</v>
      </c>
      <c r="F580" s="51" t="s">
        <v>8</v>
      </c>
      <c r="G580" s="52">
        <v>0</v>
      </c>
      <c r="H580" s="53">
        <v>0</v>
      </c>
    </row>
    <row r="581" spans="1:8" x14ac:dyDescent="0.35">
      <c r="A581" s="54" t="s">
        <v>169</v>
      </c>
      <c r="B581" s="55">
        <v>45931</v>
      </c>
      <c r="C581" s="56" t="s">
        <v>25</v>
      </c>
      <c r="D581" s="56" t="s">
        <v>12</v>
      </c>
      <c r="E581" s="56" t="s">
        <v>170</v>
      </c>
      <c r="F581" s="56" t="s">
        <v>15</v>
      </c>
      <c r="G581" s="57">
        <v>123240</v>
      </c>
      <c r="H581" s="58">
        <v>4160</v>
      </c>
    </row>
    <row r="582" spans="1:8" x14ac:dyDescent="0.35">
      <c r="A582" s="49" t="s">
        <v>169</v>
      </c>
      <c r="B582" s="50">
        <v>45931</v>
      </c>
      <c r="C582" s="51" t="s">
        <v>25</v>
      </c>
      <c r="D582" s="51" t="s">
        <v>12</v>
      </c>
      <c r="E582" s="51" t="s">
        <v>170</v>
      </c>
      <c r="F582" s="51" t="s">
        <v>65</v>
      </c>
      <c r="G582" s="52">
        <v>0</v>
      </c>
      <c r="H582" s="53">
        <v>0</v>
      </c>
    </row>
    <row r="583" spans="1:8" x14ac:dyDescent="0.35">
      <c r="A583" s="54" t="s">
        <v>169</v>
      </c>
      <c r="B583" s="55">
        <v>45962</v>
      </c>
      <c r="C583" s="56" t="s">
        <v>25</v>
      </c>
      <c r="D583" s="56" t="s">
        <v>12</v>
      </c>
      <c r="E583" s="56" t="s">
        <v>170</v>
      </c>
      <c r="F583" s="56" t="s">
        <v>7</v>
      </c>
      <c r="G583" s="57">
        <v>0</v>
      </c>
      <c r="H583" s="58">
        <v>0</v>
      </c>
    </row>
    <row r="584" spans="1:8" x14ac:dyDescent="0.35">
      <c r="A584" s="49" t="s">
        <v>169</v>
      </c>
      <c r="B584" s="50">
        <v>45962</v>
      </c>
      <c r="C584" s="51" t="s">
        <v>25</v>
      </c>
      <c r="D584" s="51" t="s">
        <v>12</v>
      </c>
      <c r="E584" s="51" t="s">
        <v>170</v>
      </c>
      <c r="F584" s="51" t="s">
        <v>8</v>
      </c>
      <c r="G584" s="52">
        <v>0</v>
      </c>
      <c r="H584" s="53">
        <v>0</v>
      </c>
    </row>
    <row r="585" spans="1:8" x14ac:dyDescent="0.35">
      <c r="A585" s="54" t="s">
        <v>169</v>
      </c>
      <c r="B585" s="55">
        <v>45962</v>
      </c>
      <c r="C585" s="56" t="s">
        <v>25</v>
      </c>
      <c r="D585" s="56" t="s">
        <v>12</v>
      </c>
      <c r="E585" s="56" t="s">
        <v>170</v>
      </c>
      <c r="F585" s="56" t="s">
        <v>15</v>
      </c>
      <c r="G585" s="57">
        <v>123240</v>
      </c>
      <c r="H585" s="58">
        <v>4160</v>
      </c>
    </row>
    <row r="586" spans="1:8" x14ac:dyDescent="0.35">
      <c r="A586" s="49" t="s">
        <v>169</v>
      </c>
      <c r="B586" s="50">
        <v>45962</v>
      </c>
      <c r="C586" s="51" t="s">
        <v>25</v>
      </c>
      <c r="D586" s="51" t="s">
        <v>12</v>
      </c>
      <c r="E586" s="51" t="s">
        <v>170</v>
      </c>
      <c r="F586" s="51" t="s">
        <v>65</v>
      </c>
      <c r="G586" s="52">
        <v>0</v>
      </c>
      <c r="H586" s="53">
        <v>0</v>
      </c>
    </row>
    <row r="587" spans="1:8" x14ac:dyDescent="0.35">
      <c r="A587" s="54" t="s">
        <v>169</v>
      </c>
      <c r="B587" s="55">
        <v>45992</v>
      </c>
      <c r="C587" s="56" t="s">
        <v>25</v>
      </c>
      <c r="D587" s="56" t="s">
        <v>12</v>
      </c>
      <c r="E587" s="56" t="s">
        <v>170</v>
      </c>
      <c r="F587" s="56" t="s">
        <v>7</v>
      </c>
      <c r="G587" s="57">
        <v>0</v>
      </c>
      <c r="H587" s="58">
        <v>0</v>
      </c>
    </row>
    <row r="588" spans="1:8" x14ac:dyDescent="0.35">
      <c r="A588" s="49" t="s">
        <v>169</v>
      </c>
      <c r="B588" s="50">
        <v>45992</v>
      </c>
      <c r="C588" s="51" t="s">
        <v>25</v>
      </c>
      <c r="D588" s="51" t="s">
        <v>12</v>
      </c>
      <c r="E588" s="51" t="s">
        <v>170</v>
      </c>
      <c r="F588" s="51" t="s">
        <v>8</v>
      </c>
      <c r="G588" s="52">
        <v>0</v>
      </c>
      <c r="H588" s="53">
        <v>0</v>
      </c>
    </row>
    <row r="589" spans="1:8" x14ac:dyDescent="0.35">
      <c r="A589" s="54" t="s">
        <v>169</v>
      </c>
      <c r="B589" s="55">
        <v>45992</v>
      </c>
      <c r="C589" s="56" t="s">
        <v>25</v>
      </c>
      <c r="D589" s="56" t="s">
        <v>12</v>
      </c>
      <c r="E589" s="56" t="s">
        <v>170</v>
      </c>
      <c r="F589" s="56" t="s">
        <v>15</v>
      </c>
      <c r="G589" s="57">
        <v>123240</v>
      </c>
      <c r="H589" s="58">
        <v>4160</v>
      </c>
    </row>
    <row r="590" spans="1:8" x14ac:dyDescent="0.35">
      <c r="A590" s="49" t="s">
        <v>169</v>
      </c>
      <c r="B590" s="50">
        <v>45992</v>
      </c>
      <c r="C590" s="51" t="s">
        <v>25</v>
      </c>
      <c r="D590" s="51" t="s">
        <v>12</v>
      </c>
      <c r="E590" s="51" t="s">
        <v>170</v>
      </c>
      <c r="F590" s="51" t="s">
        <v>65</v>
      </c>
      <c r="G590" s="52">
        <v>0</v>
      </c>
      <c r="H590" s="53">
        <v>0</v>
      </c>
    </row>
    <row r="591" spans="1:8" x14ac:dyDescent="0.35">
      <c r="A591" s="54" t="s">
        <v>200</v>
      </c>
      <c r="B591" s="55">
        <v>45658</v>
      </c>
      <c r="C591" s="56" t="s">
        <v>25</v>
      </c>
      <c r="D591" s="56" t="s">
        <v>12</v>
      </c>
      <c r="E591" s="56" t="s">
        <v>10</v>
      </c>
      <c r="F591" s="56" t="s">
        <v>7</v>
      </c>
      <c r="G591" s="57">
        <v>0</v>
      </c>
      <c r="H591" s="58">
        <v>0</v>
      </c>
    </row>
    <row r="592" spans="1:8" x14ac:dyDescent="0.35">
      <c r="A592" s="49" t="s">
        <v>200</v>
      </c>
      <c r="B592" s="50">
        <v>45658</v>
      </c>
      <c r="C592" s="51" t="s">
        <v>25</v>
      </c>
      <c r="D592" s="51" t="s">
        <v>12</v>
      </c>
      <c r="E592" s="51" t="s">
        <v>10</v>
      </c>
      <c r="F592" s="51" t="s">
        <v>8</v>
      </c>
      <c r="G592" s="52">
        <v>0</v>
      </c>
      <c r="H592" s="53">
        <v>0</v>
      </c>
    </row>
    <row r="593" spans="1:8" x14ac:dyDescent="0.35">
      <c r="A593" s="54" t="s">
        <v>200</v>
      </c>
      <c r="B593" s="55">
        <v>45658</v>
      </c>
      <c r="C593" s="56" t="s">
        <v>25</v>
      </c>
      <c r="D593" s="56" t="s">
        <v>12</v>
      </c>
      <c r="E593" s="56" t="s">
        <v>10</v>
      </c>
      <c r="F593" s="56" t="s">
        <v>15</v>
      </c>
      <c r="G593" s="57">
        <v>0</v>
      </c>
      <c r="H593" s="58">
        <v>0</v>
      </c>
    </row>
    <row r="594" spans="1:8" x14ac:dyDescent="0.35">
      <c r="A594" s="49" t="s">
        <v>200</v>
      </c>
      <c r="B594" s="50">
        <v>45658</v>
      </c>
      <c r="C594" s="51" t="s">
        <v>25</v>
      </c>
      <c r="D594" s="51" t="s">
        <v>12</v>
      </c>
      <c r="E594" s="51" t="s">
        <v>10</v>
      </c>
      <c r="F594" s="51" t="s">
        <v>65</v>
      </c>
      <c r="G594" s="52">
        <v>0</v>
      </c>
      <c r="H594" s="53">
        <v>0</v>
      </c>
    </row>
    <row r="595" spans="1:8" x14ac:dyDescent="0.35">
      <c r="A595" s="54" t="s">
        <v>200</v>
      </c>
      <c r="B595" s="55">
        <v>45689</v>
      </c>
      <c r="C595" s="56" t="s">
        <v>25</v>
      </c>
      <c r="D595" s="56" t="s">
        <v>12</v>
      </c>
      <c r="E595" s="56" t="s">
        <v>10</v>
      </c>
      <c r="F595" s="56" t="s">
        <v>7</v>
      </c>
      <c r="G595" s="57">
        <v>0</v>
      </c>
      <c r="H595" s="58">
        <v>0</v>
      </c>
    </row>
    <row r="596" spans="1:8" x14ac:dyDescent="0.35">
      <c r="A596" s="49" t="s">
        <v>200</v>
      </c>
      <c r="B596" s="50">
        <v>45689</v>
      </c>
      <c r="C596" s="51" t="s">
        <v>25</v>
      </c>
      <c r="D596" s="51" t="s">
        <v>12</v>
      </c>
      <c r="E596" s="51" t="s">
        <v>10</v>
      </c>
      <c r="F596" s="51" t="s">
        <v>8</v>
      </c>
      <c r="G596" s="52">
        <v>0</v>
      </c>
      <c r="H596" s="53">
        <v>0</v>
      </c>
    </row>
    <row r="597" spans="1:8" x14ac:dyDescent="0.35">
      <c r="A597" s="54" t="s">
        <v>200</v>
      </c>
      <c r="B597" s="55">
        <v>45689</v>
      </c>
      <c r="C597" s="56" t="s">
        <v>25</v>
      </c>
      <c r="D597" s="56" t="s">
        <v>12</v>
      </c>
      <c r="E597" s="56" t="s">
        <v>10</v>
      </c>
      <c r="F597" s="56" t="s">
        <v>15</v>
      </c>
      <c r="G597" s="57">
        <v>0</v>
      </c>
      <c r="H597" s="58">
        <v>0</v>
      </c>
    </row>
    <row r="598" spans="1:8" x14ac:dyDescent="0.35">
      <c r="A598" s="49" t="s">
        <v>200</v>
      </c>
      <c r="B598" s="50">
        <v>45689</v>
      </c>
      <c r="C598" s="51" t="s">
        <v>25</v>
      </c>
      <c r="D598" s="51" t="s">
        <v>12</v>
      </c>
      <c r="E598" s="51" t="s">
        <v>10</v>
      </c>
      <c r="F598" s="51" t="s">
        <v>65</v>
      </c>
      <c r="G598" s="52">
        <v>0</v>
      </c>
      <c r="H598" s="53">
        <v>0</v>
      </c>
    </row>
    <row r="599" spans="1:8" x14ac:dyDescent="0.35">
      <c r="A599" s="54" t="s">
        <v>200</v>
      </c>
      <c r="B599" s="55">
        <v>45717</v>
      </c>
      <c r="C599" s="56" t="s">
        <v>25</v>
      </c>
      <c r="D599" s="56" t="s">
        <v>12</v>
      </c>
      <c r="E599" s="56" t="s">
        <v>10</v>
      </c>
      <c r="F599" s="56" t="s">
        <v>7</v>
      </c>
      <c r="G599" s="57">
        <v>0</v>
      </c>
      <c r="H599" s="58">
        <v>0</v>
      </c>
    </row>
    <row r="600" spans="1:8" x14ac:dyDescent="0.35">
      <c r="A600" s="49" t="s">
        <v>200</v>
      </c>
      <c r="B600" s="50">
        <v>45717</v>
      </c>
      <c r="C600" s="51" t="s">
        <v>25</v>
      </c>
      <c r="D600" s="51" t="s">
        <v>12</v>
      </c>
      <c r="E600" s="51" t="s">
        <v>10</v>
      </c>
      <c r="F600" s="51" t="s">
        <v>8</v>
      </c>
      <c r="G600" s="52">
        <v>0</v>
      </c>
      <c r="H600" s="53">
        <v>0</v>
      </c>
    </row>
    <row r="601" spans="1:8" x14ac:dyDescent="0.35">
      <c r="A601" s="54" t="s">
        <v>200</v>
      </c>
      <c r="B601" s="55">
        <v>45717</v>
      </c>
      <c r="C601" s="56" t="s">
        <v>25</v>
      </c>
      <c r="D601" s="56" t="s">
        <v>12</v>
      </c>
      <c r="E601" s="56" t="s">
        <v>10</v>
      </c>
      <c r="F601" s="56" t="s">
        <v>15</v>
      </c>
      <c r="G601" s="57">
        <v>0</v>
      </c>
      <c r="H601" s="58">
        <v>0</v>
      </c>
    </row>
    <row r="602" spans="1:8" x14ac:dyDescent="0.35">
      <c r="A602" s="49" t="s">
        <v>200</v>
      </c>
      <c r="B602" s="50">
        <v>45717</v>
      </c>
      <c r="C602" s="51" t="s">
        <v>25</v>
      </c>
      <c r="D602" s="51" t="s">
        <v>12</v>
      </c>
      <c r="E602" s="51" t="s">
        <v>10</v>
      </c>
      <c r="F602" s="51" t="s">
        <v>65</v>
      </c>
      <c r="G602" s="52">
        <v>0</v>
      </c>
      <c r="H602" s="53">
        <v>0</v>
      </c>
    </row>
    <row r="603" spans="1:8" x14ac:dyDescent="0.35">
      <c r="A603" s="54" t="s">
        <v>200</v>
      </c>
      <c r="B603" s="55">
        <v>45748</v>
      </c>
      <c r="C603" s="56" t="s">
        <v>25</v>
      </c>
      <c r="D603" s="56" t="s">
        <v>12</v>
      </c>
      <c r="E603" s="56" t="s">
        <v>10</v>
      </c>
      <c r="F603" s="56" t="s">
        <v>7</v>
      </c>
      <c r="G603" s="57">
        <v>0</v>
      </c>
      <c r="H603" s="58">
        <v>0</v>
      </c>
    </row>
    <row r="604" spans="1:8" x14ac:dyDescent="0.35">
      <c r="A604" s="49" t="s">
        <v>200</v>
      </c>
      <c r="B604" s="50">
        <v>45748</v>
      </c>
      <c r="C604" s="51" t="s">
        <v>25</v>
      </c>
      <c r="D604" s="51" t="s">
        <v>12</v>
      </c>
      <c r="E604" s="51" t="s">
        <v>10</v>
      </c>
      <c r="F604" s="51" t="s">
        <v>8</v>
      </c>
      <c r="G604" s="52">
        <v>0</v>
      </c>
      <c r="H604" s="53">
        <v>0</v>
      </c>
    </row>
    <row r="605" spans="1:8" x14ac:dyDescent="0.35">
      <c r="A605" s="54" t="s">
        <v>200</v>
      </c>
      <c r="B605" s="55">
        <v>45748</v>
      </c>
      <c r="C605" s="56" t="s">
        <v>25</v>
      </c>
      <c r="D605" s="56" t="s">
        <v>12</v>
      </c>
      <c r="E605" s="56" t="s">
        <v>10</v>
      </c>
      <c r="F605" s="56" t="s">
        <v>15</v>
      </c>
      <c r="G605" s="57">
        <v>0</v>
      </c>
      <c r="H605" s="58">
        <v>0</v>
      </c>
    </row>
    <row r="606" spans="1:8" x14ac:dyDescent="0.35">
      <c r="A606" s="49" t="s">
        <v>200</v>
      </c>
      <c r="B606" s="50">
        <v>45748</v>
      </c>
      <c r="C606" s="51" t="s">
        <v>25</v>
      </c>
      <c r="D606" s="51" t="s">
        <v>12</v>
      </c>
      <c r="E606" s="51" t="s">
        <v>10</v>
      </c>
      <c r="F606" s="51" t="s">
        <v>65</v>
      </c>
      <c r="G606" s="52">
        <v>0</v>
      </c>
      <c r="H606" s="53">
        <v>0</v>
      </c>
    </row>
    <row r="607" spans="1:8" x14ac:dyDescent="0.35">
      <c r="A607" s="54" t="s">
        <v>200</v>
      </c>
      <c r="B607" s="55">
        <v>45778</v>
      </c>
      <c r="C607" s="56" t="s">
        <v>25</v>
      </c>
      <c r="D607" s="56" t="s">
        <v>12</v>
      </c>
      <c r="E607" s="56" t="s">
        <v>10</v>
      </c>
      <c r="F607" s="56" t="s">
        <v>7</v>
      </c>
      <c r="G607" s="57">
        <v>0</v>
      </c>
      <c r="H607" s="58">
        <v>0</v>
      </c>
    </row>
    <row r="608" spans="1:8" x14ac:dyDescent="0.35">
      <c r="A608" s="49" t="s">
        <v>200</v>
      </c>
      <c r="B608" s="50">
        <v>45778</v>
      </c>
      <c r="C608" s="51" t="s">
        <v>25</v>
      </c>
      <c r="D608" s="51" t="s">
        <v>12</v>
      </c>
      <c r="E608" s="51" t="s">
        <v>10</v>
      </c>
      <c r="F608" s="51" t="s">
        <v>8</v>
      </c>
      <c r="G608" s="52">
        <v>0</v>
      </c>
      <c r="H608" s="53">
        <v>0</v>
      </c>
    </row>
    <row r="609" spans="1:8" x14ac:dyDescent="0.35">
      <c r="A609" s="54" t="s">
        <v>200</v>
      </c>
      <c r="B609" s="55">
        <v>45778</v>
      </c>
      <c r="C609" s="56" t="s">
        <v>25</v>
      </c>
      <c r="D609" s="56" t="s">
        <v>12</v>
      </c>
      <c r="E609" s="56" t="s">
        <v>10</v>
      </c>
      <c r="F609" s="56" t="s">
        <v>15</v>
      </c>
      <c r="G609" s="57">
        <v>0</v>
      </c>
      <c r="H609" s="58">
        <v>0</v>
      </c>
    </row>
    <row r="610" spans="1:8" x14ac:dyDescent="0.35">
      <c r="A610" s="49" t="s">
        <v>200</v>
      </c>
      <c r="B610" s="50">
        <v>45778</v>
      </c>
      <c r="C610" s="51" t="s">
        <v>25</v>
      </c>
      <c r="D610" s="51" t="s">
        <v>12</v>
      </c>
      <c r="E610" s="51" t="s">
        <v>10</v>
      </c>
      <c r="F610" s="51" t="s">
        <v>65</v>
      </c>
      <c r="G610" s="52">
        <v>0</v>
      </c>
      <c r="H610" s="53">
        <v>0</v>
      </c>
    </row>
    <row r="611" spans="1:8" x14ac:dyDescent="0.35">
      <c r="A611" s="54" t="s">
        <v>200</v>
      </c>
      <c r="B611" s="55">
        <v>45809</v>
      </c>
      <c r="C611" s="56" t="s">
        <v>25</v>
      </c>
      <c r="D611" s="56" t="s">
        <v>12</v>
      </c>
      <c r="E611" s="56" t="s">
        <v>10</v>
      </c>
      <c r="F611" s="56" t="s">
        <v>7</v>
      </c>
      <c r="G611" s="57">
        <v>0</v>
      </c>
      <c r="H611" s="58">
        <v>0</v>
      </c>
    </row>
    <row r="612" spans="1:8" x14ac:dyDescent="0.35">
      <c r="A612" s="49" t="s">
        <v>200</v>
      </c>
      <c r="B612" s="50">
        <v>45809</v>
      </c>
      <c r="C612" s="51" t="s">
        <v>25</v>
      </c>
      <c r="D612" s="51" t="s">
        <v>12</v>
      </c>
      <c r="E612" s="51" t="s">
        <v>10</v>
      </c>
      <c r="F612" s="51" t="s">
        <v>8</v>
      </c>
      <c r="G612" s="52">
        <v>0</v>
      </c>
      <c r="H612" s="53">
        <v>0</v>
      </c>
    </row>
    <row r="613" spans="1:8" x14ac:dyDescent="0.35">
      <c r="A613" s="54" t="s">
        <v>200</v>
      </c>
      <c r="B613" s="55">
        <v>45809</v>
      </c>
      <c r="C613" s="56" t="s">
        <v>25</v>
      </c>
      <c r="D613" s="56" t="s">
        <v>12</v>
      </c>
      <c r="E613" s="56" t="s">
        <v>10</v>
      </c>
      <c r="F613" s="56" t="s">
        <v>15</v>
      </c>
      <c r="G613" s="57">
        <v>0</v>
      </c>
      <c r="H613" s="58">
        <v>0</v>
      </c>
    </row>
    <row r="614" spans="1:8" x14ac:dyDescent="0.35">
      <c r="A614" s="49" t="s">
        <v>200</v>
      </c>
      <c r="B614" s="50">
        <v>45809</v>
      </c>
      <c r="C614" s="51" t="s">
        <v>25</v>
      </c>
      <c r="D614" s="51" t="s">
        <v>12</v>
      </c>
      <c r="E614" s="51" t="s">
        <v>10</v>
      </c>
      <c r="F614" s="51" t="s">
        <v>65</v>
      </c>
      <c r="G614" s="52">
        <v>0</v>
      </c>
      <c r="H614" s="53">
        <v>0</v>
      </c>
    </row>
    <row r="615" spans="1:8" x14ac:dyDescent="0.35">
      <c r="A615" s="54" t="s">
        <v>200</v>
      </c>
      <c r="B615" s="55">
        <v>45839</v>
      </c>
      <c r="C615" s="56" t="s">
        <v>25</v>
      </c>
      <c r="D615" s="56" t="s">
        <v>12</v>
      </c>
      <c r="E615" s="56" t="s">
        <v>10</v>
      </c>
      <c r="F615" s="56" t="s">
        <v>7</v>
      </c>
      <c r="G615" s="57">
        <v>0</v>
      </c>
      <c r="H615" s="58">
        <v>0</v>
      </c>
    </row>
    <row r="616" spans="1:8" x14ac:dyDescent="0.35">
      <c r="A616" s="49" t="s">
        <v>200</v>
      </c>
      <c r="B616" s="50">
        <v>45839</v>
      </c>
      <c r="C616" s="51" t="s">
        <v>25</v>
      </c>
      <c r="D616" s="51" t="s">
        <v>12</v>
      </c>
      <c r="E616" s="51" t="s">
        <v>10</v>
      </c>
      <c r="F616" s="51" t="s">
        <v>8</v>
      </c>
      <c r="G616" s="52">
        <v>0</v>
      </c>
      <c r="H616" s="53">
        <v>0</v>
      </c>
    </row>
    <row r="617" spans="1:8" x14ac:dyDescent="0.35">
      <c r="A617" s="54" t="s">
        <v>200</v>
      </c>
      <c r="B617" s="55">
        <v>45839</v>
      </c>
      <c r="C617" s="56" t="s">
        <v>25</v>
      </c>
      <c r="D617" s="56" t="s">
        <v>12</v>
      </c>
      <c r="E617" s="56" t="s">
        <v>10</v>
      </c>
      <c r="F617" s="56" t="s">
        <v>15</v>
      </c>
      <c r="G617" s="57">
        <v>0</v>
      </c>
      <c r="H617" s="58">
        <v>0</v>
      </c>
    </row>
    <row r="618" spans="1:8" x14ac:dyDescent="0.35">
      <c r="A618" s="49" t="s">
        <v>200</v>
      </c>
      <c r="B618" s="50">
        <v>45839</v>
      </c>
      <c r="C618" s="51" t="s">
        <v>25</v>
      </c>
      <c r="D618" s="51" t="s">
        <v>12</v>
      </c>
      <c r="E618" s="51" t="s">
        <v>10</v>
      </c>
      <c r="F618" s="51" t="s">
        <v>65</v>
      </c>
      <c r="G618" s="52">
        <v>0</v>
      </c>
      <c r="H618" s="53">
        <v>0</v>
      </c>
    </row>
    <row r="619" spans="1:8" x14ac:dyDescent="0.35">
      <c r="A619" s="54" t="s">
        <v>200</v>
      </c>
      <c r="B619" s="55">
        <v>45870</v>
      </c>
      <c r="C619" s="56" t="s">
        <v>25</v>
      </c>
      <c r="D619" s="56" t="s">
        <v>12</v>
      </c>
      <c r="E619" s="56" t="s">
        <v>10</v>
      </c>
      <c r="F619" s="56" t="s">
        <v>7</v>
      </c>
      <c r="G619" s="57">
        <v>0</v>
      </c>
      <c r="H619" s="58">
        <v>0</v>
      </c>
    </row>
    <row r="620" spans="1:8" x14ac:dyDescent="0.35">
      <c r="A620" s="49" t="s">
        <v>200</v>
      </c>
      <c r="B620" s="50">
        <v>45870</v>
      </c>
      <c r="C620" s="51" t="s">
        <v>25</v>
      </c>
      <c r="D620" s="51" t="s">
        <v>12</v>
      </c>
      <c r="E620" s="51" t="s">
        <v>10</v>
      </c>
      <c r="F620" s="51" t="s">
        <v>8</v>
      </c>
      <c r="G620" s="52">
        <v>0</v>
      </c>
      <c r="H620" s="53">
        <v>0</v>
      </c>
    </row>
    <row r="621" spans="1:8" x14ac:dyDescent="0.35">
      <c r="A621" s="54" t="s">
        <v>200</v>
      </c>
      <c r="B621" s="55">
        <v>45870</v>
      </c>
      <c r="C621" s="56" t="s">
        <v>25</v>
      </c>
      <c r="D621" s="56" t="s">
        <v>12</v>
      </c>
      <c r="E621" s="56" t="s">
        <v>10</v>
      </c>
      <c r="F621" s="56" t="s">
        <v>15</v>
      </c>
      <c r="G621" s="57">
        <v>0</v>
      </c>
      <c r="H621" s="58">
        <v>0</v>
      </c>
    </row>
    <row r="622" spans="1:8" x14ac:dyDescent="0.35">
      <c r="A622" s="49" t="s">
        <v>200</v>
      </c>
      <c r="B622" s="50">
        <v>45870</v>
      </c>
      <c r="C622" s="51" t="s">
        <v>25</v>
      </c>
      <c r="D622" s="51" t="s">
        <v>12</v>
      </c>
      <c r="E622" s="51" t="s">
        <v>10</v>
      </c>
      <c r="F622" s="51" t="s">
        <v>65</v>
      </c>
      <c r="G622" s="52">
        <v>0</v>
      </c>
      <c r="H622" s="53">
        <v>0</v>
      </c>
    </row>
    <row r="623" spans="1:8" x14ac:dyDescent="0.35">
      <c r="A623" s="54" t="s">
        <v>200</v>
      </c>
      <c r="B623" s="55">
        <v>45901</v>
      </c>
      <c r="C623" s="56" t="s">
        <v>25</v>
      </c>
      <c r="D623" s="56" t="s">
        <v>12</v>
      </c>
      <c r="E623" s="56" t="s">
        <v>10</v>
      </c>
      <c r="F623" s="56" t="s">
        <v>7</v>
      </c>
      <c r="G623" s="57">
        <v>0</v>
      </c>
      <c r="H623" s="58">
        <v>0</v>
      </c>
    </row>
    <row r="624" spans="1:8" x14ac:dyDescent="0.35">
      <c r="A624" s="49" t="s">
        <v>200</v>
      </c>
      <c r="B624" s="50">
        <v>45901</v>
      </c>
      <c r="C624" s="51" t="s">
        <v>25</v>
      </c>
      <c r="D624" s="51" t="s">
        <v>12</v>
      </c>
      <c r="E624" s="51" t="s">
        <v>10</v>
      </c>
      <c r="F624" s="51" t="s">
        <v>8</v>
      </c>
      <c r="G624" s="52">
        <v>0</v>
      </c>
      <c r="H624" s="53">
        <v>0</v>
      </c>
    </row>
    <row r="625" spans="1:8" x14ac:dyDescent="0.35">
      <c r="A625" s="54" t="s">
        <v>200</v>
      </c>
      <c r="B625" s="55">
        <v>45901</v>
      </c>
      <c r="C625" s="56" t="s">
        <v>25</v>
      </c>
      <c r="D625" s="56" t="s">
        <v>12</v>
      </c>
      <c r="E625" s="56" t="s">
        <v>10</v>
      </c>
      <c r="F625" s="56" t="s">
        <v>15</v>
      </c>
      <c r="G625" s="57">
        <v>0</v>
      </c>
      <c r="H625" s="58">
        <v>0</v>
      </c>
    </row>
    <row r="626" spans="1:8" x14ac:dyDescent="0.35">
      <c r="A626" s="49" t="s">
        <v>200</v>
      </c>
      <c r="B626" s="50">
        <v>45901</v>
      </c>
      <c r="C626" s="51" t="s">
        <v>25</v>
      </c>
      <c r="D626" s="51" t="s">
        <v>12</v>
      </c>
      <c r="E626" s="51" t="s">
        <v>10</v>
      </c>
      <c r="F626" s="51" t="s">
        <v>65</v>
      </c>
      <c r="G626" s="52">
        <v>0</v>
      </c>
      <c r="H626" s="53">
        <v>0</v>
      </c>
    </row>
    <row r="627" spans="1:8" x14ac:dyDescent="0.35">
      <c r="A627" s="54" t="s">
        <v>200</v>
      </c>
      <c r="B627" s="55">
        <v>45931</v>
      </c>
      <c r="C627" s="56" t="s">
        <v>25</v>
      </c>
      <c r="D627" s="56" t="s">
        <v>12</v>
      </c>
      <c r="E627" s="56" t="s">
        <v>10</v>
      </c>
      <c r="F627" s="56" t="s">
        <v>7</v>
      </c>
      <c r="G627" s="57">
        <v>0</v>
      </c>
      <c r="H627" s="58">
        <v>0</v>
      </c>
    </row>
    <row r="628" spans="1:8" x14ac:dyDescent="0.35">
      <c r="A628" s="49" t="s">
        <v>200</v>
      </c>
      <c r="B628" s="50">
        <v>45931</v>
      </c>
      <c r="C628" s="51" t="s">
        <v>25</v>
      </c>
      <c r="D628" s="51" t="s">
        <v>12</v>
      </c>
      <c r="E628" s="51" t="s">
        <v>10</v>
      </c>
      <c r="F628" s="51" t="s">
        <v>8</v>
      </c>
      <c r="G628" s="52">
        <v>0</v>
      </c>
      <c r="H628" s="53">
        <v>0</v>
      </c>
    </row>
    <row r="629" spans="1:8" x14ac:dyDescent="0.35">
      <c r="A629" s="54" t="s">
        <v>200</v>
      </c>
      <c r="B629" s="55">
        <v>45931</v>
      </c>
      <c r="C629" s="56" t="s">
        <v>25</v>
      </c>
      <c r="D629" s="56" t="s">
        <v>12</v>
      </c>
      <c r="E629" s="56" t="s">
        <v>10</v>
      </c>
      <c r="F629" s="56" t="s">
        <v>15</v>
      </c>
      <c r="G629" s="57">
        <v>0</v>
      </c>
      <c r="H629" s="58">
        <v>0</v>
      </c>
    </row>
    <row r="630" spans="1:8" x14ac:dyDescent="0.35">
      <c r="A630" s="49" t="s">
        <v>200</v>
      </c>
      <c r="B630" s="50">
        <v>45931</v>
      </c>
      <c r="C630" s="51" t="s">
        <v>25</v>
      </c>
      <c r="D630" s="51" t="s">
        <v>12</v>
      </c>
      <c r="E630" s="51" t="s">
        <v>10</v>
      </c>
      <c r="F630" s="51" t="s">
        <v>65</v>
      </c>
      <c r="G630" s="52">
        <v>0</v>
      </c>
      <c r="H630" s="53">
        <v>0</v>
      </c>
    </row>
    <row r="631" spans="1:8" x14ac:dyDescent="0.35">
      <c r="A631" s="54" t="s">
        <v>200</v>
      </c>
      <c r="B631" s="55">
        <v>45962</v>
      </c>
      <c r="C631" s="56" t="s">
        <v>25</v>
      </c>
      <c r="D631" s="56" t="s">
        <v>12</v>
      </c>
      <c r="E631" s="56" t="s">
        <v>10</v>
      </c>
      <c r="F631" s="56" t="s">
        <v>7</v>
      </c>
      <c r="G631" s="57">
        <v>0</v>
      </c>
      <c r="H631" s="58">
        <v>0</v>
      </c>
    </row>
    <row r="632" spans="1:8" x14ac:dyDescent="0.35">
      <c r="A632" s="49" t="s">
        <v>200</v>
      </c>
      <c r="B632" s="50">
        <v>45962</v>
      </c>
      <c r="C632" s="51" t="s">
        <v>25</v>
      </c>
      <c r="D632" s="51" t="s">
        <v>12</v>
      </c>
      <c r="E632" s="51" t="s">
        <v>10</v>
      </c>
      <c r="F632" s="51" t="s">
        <v>8</v>
      </c>
      <c r="G632" s="52">
        <v>0</v>
      </c>
      <c r="H632" s="53">
        <v>0</v>
      </c>
    </row>
    <row r="633" spans="1:8" x14ac:dyDescent="0.35">
      <c r="A633" s="54" t="s">
        <v>200</v>
      </c>
      <c r="B633" s="55">
        <v>45962</v>
      </c>
      <c r="C633" s="56" t="s">
        <v>25</v>
      </c>
      <c r="D633" s="56" t="s">
        <v>12</v>
      </c>
      <c r="E633" s="56" t="s">
        <v>10</v>
      </c>
      <c r="F633" s="56" t="s">
        <v>15</v>
      </c>
      <c r="G633" s="57">
        <v>0</v>
      </c>
      <c r="H633" s="58">
        <v>0</v>
      </c>
    </row>
    <row r="634" spans="1:8" x14ac:dyDescent="0.35">
      <c r="A634" s="49" t="s">
        <v>200</v>
      </c>
      <c r="B634" s="50">
        <v>45962</v>
      </c>
      <c r="C634" s="51" t="s">
        <v>25</v>
      </c>
      <c r="D634" s="51" t="s">
        <v>12</v>
      </c>
      <c r="E634" s="51" t="s">
        <v>10</v>
      </c>
      <c r="F634" s="51" t="s">
        <v>65</v>
      </c>
      <c r="G634" s="52">
        <v>0</v>
      </c>
      <c r="H634" s="53">
        <v>0</v>
      </c>
    </row>
    <row r="635" spans="1:8" x14ac:dyDescent="0.35">
      <c r="A635" s="54" t="s">
        <v>200</v>
      </c>
      <c r="B635" s="55">
        <v>45992</v>
      </c>
      <c r="C635" s="56" t="s">
        <v>25</v>
      </c>
      <c r="D635" s="56" t="s">
        <v>12</v>
      </c>
      <c r="E635" s="56" t="s">
        <v>10</v>
      </c>
      <c r="F635" s="56" t="s">
        <v>7</v>
      </c>
      <c r="G635" s="57">
        <v>0</v>
      </c>
      <c r="H635" s="58">
        <v>0</v>
      </c>
    </row>
    <row r="636" spans="1:8" x14ac:dyDescent="0.35">
      <c r="A636" s="49" t="s">
        <v>200</v>
      </c>
      <c r="B636" s="50">
        <v>45992</v>
      </c>
      <c r="C636" s="51" t="s">
        <v>25</v>
      </c>
      <c r="D636" s="51" t="s">
        <v>12</v>
      </c>
      <c r="E636" s="51" t="s">
        <v>10</v>
      </c>
      <c r="F636" s="51" t="s">
        <v>8</v>
      </c>
      <c r="G636" s="52">
        <v>0</v>
      </c>
      <c r="H636" s="53">
        <v>0</v>
      </c>
    </row>
    <row r="637" spans="1:8" x14ac:dyDescent="0.35">
      <c r="A637" s="54" t="s">
        <v>200</v>
      </c>
      <c r="B637" s="55">
        <v>45992</v>
      </c>
      <c r="C637" s="56" t="s">
        <v>25</v>
      </c>
      <c r="D637" s="56" t="s">
        <v>12</v>
      </c>
      <c r="E637" s="56" t="s">
        <v>10</v>
      </c>
      <c r="F637" s="56" t="s">
        <v>15</v>
      </c>
      <c r="G637" s="57">
        <v>0</v>
      </c>
      <c r="H637" s="58">
        <v>0</v>
      </c>
    </row>
    <row r="638" spans="1:8" x14ac:dyDescent="0.35">
      <c r="A638" s="49" t="s">
        <v>200</v>
      </c>
      <c r="B638" s="50">
        <v>45992</v>
      </c>
      <c r="C638" s="51" t="s">
        <v>25</v>
      </c>
      <c r="D638" s="51" t="s">
        <v>12</v>
      </c>
      <c r="E638" s="51" t="s">
        <v>10</v>
      </c>
      <c r="F638" s="51" t="s">
        <v>65</v>
      </c>
      <c r="G638" s="52">
        <v>0</v>
      </c>
      <c r="H638" s="53">
        <v>0</v>
      </c>
    </row>
    <row r="639" spans="1:8" x14ac:dyDescent="0.35">
      <c r="A639" s="54" t="s">
        <v>208</v>
      </c>
      <c r="B639" s="55">
        <v>45778</v>
      </c>
      <c r="C639" s="56" t="s">
        <v>22</v>
      </c>
      <c r="D639" s="56" t="s">
        <v>11</v>
      </c>
      <c r="E639" s="56" t="s">
        <v>207</v>
      </c>
      <c r="F639" s="56" t="s">
        <v>7</v>
      </c>
      <c r="G639" s="57">
        <v>0</v>
      </c>
      <c r="H639" s="58">
        <v>0</v>
      </c>
    </row>
    <row r="640" spans="1:8" x14ac:dyDescent="0.35">
      <c r="A640" s="49" t="s">
        <v>208</v>
      </c>
      <c r="B640" s="50">
        <v>45778</v>
      </c>
      <c r="C640" s="51" t="s">
        <v>22</v>
      </c>
      <c r="D640" s="51" t="s">
        <v>11</v>
      </c>
      <c r="E640" s="51" t="s">
        <v>207</v>
      </c>
      <c r="F640" s="51" t="s">
        <v>8</v>
      </c>
      <c r="G640" s="52">
        <v>0</v>
      </c>
      <c r="H640" s="53">
        <v>0</v>
      </c>
    </row>
    <row r="641" spans="1:8" x14ac:dyDescent="0.35">
      <c r="A641" s="54" t="s">
        <v>208</v>
      </c>
      <c r="B641" s="55">
        <v>45778</v>
      </c>
      <c r="C641" s="56" t="s">
        <v>22</v>
      </c>
      <c r="D641" s="56" t="s">
        <v>11</v>
      </c>
      <c r="E641" s="56" t="s">
        <v>207</v>
      </c>
      <c r="F641" s="56" t="s">
        <v>15</v>
      </c>
      <c r="G641" s="57">
        <v>45394.74</v>
      </c>
      <c r="H641" s="58">
        <v>1875</v>
      </c>
    </row>
    <row r="642" spans="1:8" x14ac:dyDescent="0.35">
      <c r="A642" s="49" t="s">
        <v>208</v>
      </c>
      <c r="B642" s="50">
        <v>45778</v>
      </c>
      <c r="C642" s="51" t="s">
        <v>22</v>
      </c>
      <c r="D642" s="51" t="s">
        <v>11</v>
      </c>
      <c r="E642" s="51" t="s">
        <v>207</v>
      </c>
      <c r="F642" s="51" t="s">
        <v>65</v>
      </c>
      <c r="G642" s="52">
        <v>0</v>
      </c>
      <c r="H642" s="53">
        <v>0</v>
      </c>
    </row>
    <row r="643" spans="1:8" x14ac:dyDescent="0.35">
      <c r="A643" s="54" t="s">
        <v>208</v>
      </c>
      <c r="B643" s="55">
        <v>45809</v>
      </c>
      <c r="C643" s="56" t="s">
        <v>22</v>
      </c>
      <c r="D643" s="56" t="s">
        <v>11</v>
      </c>
      <c r="E643" s="56" t="s">
        <v>207</v>
      </c>
      <c r="F643" s="56" t="s">
        <v>7</v>
      </c>
      <c r="G643" s="57">
        <v>0</v>
      </c>
      <c r="H643" s="58">
        <v>0</v>
      </c>
    </row>
    <row r="644" spans="1:8" x14ac:dyDescent="0.35">
      <c r="A644" s="49" t="s">
        <v>208</v>
      </c>
      <c r="B644" s="50">
        <v>45809</v>
      </c>
      <c r="C644" s="51" t="s">
        <v>22</v>
      </c>
      <c r="D644" s="51" t="s">
        <v>11</v>
      </c>
      <c r="E644" s="51" t="s">
        <v>207</v>
      </c>
      <c r="F644" s="51" t="s">
        <v>8</v>
      </c>
      <c r="G644" s="52">
        <v>0</v>
      </c>
      <c r="H644" s="53">
        <v>0</v>
      </c>
    </row>
    <row r="645" spans="1:8" x14ac:dyDescent="0.35">
      <c r="A645" s="54" t="s">
        <v>208</v>
      </c>
      <c r="B645" s="55">
        <v>45809</v>
      </c>
      <c r="C645" s="56" t="s">
        <v>22</v>
      </c>
      <c r="D645" s="56" t="s">
        <v>11</v>
      </c>
      <c r="E645" s="56" t="s">
        <v>207</v>
      </c>
      <c r="F645" s="56" t="s">
        <v>15</v>
      </c>
      <c r="G645" s="57">
        <v>47210.53</v>
      </c>
      <c r="H645" s="58">
        <v>1875</v>
      </c>
    </row>
    <row r="646" spans="1:8" x14ac:dyDescent="0.35">
      <c r="A646" s="49" t="s">
        <v>208</v>
      </c>
      <c r="B646" s="50">
        <v>45809</v>
      </c>
      <c r="C646" s="51" t="s">
        <v>22</v>
      </c>
      <c r="D646" s="51" t="s">
        <v>11</v>
      </c>
      <c r="E646" s="51" t="s">
        <v>207</v>
      </c>
      <c r="F646" s="51" t="s">
        <v>65</v>
      </c>
      <c r="G646" s="52">
        <v>0</v>
      </c>
      <c r="H646" s="53">
        <v>0</v>
      </c>
    </row>
    <row r="647" spans="1:8" x14ac:dyDescent="0.35">
      <c r="A647" s="54" t="s">
        <v>208</v>
      </c>
      <c r="B647" s="55">
        <v>45839</v>
      </c>
      <c r="C647" s="56" t="s">
        <v>22</v>
      </c>
      <c r="D647" s="56" t="s">
        <v>11</v>
      </c>
      <c r="E647" s="56" t="s">
        <v>207</v>
      </c>
      <c r="F647" s="56" t="s">
        <v>7</v>
      </c>
      <c r="G647" s="57">
        <v>0</v>
      </c>
      <c r="H647" s="58">
        <v>0</v>
      </c>
    </row>
    <row r="648" spans="1:8" x14ac:dyDescent="0.35">
      <c r="A648" s="49" t="s">
        <v>208</v>
      </c>
      <c r="B648" s="50">
        <v>45839</v>
      </c>
      <c r="C648" s="51" t="s">
        <v>22</v>
      </c>
      <c r="D648" s="51" t="s">
        <v>11</v>
      </c>
      <c r="E648" s="51" t="s">
        <v>207</v>
      </c>
      <c r="F648" s="51" t="s">
        <v>8</v>
      </c>
      <c r="G648" s="52">
        <v>0</v>
      </c>
      <c r="H648" s="53">
        <v>0</v>
      </c>
    </row>
    <row r="649" spans="1:8" x14ac:dyDescent="0.35">
      <c r="A649" s="54" t="s">
        <v>208</v>
      </c>
      <c r="B649" s="55">
        <v>45839</v>
      </c>
      <c r="C649" s="56" t="s">
        <v>22</v>
      </c>
      <c r="D649" s="56" t="s">
        <v>11</v>
      </c>
      <c r="E649" s="56" t="s">
        <v>207</v>
      </c>
      <c r="F649" s="56" t="s">
        <v>15</v>
      </c>
      <c r="G649" s="57">
        <v>47210.53</v>
      </c>
      <c r="H649" s="58">
        <v>1875</v>
      </c>
    </row>
    <row r="650" spans="1:8" x14ac:dyDescent="0.35">
      <c r="A650" s="49" t="s">
        <v>208</v>
      </c>
      <c r="B650" s="50">
        <v>45839</v>
      </c>
      <c r="C650" s="51" t="s">
        <v>22</v>
      </c>
      <c r="D650" s="51" t="s">
        <v>11</v>
      </c>
      <c r="E650" s="51" t="s">
        <v>207</v>
      </c>
      <c r="F650" s="51" t="s">
        <v>65</v>
      </c>
      <c r="G650" s="52">
        <v>0</v>
      </c>
      <c r="H650" s="53">
        <v>0</v>
      </c>
    </row>
    <row r="651" spans="1:8" x14ac:dyDescent="0.35">
      <c r="A651" s="54" t="s">
        <v>208</v>
      </c>
      <c r="B651" s="55">
        <v>45870</v>
      </c>
      <c r="C651" s="56" t="s">
        <v>22</v>
      </c>
      <c r="D651" s="56" t="s">
        <v>11</v>
      </c>
      <c r="E651" s="56" t="s">
        <v>207</v>
      </c>
      <c r="F651" s="56" t="s">
        <v>7</v>
      </c>
      <c r="G651" s="57">
        <v>0</v>
      </c>
      <c r="H651" s="58">
        <v>0</v>
      </c>
    </row>
    <row r="652" spans="1:8" x14ac:dyDescent="0.35">
      <c r="A652" s="49" t="s">
        <v>208</v>
      </c>
      <c r="B652" s="50">
        <v>45870</v>
      </c>
      <c r="C652" s="51" t="s">
        <v>22</v>
      </c>
      <c r="D652" s="51" t="s">
        <v>11</v>
      </c>
      <c r="E652" s="51" t="s">
        <v>207</v>
      </c>
      <c r="F652" s="51" t="s">
        <v>8</v>
      </c>
      <c r="G652" s="52">
        <v>0</v>
      </c>
      <c r="H652" s="53">
        <v>0</v>
      </c>
    </row>
    <row r="653" spans="1:8" x14ac:dyDescent="0.35">
      <c r="A653" s="54" t="s">
        <v>208</v>
      </c>
      <c r="B653" s="55">
        <v>45870</v>
      </c>
      <c r="C653" s="56" t="s">
        <v>22</v>
      </c>
      <c r="D653" s="56" t="s">
        <v>11</v>
      </c>
      <c r="E653" s="56" t="s">
        <v>207</v>
      </c>
      <c r="F653" s="56" t="s">
        <v>15</v>
      </c>
      <c r="G653" s="57">
        <v>47210.53</v>
      </c>
      <c r="H653" s="58">
        <v>1875</v>
      </c>
    </row>
    <row r="654" spans="1:8" x14ac:dyDescent="0.35">
      <c r="A654" s="49" t="s">
        <v>208</v>
      </c>
      <c r="B654" s="50">
        <v>45870</v>
      </c>
      <c r="C654" s="51" t="s">
        <v>22</v>
      </c>
      <c r="D654" s="51" t="s">
        <v>11</v>
      </c>
      <c r="E654" s="51" t="s">
        <v>207</v>
      </c>
      <c r="F654" s="51" t="s">
        <v>65</v>
      </c>
      <c r="G654" s="52">
        <v>0</v>
      </c>
      <c r="H654" s="53">
        <v>0</v>
      </c>
    </row>
    <row r="655" spans="1:8" x14ac:dyDescent="0.35">
      <c r="A655" s="54" t="s">
        <v>208</v>
      </c>
      <c r="B655" s="55">
        <v>45901</v>
      </c>
      <c r="C655" s="56" t="s">
        <v>22</v>
      </c>
      <c r="D655" s="56" t="s">
        <v>11</v>
      </c>
      <c r="E655" s="56" t="s">
        <v>207</v>
      </c>
      <c r="F655" s="56" t="s">
        <v>7</v>
      </c>
      <c r="G655" s="57">
        <v>0</v>
      </c>
      <c r="H655" s="58">
        <v>0</v>
      </c>
    </row>
    <row r="656" spans="1:8" x14ac:dyDescent="0.35">
      <c r="A656" s="49" t="s">
        <v>208</v>
      </c>
      <c r="B656" s="50">
        <v>45901</v>
      </c>
      <c r="C656" s="51" t="s">
        <v>22</v>
      </c>
      <c r="D656" s="51" t="s">
        <v>11</v>
      </c>
      <c r="E656" s="51" t="s">
        <v>207</v>
      </c>
      <c r="F656" s="51" t="s">
        <v>8</v>
      </c>
      <c r="G656" s="52">
        <v>0</v>
      </c>
      <c r="H656" s="53">
        <v>0</v>
      </c>
    </row>
    <row r="657" spans="1:8" x14ac:dyDescent="0.35">
      <c r="A657" s="54" t="s">
        <v>208</v>
      </c>
      <c r="B657" s="55">
        <v>45901</v>
      </c>
      <c r="C657" s="56" t="s">
        <v>22</v>
      </c>
      <c r="D657" s="56" t="s">
        <v>11</v>
      </c>
      <c r="E657" s="56" t="s">
        <v>207</v>
      </c>
      <c r="F657" s="56" t="s">
        <v>15</v>
      </c>
      <c r="G657" s="57">
        <v>47210.53</v>
      </c>
      <c r="H657" s="58">
        <v>1875</v>
      </c>
    </row>
    <row r="658" spans="1:8" x14ac:dyDescent="0.35">
      <c r="A658" s="49" t="s">
        <v>208</v>
      </c>
      <c r="B658" s="50">
        <v>45901</v>
      </c>
      <c r="C658" s="51" t="s">
        <v>22</v>
      </c>
      <c r="D658" s="51" t="s">
        <v>11</v>
      </c>
      <c r="E658" s="51" t="s">
        <v>207</v>
      </c>
      <c r="F658" s="51" t="s">
        <v>65</v>
      </c>
      <c r="G658" s="52">
        <v>0</v>
      </c>
      <c r="H658" s="53">
        <v>0</v>
      </c>
    </row>
    <row r="659" spans="1:8" x14ac:dyDescent="0.35">
      <c r="A659" s="54" t="s">
        <v>208</v>
      </c>
      <c r="B659" s="55">
        <v>45931</v>
      </c>
      <c r="C659" s="56" t="s">
        <v>22</v>
      </c>
      <c r="D659" s="56" t="s">
        <v>11</v>
      </c>
      <c r="E659" s="56" t="s">
        <v>207</v>
      </c>
      <c r="F659" s="56" t="s">
        <v>7</v>
      </c>
      <c r="G659" s="57">
        <v>0</v>
      </c>
      <c r="H659" s="58">
        <v>0</v>
      </c>
    </row>
    <row r="660" spans="1:8" x14ac:dyDescent="0.35">
      <c r="A660" s="49" t="s">
        <v>208</v>
      </c>
      <c r="B660" s="50">
        <v>45931</v>
      </c>
      <c r="C660" s="51" t="s">
        <v>22</v>
      </c>
      <c r="D660" s="51" t="s">
        <v>11</v>
      </c>
      <c r="E660" s="51" t="s">
        <v>207</v>
      </c>
      <c r="F660" s="51" t="s">
        <v>8</v>
      </c>
      <c r="G660" s="52">
        <v>0</v>
      </c>
      <c r="H660" s="53">
        <v>0</v>
      </c>
    </row>
    <row r="661" spans="1:8" x14ac:dyDescent="0.35">
      <c r="A661" s="54" t="s">
        <v>208</v>
      </c>
      <c r="B661" s="55">
        <v>45931</v>
      </c>
      <c r="C661" s="56" t="s">
        <v>22</v>
      </c>
      <c r="D661" s="56" t="s">
        <v>11</v>
      </c>
      <c r="E661" s="56" t="s">
        <v>207</v>
      </c>
      <c r="F661" s="56" t="s">
        <v>15</v>
      </c>
      <c r="G661" s="57">
        <v>47210.53</v>
      </c>
      <c r="H661" s="58">
        <v>1875</v>
      </c>
    </row>
    <row r="662" spans="1:8" x14ac:dyDescent="0.35">
      <c r="A662" s="49" t="s">
        <v>208</v>
      </c>
      <c r="B662" s="50">
        <v>45931</v>
      </c>
      <c r="C662" s="51" t="s">
        <v>22</v>
      </c>
      <c r="D662" s="51" t="s">
        <v>11</v>
      </c>
      <c r="E662" s="51" t="s">
        <v>207</v>
      </c>
      <c r="F662" s="51" t="s">
        <v>65</v>
      </c>
      <c r="G662" s="52">
        <v>0</v>
      </c>
      <c r="H662" s="53">
        <v>0</v>
      </c>
    </row>
    <row r="663" spans="1:8" x14ac:dyDescent="0.35">
      <c r="A663" s="54" t="s">
        <v>208</v>
      </c>
      <c r="B663" s="55">
        <v>45962</v>
      </c>
      <c r="C663" s="56" t="s">
        <v>22</v>
      </c>
      <c r="D663" s="56" t="s">
        <v>11</v>
      </c>
      <c r="E663" s="56" t="s">
        <v>207</v>
      </c>
      <c r="F663" s="56" t="s">
        <v>7</v>
      </c>
      <c r="G663" s="57">
        <v>0</v>
      </c>
      <c r="H663" s="58">
        <v>0</v>
      </c>
    </row>
    <row r="664" spans="1:8" x14ac:dyDescent="0.35">
      <c r="A664" s="49" t="s">
        <v>208</v>
      </c>
      <c r="B664" s="50">
        <v>45962</v>
      </c>
      <c r="C664" s="51" t="s">
        <v>22</v>
      </c>
      <c r="D664" s="51" t="s">
        <v>11</v>
      </c>
      <c r="E664" s="51" t="s">
        <v>207</v>
      </c>
      <c r="F664" s="51" t="s">
        <v>8</v>
      </c>
      <c r="G664" s="52">
        <v>0</v>
      </c>
      <c r="H664" s="53">
        <v>0</v>
      </c>
    </row>
    <row r="665" spans="1:8" x14ac:dyDescent="0.35">
      <c r="A665" s="54" t="s">
        <v>208</v>
      </c>
      <c r="B665" s="55">
        <v>45962</v>
      </c>
      <c r="C665" s="56" t="s">
        <v>22</v>
      </c>
      <c r="D665" s="56" t="s">
        <v>11</v>
      </c>
      <c r="E665" s="56" t="s">
        <v>207</v>
      </c>
      <c r="F665" s="56" t="s">
        <v>15</v>
      </c>
      <c r="G665" s="57">
        <v>47210.53</v>
      </c>
      <c r="H665" s="58">
        <v>1875</v>
      </c>
    </row>
    <row r="666" spans="1:8" x14ac:dyDescent="0.35">
      <c r="A666" s="49" t="s">
        <v>208</v>
      </c>
      <c r="B666" s="50">
        <v>45962</v>
      </c>
      <c r="C666" s="51" t="s">
        <v>22</v>
      </c>
      <c r="D666" s="51" t="s">
        <v>11</v>
      </c>
      <c r="E666" s="51" t="s">
        <v>207</v>
      </c>
      <c r="F666" s="51" t="s">
        <v>65</v>
      </c>
      <c r="G666" s="52">
        <v>0</v>
      </c>
      <c r="H666" s="53">
        <v>0</v>
      </c>
    </row>
    <row r="667" spans="1:8" x14ac:dyDescent="0.35">
      <c r="A667" s="54" t="s">
        <v>208</v>
      </c>
      <c r="B667" s="55">
        <v>45992</v>
      </c>
      <c r="C667" s="56" t="s">
        <v>22</v>
      </c>
      <c r="D667" s="56" t="s">
        <v>11</v>
      </c>
      <c r="E667" s="56" t="s">
        <v>207</v>
      </c>
      <c r="F667" s="56" t="s">
        <v>7</v>
      </c>
      <c r="G667" s="57">
        <v>0</v>
      </c>
      <c r="H667" s="58">
        <v>0</v>
      </c>
    </row>
    <row r="668" spans="1:8" x14ac:dyDescent="0.35">
      <c r="A668" s="49" t="s">
        <v>208</v>
      </c>
      <c r="B668" s="50">
        <v>45992</v>
      </c>
      <c r="C668" s="51" t="s">
        <v>22</v>
      </c>
      <c r="D668" s="51" t="s">
        <v>11</v>
      </c>
      <c r="E668" s="51" t="s">
        <v>207</v>
      </c>
      <c r="F668" s="51" t="s">
        <v>8</v>
      </c>
      <c r="G668" s="52">
        <v>0</v>
      </c>
      <c r="H668" s="53">
        <v>0</v>
      </c>
    </row>
    <row r="669" spans="1:8" x14ac:dyDescent="0.35">
      <c r="A669" s="54" t="s">
        <v>208</v>
      </c>
      <c r="B669" s="55">
        <v>45992</v>
      </c>
      <c r="C669" s="56" t="s">
        <v>22</v>
      </c>
      <c r="D669" s="56" t="s">
        <v>11</v>
      </c>
      <c r="E669" s="56" t="s">
        <v>207</v>
      </c>
      <c r="F669" s="56" t="s">
        <v>15</v>
      </c>
      <c r="G669" s="57">
        <v>47210.53</v>
      </c>
      <c r="H669" s="58">
        <v>1875</v>
      </c>
    </row>
    <row r="670" spans="1:8" x14ac:dyDescent="0.35">
      <c r="A670" s="49" t="s">
        <v>208</v>
      </c>
      <c r="B670" s="50">
        <v>45992</v>
      </c>
      <c r="C670" s="51" t="s">
        <v>22</v>
      </c>
      <c r="D670" s="51" t="s">
        <v>11</v>
      </c>
      <c r="E670" s="51" t="s">
        <v>207</v>
      </c>
      <c r="F670" s="51" t="s">
        <v>65</v>
      </c>
      <c r="G670" s="52">
        <v>0</v>
      </c>
      <c r="H670" s="53">
        <v>0</v>
      </c>
    </row>
    <row r="671" spans="1:8" x14ac:dyDescent="0.35">
      <c r="G671">
        <f>SUBTOTAL(9,G2:G670)</f>
        <v>8528577.1529288348</v>
      </c>
    </row>
    <row r="672" spans="1:8" x14ac:dyDescent="0.35">
      <c r="G672" s="13"/>
    </row>
    <row r="673" spans="7:18" x14ac:dyDescent="0.35">
      <c r="G673" s="25">
        <v>5168429.58</v>
      </c>
      <c r="H673" s="65">
        <v>172726</v>
      </c>
    </row>
    <row r="674" spans="7:18" x14ac:dyDescent="0.35">
      <c r="Q674" s="12"/>
      <c r="R674" s="12"/>
    </row>
    <row r="675" spans="7:18" x14ac:dyDescent="0.35">
      <c r="Q675" s="12"/>
      <c r="R675" s="12"/>
    </row>
  </sheetData>
  <autoFilter ref="A1:H670" xr:uid="{631EFAF0-46A2-4712-9A46-325898AFE673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FFED-0FFD-4CC2-ADB8-B81312816131}">
  <dimension ref="A1:J722"/>
  <sheetViews>
    <sheetView topLeftCell="A697" workbookViewId="0">
      <selection activeCell="J706" sqref="J706"/>
    </sheetView>
  </sheetViews>
  <sheetFormatPr defaultRowHeight="14.5" x14ac:dyDescent="0.35"/>
  <cols>
    <col min="2" max="2" width="14.90625" customWidth="1"/>
    <col min="3" max="4" width="16.54296875" customWidth="1"/>
    <col min="5" max="5" width="12.36328125" customWidth="1"/>
    <col min="6" max="6" width="17.6328125" customWidth="1"/>
    <col min="7" max="7" width="16.90625" customWidth="1"/>
    <col min="8" max="8" width="17.08984375" customWidth="1"/>
    <col min="10" max="10" width="14" style="12" bestFit="1" customWidth="1"/>
  </cols>
  <sheetData>
    <row r="1" spans="1:10" x14ac:dyDescent="0.35">
      <c r="A1" s="3" t="s">
        <v>0</v>
      </c>
      <c r="B1" s="3" t="s">
        <v>232</v>
      </c>
      <c r="C1" s="3" t="s">
        <v>233</v>
      </c>
      <c r="D1" s="3" t="s">
        <v>2</v>
      </c>
      <c r="E1" s="3" t="s">
        <v>236</v>
      </c>
      <c r="F1" s="3" t="s">
        <v>4</v>
      </c>
      <c r="G1" s="3" t="s">
        <v>234</v>
      </c>
      <c r="H1" s="3" t="s">
        <v>235</v>
      </c>
    </row>
    <row r="2" spans="1:10" x14ac:dyDescent="0.35">
      <c r="A2" s="49" t="s">
        <v>142</v>
      </c>
      <c r="B2" s="50">
        <v>45658</v>
      </c>
      <c r="C2" s="51" t="s">
        <v>48</v>
      </c>
      <c r="D2" s="51" t="s">
        <v>49</v>
      </c>
      <c r="E2" s="51" t="s">
        <v>52</v>
      </c>
      <c r="F2" s="51" t="s">
        <v>7</v>
      </c>
      <c r="G2" s="52">
        <v>0</v>
      </c>
      <c r="H2" s="53">
        <v>0</v>
      </c>
      <c r="J2"/>
    </row>
    <row r="3" spans="1:10" x14ac:dyDescent="0.35">
      <c r="A3" s="54" t="s">
        <v>142</v>
      </c>
      <c r="B3" s="55">
        <v>45658</v>
      </c>
      <c r="C3" s="56" t="s">
        <v>48</v>
      </c>
      <c r="D3" s="56" t="s">
        <v>49</v>
      </c>
      <c r="E3" s="51" t="s">
        <v>52</v>
      </c>
      <c r="F3" s="56" t="s">
        <v>8</v>
      </c>
      <c r="G3" s="57">
        <v>0</v>
      </c>
      <c r="H3" s="58">
        <v>0</v>
      </c>
      <c r="J3"/>
    </row>
    <row r="4" spans="1:10" x14ac:dyDescent="0.35">
      <c r="A4" s="49" t="s">
        <v>142</v>
      </c>
      <c r="B4" s="50">
        <v>45658</v>
      </c>
      <c r="C4" s="51" t="s">
        <v>48</v>
      </c>
      <c r="D4" s="51" t="s">
        <v>49</v>
      </c>
      <c r="E4" s="51" t="s">
        <v>52</v>
      </c>
      <c r="F4" s="51" t="s">
        <v>15</v>
      </c>
      <c r="G4" s="52">
        <v>89789.370062370057</v>
      </c>
      <c r="H4" s="53">
        <v>2040</v>
      </c>
      <c r="J4" s="12">
        <f>SUMIFS(Receitas!L:L,Receitas!B:B,'BaseRelatório vOrçamento'!B4,Receitas!G:G,'BaseRelatório vOrçamento'!D4,Receitas!H:H,'BaseRelatório vOrçamento'!E4)</f>
        <v>86753.01</v>
      </c>
    </row>
    <row r="5" spans="1:10" x14ac:dyDescent="0.35">
      <c r="A5" s="54" t="s">
        <v>142</v>
      </c>
      <c r="B5" s="55">
        <v>45658</v>
      </c>
      <c r="C5" s="56" t="s">
        <v>48</v>
      </c>
      <c r="D5" s="56" t="s">
        <v>49</v>
      </c>
      <c r="E5" s="51" t="s">
        <v>52</v>
      </c>
      <c r="F5" s="56" t="s">
        <v>65</v>
      </c>
      <c r="G5" s="57">
        <v>0</v>
      </c>
      <c r="H5" s="58">
        <v>0</v>
      </c>
      <c r="J5"/>
    </row>
    <row r="6" spans="1:10" x14ac:dyDescent="0.35">
      <c r="A6" s="49" t="s">
        <v>139</v>
      </c>
      <c r="B6" s="50">
        <v>45658</v>
      </c>
      <c r="C6" s="51" t="s">
        <v>48</v>
      </c>
      <c r="D6" s="51" t="s">
        <v>49</v>
      </c>
      <c r="E6" s="51" t="s">
        <v>14</v>
      </c>
      <c r="F6" s="51" t="s">
        <v>7</v>
      </c>
      <c r="G6" s="52">
        <v>0</v>
      </c>
      <c r="H6" s="53">
        <v>0</v>
      </c>
      <c r="J6"/>
    </row>
    <row r="7" spans="1:10" x14ac:dyDescent="0.35">
      <c r="A7" s="54" t="s">
        <v>139</v>
      </c>
      <c r="B7" s="55">
        <v>45658</v>
      </c>
      <c r="C7" s="56" t="s">
        <v>48</v>
      </c>
      <c r="D7" s="56" t="s">
        <v>49</v>
      </c>
      <c r="E7" s="51" t="s">
        <v>14</v>
      </c>
      <c r="F7" s="56" t="s">
        <v>8</v>
      </c>
      <c r="G7" s="57">
        <v>0</v>
      </c>
      <c r="H7" s="58">
        <v>0</v>
      </c>
      <c r="J7"/>
    </row>
    <row r="8" spans="1:10" x14ac:dyDescent="0.35">
      <c r="A8" s="49" t="s">
        <v>139</v>
      </c>
      <c r="B8" s="50">
        <v>45658</v>
      </c>
      <c r="C8" s="51" t="s">
        <v>48</v>
      </c>
      <c r="D8" s="51" t="s">
        <v>49</v>
      </c>
      <c r="E8" s="51" t="s">
        <v>14</v>
      </c>
      <c r="F8" s="51" t="s">
        <v>15</v>
      </c>
      <c r="G8" s="52">
        <v>28839.059251559258</v>
      </c>
      <c r="H8" s="53">
        <v>1500</v>
      </c>
      <c r="J8" s="12">
        <f>SUMIFS(Receitas!L:L,Receitas!B:B,'BaseRelatório vOrçamento'!B8,Receitas!G:G,'BaseRelatório vOrçamento'!D8,Receitas!H:H,'BaseRelatório vOrçamento'!E8)</f>
        <v>17387.03</v>
      </c>
    </row>
    <row r="9" spans="1:10" x14ac:dyDescent="0.35">
      <c r="A9" s="54" t="s">
        <v>139</v>
      </c>
      <c r="B9" s="55">
        <v>45658</v>
      </c>
      <c r="C9" s="56" t="s">
        <v>48</v>
      </c>
      <c r="D9" s="56" t="s">
        <v>49</v>
      </c>
      <c r="E9" s="51" t="s">
        <v>14</v>
      </c>
      <c r="F9" s="56" t="s">
        <v>65</v>
      </c>
      <c r="G9" s="57">
        <v>0</v>
      </c>
      <c r="H9" s="58">
        <v>0</v>
      </c>
      <c r="J9"/>
    </row>
    <row r="10" spans="1:10" x14ac:dyDescent="0.35">
      <c r="A10" s="49" t="s">
        <v>25</v>
      </c>
      <c r="B10" s="50">
        <v>45658</v>
      </c>
      <c r="C10" s="51" t="s">
        <v>48</v>
      </c>
      <c r="D10" s="51" t="s">
        <v>49</v>
      </c>
      <c r="E10" s="51" t="s">
        <v>116</v>
      </c>
      <c r="F10" s="51" t="s">
        <v>7</v>
      </c>
      <c r="G10" s="52">
        <v>0</v>
      </c>
      <c r="H10" s="53">
        <v>0</v>
      </c>
      <c r="J10"/>
    </row>
    <row r="11" spans="1:10" x14ac:dyDescent="0.35">
      <c r="A11" s="54" t="s">
        <v>25</v>
      </c>
      <c r="B11" s="55">
        <v>45658</v>
      </c>
      <c r="C11" s="56" t="s">
        <v>48</v>
      </c>
      <c r="D11" s="56" t="s">
        <v>49</v>
      </c>
      <c r="E11" s="51" t="s">
        <v>116</v>
      </c>
      <c r="F11" s="56" t="s">
        <v>8</v>
      </c>
      <c r="G11" s="57">
        <v>0</v>
      </c>
      <c r="H11" s="58">
        <v>0</v>
      </c>
      <c r="J11"/>
    </row>
    <row r="12" spans="1:10" x14ac:dyDescent="0.35">
      <c r="A12" s="49" t="s">
        <v>25</v>
      </c>
      <c r="B12" s="50">
        <v>45658</v>
      </c>
      <c r="C12" s="51" t="s">
        <v>48</v>
      </c>
      <c r="D12" s="51" t="s">
        <v>49</v>
      </c>
      <c r="E12" s="51" t="s">
        <v>116</v>
      </c>
      <c r="F12" s="51" t="s">
        <v>15</v>
      </c>
      <c r="G12" s="52">
        <v>9355.5093555093554</v>
      </c>
      <c r="H12" s="53">
        <v>300</v>
      </c>
      <c r="J12" s="12">
        <f>SUMIFS(Receitas!L:L,Receitas!B:B,'BaseRelatório vOrçamento'!B12,Receitas!G:G,'BaseRelatório vOrçamento'!D12,Receitas!H:H,'BaseRelatório vOrçamento'!E12)</f>
        <v>0</v>
      </c>
    </row>
    <row r="13" spans="1:10" x14ac:dyDescent="0.35">
      <c r="A13" s="54" t="s">
        <v>25</v>
      </c>
      <c r="B13" s="55">
        <v>45658</v>
      </c>
      <c r="C13" s="56" t="s">
        <v>48</v>
      </c>
      <c r="D13" s="56" t="s">
        <v>49</v>
      </c>
      <c r="E13" s="51" t="s">
        <v>116</v>
      </c>
      <c r="F13" s="56" t="s">
        <v>65</v>
      </c>
      <c r="G13" s="57">
        <v>0</v>
      </c>
      <c r="H13" s="58">
        <v>0</v>
      </c>
      <c r="J13"/>
    </row>
    <row r="14" spans="1:10" x14ac:dyDescent="0.35">
      <c r="A14" s="49" t="s">
        <v>102</v>
      </c>
      <c r="B14" s="50">
        <v>45658</v>
      </c>
      <c r="C14" s="51" t="s">
        <v>48</v>
      </c>
      <c r="D14" s="51" t="s">
        <v>49</v>
      </c>
      <c r="E14" s="51" t="s">
        <v>51</v>
      </c>
      <c r="F14" s="51" t="s">
        <v>7</v>
      </c>
      <c r="G14" s="52">
        <v>0</v>
      </c>
      <c r="H14" s="53">
        <v>0</v>
      </c>
      <c r="J14"/>
    </row>
    <row r="15" spans="1:10" x14ac:dyDescent="0.35">
      <c r="A15" s="54" t="s">
        <v>102</v>
      </c>
      <c r="B15" s="55">
        <v>45658</v>
      </c>
      <c r="C15" s="56" t="s">
        <v>48</v>
      </c>
      <c r="D15" s="56" t="s">
        <v>49</v>
      </c>
      <c r="E15" s="51" t="s">
        <v>51</v>
      </c>
      <c r="F15" s="56" t="s">
        <v>8</v>
      </c>
      <c r="G15" s="57">
        <v>0</v>
      </c>
      <c r="H15" s="58">
        <v>0</v>
      </c>
      <c r="J15"/>
    </row>
    <row r="16" spans="1:10" x14ac:dyDescent="0.35">
      <c r="A16" s="49" t="s">
        <v>102</v>
      </c>
      <c r="B16" s="50">
        <v>45658</v>
      </c>
      <c r="C16" s="51" t="s">
        <v>48</v>
      </c>
      <c r="D16" s="51" t="s">
        <v>49</v>
      </c>
      <c r="E16" s="51" t="s">
        <v>51</v>
      </c>
      <c r="F16" s="51" t="s">
        <v>15</v>
      </c>
      <c r="G16" s="52">
        <v>226720.94594594592</v>
      </c>
      <c r="H16" s="53">
        <v>6500</v>
      </c>
      <c r="J16" s="12">
        <f>SUMIFS(Receitas!L:L,Receitas!B:B,'BaseRelatório vOrçamento'!B16,Receitas!G:G,'BaseRelatório vOrçamento'!D16,Receitas!H:H,'BaseRelatório vOrçamento'!E16)</f>
        <v>219054.05</v>
      </c>
    </row>
    <row r="17" spans="1:10" x14ac:dyDescent="0.35">
      <c r="A17" s="54" t="s">
        <v>102</v>
      </c>
      <c r="B17" s="55">
        <v>45658</v>
      </c>
      <c r="C17" s="56" t="s">
        <v>48</v>
      </c>
      <c r="D17" s="56" t="s">
        <v>49</v>
      </c>
      <c r="E17" s="51" t="s">
        <v>51</v>
      </c>
      <c r="F17" s="56" t="s">
        <v>65</v>
      </c>
      <c r="G17" s="57">
        <v>0</v>
      </c>
      <c r="H17" s="58">
        <v>0</v>
      </c>
      <c r="J17"/>
    </row>
    <row r="18" spans="1:10" x14ac:dyDescent="0.35">
      <c r="A18" s="49" t="s">
        <v>118</v>
      </c>
      <c r="B18" s="50">
        <v>45658</v>
      </c>
      <c r="C18" s="51" t="s">
        <v>22</v>
      </c>
      <c r="D18" s="51" t="s">
        <v>11</v>
      </c>
      <c r="E18" s="51" t="s">
        <v>209</v>
      </c>
      <c r="F18" s="51" t="s">
        <v>7</v>
      </c>
      <c r="G18" s="52">
        <v>0</v>
      </c>
      <c r="H18" s="53">
        <v>0</v>
      </c>
      <c r="J18"/>
    </row>
    <row r="19" spans="1:10" x14ac:dyDescent="0.35">
      <c r="A19" s="54" t="s">
        <v>118</v>
      </c>
      <c r="B19" s="55">
        <v>45658</v>
      </c>
      <c r="C19" s="56" t="s">
        <v>22</v>
      </c>
      <c r="D19" s="56" t="s">
        <v>11</v>
      </c>
      <c r="E19" s="51" t="s">
        <v>209</v>
      </c>
      <c r="F19" s="56" t="s">
        <v>8</v>
      </c>
      <c r="G19" s="57">
        <v>0</v>
      </c>
      <c r="H19" s="58">
        <v>0</v>
      </c>
      <c r="J19"/>
    </row>
    <row r="20" spans="1:10" x14ac:dyDescent="0.35">
      <c r="A20" s="49" t="s">
        <v>190</v>
      </c>
      <c r="B20" s="50">
        <v>45658</v>
      </c>
      <c r="C20" s="51" t="s">
        <v>22</v>
      </c>
      <c r="D20" s="51" t="s">
        <v>11</v>
      </c>
      <c r="E20" s="51" t="s">
        <v>116</v>
      </c>
      <c r="F20" s="51" t="s">
        <v>15</v>
      </c>
      <c r="G20" s="52">
        <v>56842.1052631579</v>
      </c>
      <c r="H20" s="53">
        <v>2000</v>
      </c>
      <c r="J20" s="12">
        <f>SUMIFS(Receitas!L:L,Receitas!B:B,'BaseRelatório vOrçamento'!B20,Receitas!G:G,'BaseRelatório vOrçamento'!D20,Receitas!H:H,'BaseRelatório vOrçamento'!E20)</f>
        <v>0</v>
      </c>
    </row>
    <row r="21" spans="1:10" x14ac:dyDescent="0.35">
      <c r="A21" s="54" t="s">
        <v>118</v>
      </c>
      <c r="B21" s="55">
        <v>45658</v>
      </c>
      <c r="C21" s="56" t="s">
        <v>22</v>
      </c>
      <c r="D21" s="56" t="s">
        <v>11</v>
      </c>
      <c r="E21" s="51" t="s">
        <v>209</v>
      </c>
      <c r="F21" s="56" t="s">
        <v>65</v>
      </c>
      <c r="G21" s="57">
        <v>0</v>
      </c>
      <c r="H21" s="58">
        <v>0</v>
      </c>
      <c r="J21"/>
    </row>
    <row r="22" spans="1:10" x14ac:dyDescent="0.35">
      <c r="A22" s="49" t="s">
        <v>172</v>
      </c>
      <c r="B22" s="50">
        <v>45658</v>
      </c>
      <c r="C22" s="51" t="s">
        <v>22</v>
      </c>
      <c r="D22" s="51" t="s">
        <v>11</v>
      </c>
      <c r="E22" s="51" t="s">
        <v>13</v>
      </c>
      <c r="F22" s="51" t="s">
        <v>7</v>
      </c>
      <c r="G22" s="52">
        <v>0</v>
      </c>
      <c r="H22" s="53">
        <v>0</v>
      </c>
      <c r="J22"/>
    </row>
    <row r="23" spans="1:10" x14ac:dyDescent="0.35">
      <c r="A23" s="54" t="s">
        <v>172</v>
      </c>
      <c r="B23" s="55">
        <v>45658</v>
      </c>
      <c r="C23" s="56" t="s">
        <v>22</v>
      </c>
      <c r="D23" s="56" t="s">
        <v>11</v>
      </c>
      <c r="E23" s="51" t="s">
        <v>13</v>
      </c>
      <c r="F23" s="56" t="s">
        <v>8</v>
      </c>
      <c r="G23" s="57">
        <v>0</v>
      </c>
      <c r="H23" s="58">
        <v>0</v>
      </c>
      <c r="J23"/>
    </row>
    <row r="24" spans="1:10" x14ac:dyDescent="0.35">
      <c r="A24" s="49" t="s">
        <v>172</v>
      </c>
      <c r="B24" s="50">
        <v>45658</v>
      </c>
      <c r="C24" s="51" t="s">
        <v>22</v>
      </c>
      <c r="D24" s="51" t="s">
        <v>11</v>
      </c>
      <c r="E24" s="51" t="s">
        <v>13</v>
      </c>
      <c r="F24" s="51" t="s">
        <v>15</v>
      </c>
      <c r="G24" s="52">
        <v>0</v>
      </c>
      <c r="H24" s="53">
        <v>0</v>
      </c>
      <c r="J24" s="12">
        <f>SUMIFS(Receitas!L:L,Receitas!B:B,'BaseRelatório vOrçamento'!B24,Receitas!G:G,'BaseRelatório vOrçamento'!D24,Receitas!H:H,'BaseRelatório vOrçamento'!E24)</f>
        <v>0</v>
      </c>
    </row>
    <row r="25" spans="1:10" x14ac:dyDescent="0.35">
      <c r="A25" s="54" t="s">
        <v>172</v>
      </c>
      <c r="B25" s="55">
        <v>45658</v>
      </c>
      <c r="C25" s="56" t="s">
        <v>22</v>
      </c>
      <c r="D25" s="56" t="s">
        <v>11</v>
      </c>
      <c r="E25" s="51" t="s">
        <v>13</v>
      </c>
      <c r="F25" s="56" t="s">
        <v>65</v>
      </c>
      <c r="G25" s="57">
        <v>0</v>
      </c>
      <c r="H25" s="58">
        <v>0</v>
      </c>
      <c r="J25"/>
    </row>
    <row r="26" spans="1:10" x14ac:dyDescent="0.35">
      <c r="A26" s="49" t="s">
        <v>149</v>
      </c>
      <c r="B26" s="50">
        <v>45658</v>
      </c>
      <c r="C26" s="51" t="s">
        <v>23</v>
      </c>
      <c r="D26" s="51" t="s">
        <v>112</v>
      </c>
      <c r="E26" s="51" t="s">
        <v>113</v>
      </c>
      <c r="F26" s="51" t="s">
        <v>7</v>
      </c>
      <c r="G26" s="52">
        <v>0</v>
      </c>
      <c r="H26" s="53">
        <v>0</v>
      </c>
      <c r="J26"/>
    </row>
    <row r="27" spans="1:10" x14ac:dyDescent="0.35">
      <c r="A27" s="54" t="s">
        <v>149</v>
      </c>
      <c r="B27" s="55">
        <v>45658</v>
      </c>
      <c r="C27" s="56" t="s">
        <v>23</v>
      </c>
      <c r="D27" s="56" t="s">
        <v>112</v>
      </c>
      <c r="E27" s="51" t="s">
        <v>113</v>
      </c>
      <c r="F27" s="56" t="s">
        <v>8</v>
      </c>
      <c r="G27" s="57">
        <v>0</v>
      </c>
      <c r="H27" s="58">
        <v>0</v>
      </c>
      <c r="J27"/>
    </row>
    <row r="28" spans="1:10" x14ac:dyDescent="0.35">
      <c r="A28" s="49" t="s">
        <v>149</v>
      </c>
      <c r="B28" s="50">
        <v>45658</v>
      </c>
      <c r="C28" s="51" t="s">
        <v>23</v>
      </c>
      <c r="D28" s="51" t="s">
        <v>112</v>
      </c>
      <c r="E28" s="51" t="s">
        <v>113</v>
      </c>
      <c r="F28" s="51" t="s">
        <v>15</v>
      </c>
      <c r="G28" s="52">
        <v>86210.526315789481</v>
      </c>
      <c r="H28" s="53">
        <v>4200</v>
      </c>
      <c r="J28" s="12">
        <f>SUMIFS(Receitas!L:L,Receitas!B:B,'BaseRelatório vOrçamento'!B28,Receitas!G:G,'BaseRelatório vOrçamento'!D28,Receitas!H:H,'BaseRelatório vOrçamento'!E28)</f>
        <v>0</v>
      </c>
    </row>
    <row r="29" spans="1:10" x14ac:dyDescent="0.35">
      <c r="A29" s="54" t="s">
        <v>149</v>
      </c>
      <c r="B29" s="55">
        <v>45658</v>
      </c>
      <c r="C29" s="56" t="s">
        <v>23</v>
      </c>
      <c r="D29" s="56" t="s">
        <v>112</v>
      </c>
      <c r="E29" s="51" t="s">
        <v>113</v>
      </c>
      <c r="F29" s="56" t="s">
        <v>65</v>
      </c>
      <c r="G29" s="57">
        <v>0</v>
      </c>
      <c r="H29" s="58">
        <v>0</v>
      </c>
      <c r="J29"/>
    </row>
    <row r="30" spans="1:10" x14ac:dyDescent="0.35">
      <c r="A30" s="49" t="s">
        <v>150</v>
      </c>
      <c r="B30" s="50">
        <v>45658</v>
      </c>
      <c r="C30" s="51" t="s">
        <v>46</v>
      </c>
      <c r="D30" s="51" t="s">
        <v>87</v>
      </c>
      <c r="E30" s="51" t="s">
        <v>9</v>
      </c>
      <c r="F30" s="51" t="s">
        <v>7</v>
      </c>
      <c r="G30" s="52">
        <v>0</v>
      </c>
      <c r="H30" s="53">
        <v>0</v>
      </c>
      <c r="J30"/>
    </row>
    <row r="31" spans="1:10" x14ac:dyDescent="0.35">
      <c r="A31" s="54" t="s">
        <v>150</v>
      </c>
      <c r="B31" s="55">
        <v>45658</v>
      </c>
      <c r="C31" s="56" t="s">
        <v>46</v>
      </c>
      <c r="D31" s="56" t="s">
        <v>87</v>
      </c>
      <c r="E31" s="51" t="s">
        <v>9</v>
      </c>
      <c r="F31" s="56" t="s">
        <v>8</v>
      </c>
      <c r="G31" s="57">
        <v>0</v>
      </c>
      <c r="H31" s="58">
        <v>0</v>
      </c>
      <c r="J31"/>
    </row>
    <row r="32" spans="1:10" x14ac:dyDescent="0.35">
      <c r="A32" s="49" t="s">
        <v>150</v>
      </c>
      <c r="B32" s="50">
        <v>45658</v>
      </c>
      <c r="C32" s="51" t="s">
        <v>46</v>
      </c>
      <c r="D32" s="51" t="s">
        <v>87</v>
      </c>
      <c r="E32" s="51" t="s">
        <v>9</v>
      </c>
      <c r="F32" s="51" t="s">
        <v>15</v>
      </c>
      <c r="G32" s="52">
        <v>137499.15789473685</v>
      </c>
      <c r="H32" s="53">
        <v>4200</v>
      </c>
      <c r="J32" s="12">
        <f>SUMIFS(Receitas!L:L,Receitas!B:B,'BaseRelatório vOrçamento'!B32,Receitas!G:G,'BaseRelatório vOrçamento'!D32,Receitas!H:H,'BaseRelatório vOrçamento'!E32)</f>
        <v>68037.593999999997</v>
      </c>
    </row>
    <row r="33" spans="1:10" x14ac:dyDescent="0.35">
      <c r="A33" s="54" t="s">
        <v>150</v>
      </c>
      <c r="B33" s="55">
        <v>45658</v>
      </c>
      <c r="C33" s="56" t="s">
        <v>46</v>
      </c>
      <c r="D33" s="56" t="s">
        <v>87</v>
      </c>
      <c r="E33" s="51" t="s">
        <v>9</v>
      </c>
      <c r="F33" s="56" t="s">
        <v>65</v>
      </c>
      <c r="G33" s="57">
        <v>0</v>
      </c>
      <c r="H33" s="58">
        <v>0</v>
      </c>
      <c r="J33"/>
    </row>
    <row r="34" spans="1:10" x14ac:dyDescent="0.35">
      <c r="A34" s="49" t="s">
        <v>166</v>
      </c>
      <c r="B34" s="50">
        <v>45658</v>
      </c>
      <c r="C34" s="51" t="s">
        <v>25</v>
      </c>
      <c r="D34" s="51" t="s">
        <v>12</v>
      </c>
      <c r="E34" s="51" t="s">
        <v>9</v>
      </c>
      <c r="F34" s="51" t="s">
        <v>7</v>
      </c>
      <c r="G34" s="52">
        <v>0</v>
      </c>
      <c r="H34" s="53">
        <v>0</v>
      </c>
      <c r="J34"/>
    </row>
    <row r="35" spans="1:10" x14ac:dyDescent="0.35">
      <c r="A35" s="54" t="s">
        <v>166</v>
      </c>
      <c r="B35" s="55">
        <v>45658</v>
      </c>
      <c r="C35" s="56" t="s">
        <v>25</v>
      </c>
      <c r="D35" s="56" t="s">
        <v>12</v>
      </c>
      <c r="E35" s="51" t="s">
        <v>9</v>
      </c>
      <c r="F35" s="56" t="s">
        <v>8</v>
      </c>
      <c r="G35" s="57">
        <v>0</v>
      </c>
      <c r="H35" s="58">
        <v>0</v>
      </c>
      <c r="J35"/>
    </row>
    <row r="36" spans="1:10" x14ac:dyDescent="0.35">
      <c r="A36" s="49" t="s">
        <v>166</v>
      </c>
      <c r="B36" s="50">
        <v>45658</v>
      </c>
      <c r="C36" s="51" t="s">
        <v>25</v>
      </c>
      <c r="D36" s="51" t="s">
        <v>12</v>
      </c>
      <c r="E36" s="51" t="s">
        <v>9</v>
      </c>
      <c r="F36" s="51" t="s">
        <v>15</v>
      </c>
      <c r="G36" s="52">
        <v>164947.60916666666</v>
      </c>
      <c r="H36" s="53">
        <v>6100</v>
      </c>
      <c r="J36" s="12">
        <f>SUMIFS(Receitas!L:L,Receitas!B:B,'BaseRelatório vOrçamento'!B36,Receitas!G:G,'BaseRelatório vOrçamento'!D36,Receitas!H:H,'BaseRelatório vOrçamento'!E36)</f>
        <v>155620.193</v>
      </c>
    </row>
    <row r="37" spans="1:10" x14ac:dyDescent="0.35">
      <c r="A37" s="54" t="s">
        <v>166</v>
      </c>
      <c r="B37" s="55">
        <v>45658</v>
      </c>
      <c r="C37" s="56" t="s">
        <v>25</v>
      </c>
      <c r="D37" s="56" t="s">
        <v>12</v>
      </c>
      <c r="E37" s="51" t="s">
        <v>9</v>
      </c>
      <c r="F37" s="56" t="s">
        <v>65</v>
      </c>
      <c r="G37" s="57">
        <v>0</v>
      </c>
      <c r="H37" s="58">
        <v>0</v>
      </c>
      <c r="J37"/>
    </row>
    <row r="38" spans="1:10" x14ac:dyDescent="0.35">
      <c r="A38" s="49" t="s">
        <v>134</v>
      </c>
      <c r="B38" s="50">
        <v>45658</v>
      </c>
      <c r="C38" s="51" t="s">
        <v>57</v>
      </c>
      <c r="D38" s="51" t="s">
        <v>58</v>
      </c>
      <c r="E38" s="51" t="s">
        <v>10</v>
      </c>
      <c r="F38" s="51" t="s">
        <v>7</v>
      </c>
      <c r="G38" s="52">
        <v>0</v>
      </c>
      <c r="H38" s="53">
        <v>0</v>
      </c>
      <c r="J38"/>
    </row>
    <row r="39" spans="1:10" x14ac:dyDescent="0.35">
      <c r="A39" s="54" t="s">
        <v>134</v>
      </c>
      <c r="B39" s="55">
        <v>45658</v>
      </c>
      <c r="C39" s="56" t="s">
        <v>57</v>
      </c>
      <c r="D39" s="56" t="s">
        <v>58</v>
      </c>
      <c r="E39" s="51" t="s">
        <v>10</v>
      </c>
      <c r="F39" s="56" t="s">
        <v>8</v>
      </c>
      <c r="G39" s="57">
        <v>0</v>
      </c>
      <c r="H39" s="58">
        <v>0</v>
      </c>
      <c r="J39"/>
    </row>
    <row r="40" spans="1:10" x14ac:dyDescent="0.35">
      <c r="A40" s="49" t="s">
        <v>134</v>
      </c>
      <c r="B40" s="50">
        <v>45658</v>
      </c>
      <c r="C40" s="51" t="s">
        <v>57</v>
      </c>
      <c r="D40" s="51" t="s">
        <v>58</v>
      </c>
      <c r="E40" s="51" t="s">
        <v>10</v>
      </c>
      <c r="F40" s="51" t="s">
        <v>15</v>
      </c>
      <c r="G40" s="52">
        <v>16703.076923076926</v>
      </c>
      <c r="H40" s="53">
        <v>550</v>
      </c>
      <c r="J40" s="12">
        <f>SUMIFS(Receitas!L:L,Receitas!B:B,'BaseRelatório vOrçamento'!B40,Receitas!G:G,'BaseRelatório vOrçamento'!D40,Receitas!H:H,'BaseRelatório vOrçamento'!E40)</f>
        <v>32571</v>
      </c>
    </row>
    <row r="41" spans="1:10" x14ac:dyDescent="0.35">
      <c r="A41" s="54" t="s">
        <v>134</v>
      </c>
      <c r="B41" s="55">
        <v>45658</v>
      </c>
      <c r="C41" s="56" t="s">
        <v>57</v>
      </c>
      <c r="D41" s="56" t="s">
        <v>58</v>
      </c>
      <c r="E41" s="51" t="s">
        <v>10</v>
      </c>
      <c r="F41" s="56" t="s">
        <v>65</v>
      </c>
      <c r="G41" s="57">
        <v>0</v>
      </c>
      <c r="H41" s="58">
        <v>0</v>
      </c>
      <c r="J41"/>
    </row>
    <row r="42" spans="1:10" x14ac:dyDescent="0.35">
      <c r="A42" s="59">
        <v>20105</v>
      </c>
      <c r="B42" s="50">
        <v>45658</v>
      </c>
      <c r="C42" s="51" t="s">
        <v>26</v>
      </c>
      <c r="D42" s="51" t="s">
        <v>19</v>
      </c>
      <c r="E42" s="51" t="s">
        <v>209</v>
      </c>
      <c r="F42" s="51" t="s">
        <v>7</v>
      </c>
      <c r="G42" s="52">
        <v>0</v>
      </c>
      <c r="H42" s="53">
        <v>0</v>
      </c>
      <c r="J42"/>
    </row>
    <row r="43" spans="1:10" x14ac:dyDescent="0.35">
      <c r="A43" s="60">
        <v>20105</v>
      </c>
      <c r="B43" s="55">
        <v>45658</v>
      </c>
      <c r="C43" s="56" t="s">
        <v>26</v>
      </c>
      <c r="D43" s="56" t="s">
        <v>19</v>
      </c>
      <c r="E43" s="51" t="s">
        <v>209</v>
      </c>
      <c r="F43" s="56" t="s">
        <v>8</v>
      </c>
      <c r="G43" s="57">
        <v>0</v>
      </c>
      <c r="H43" s="58">
        <v>0</v>
      </c>
      <c r="J43"/>
    </row>
    <row r="44" spans="1:10" x14ac:dyDescent="0.35">
      <c r="A44" s="59">
        <v>20105</v>
      </c>
      <c r="B44" s="50">
        <v>45658</v>
      </c>
      <c r="C44" s="51" t="s">
        <v>26</v>
      </c>
      <c r="D44" s="51" t="s">
        <v>19</v>
      </c>
      <c r="E44" s="51" t="s">
        <v>13</v>
      </c>
      <c r="F44" s="51" t="s">
        <v>15</v>
      </c>
      <c r="G44" s="52">
        <v>16282.577319587626</v>
      </c>
      <c r="H44" s="53">
        <v>545</v>
      </c>
      <c r="J44" s="12">
        <f>SUMIFS(Receitas!L:L,Receitas!B:B,'BaseRelatório vOrçamento'!B44,Receitas!G:G,'BaseRelatório vOrçamento'!D44,Receitas!H:H,'BaseRelatório vOrçamento'!E44)</f>
        <v>15260</v>
      </c>
    </row>
    <row r="45" spans="1:10" x14ac:dyDescent="0.35">
      <c r="A45" s="60">
        <v>20105</v>
      </c>
      <c r="B45" s="55">
        <v>45658</v>
      </c>
      <c r="C45" s="56" t="s">
        <v>26</v>
      </c>
      <c r="D45" s="56" t="s">
        <v>19</v>
      </c>
      <c r="E45" s="51" t="s">
        <v>209</v>
      </c>
      <c r="F45" s="56" t="s">
        <v>65</v>
      </c>
      <c r="G45" s="57">
        <v>0</v>
      </c>
      <c r="H45" s="58">
        <v>0</v>
      </c>
      <c r="J45"/>
    </row>
    <row r="46" spans="1:10" x14ac:dyDescent="0.35">
      <c r="A46" s="49" t="s">
        <v>142</v>
      </c>
      <c r="B46" s="50">
        <v>45689</v>
      </c>
      <c r="C46" s="51" t="s">
        <v>48</v>
      </c>
      <c r="D46" s="51" t="s">
        <v>49</v>
      </c>
      <c r="E46" s="51" t="s">
        <v>52</v>
      </c>
      <c r="F46" s="51" t="s">
        <v>7</v>
      </c>
      <c r="G46" s="52">
        <v>0</v>
      </c>
      <c r="H46" s="53">
        <v>0</v>
      </c>
      <c r="J46"/>
    </row>
    <row r="47" spans="1:10" x14ac:dyDescent="0.35">
      <c r="A47" s="54" t="s">
        <v>142</v>
      </c>
      <c r="B47" s="55">
        <v>45689</v>
      </c>
      <c r="C47" s="56" t="s">
        <v>48</v>
      </c>
      <c r="D47" s="56" t="s">
        <v>49</v>
      </c>
      <c r="E47" s="51" t="s">
        <v>52</v>
      </c>
      <c r="F47" s="56" t="s">
        <v>8</v>
      </c>
      <c r="G47" s="57">
        <v>0</v>
      </c>
      <c r="H47" s="58">
        <v>0</v>
      </c>
      <c r="J47"/>
    </row>
    <row r="48" spans="1:10" x14ac:dyDescent="0.35">
      <c r="A48" s="49" t="s">
        <v>142</v>
      </c>
      <c r="B48" s="50">
        <v>45689</v>
      </c>
      <c r="C48" s="51" t="s">
        <v>48</v>
      </c>
      <c r="D48" s="51" t="s">
        <v>49</v>
      </c>
      <c r="E48" s="51" t="s">
        <v>52</v>
      </c>
      <c r="F48" s="51" t="s">
        <v>15</v>
      </c>
      <c r="G48" s="52">
        <v>89789.370062370057</v>
      </c>
      <c r="H48" s="53">
        <v>2040</v>
      </c>
      <c r="J48" s="12">
        <f>SUMIFS(Receitas!L:L,Receitas!B:B,'BaseRelatório vOrçamento'!B48,Receitas!G:G,'BaseRelatório vOrçamento'!D48,Receitas!H:H,'BaseRelatório vOrçamento'!E48)</f>
        <v>83456.399999999994</v>
      </c>
    </row>
    <row r="49" spans="1:10" x14ac:dyDescent="0.35">
      <c r="A49" s="54" t="s">
        <v>142</v>
      </c>
      <c r="B49" s="55">
        <v>45689</v>
      </c>
      <c r="C49" s="56" t="s">
        <v>48</v>
      </c>
      <c r="D49" s="56" t="s">
        <v>49</v>
      </c>
      <c r="E49" s="51" t="s">
        <v>52</v>
      </c>
      <c r="F49" s="56" t="s">
        <v>65</v>
      </c>
      <c r="G49" s="57">
        <v>0</v>
      </c>
      <c r="H49" s="58">
        <v>0</v>
      </c>
      <c r="J49"/>
    </row>
    <row r="50" spans="1:10" x14ac:dyDescent="0.35">
      <c r="A50" s="49" t="s">
        <v>139</v>
      </c>
      <c r="B50" s="50">
        <v>45689</v>
      </c>
      <c r="C50" s="51" t="s">
        <v>48</v>
      </c>
      <c r="D50" s="51" t="s">
        <v>49</v>
      </c>
      <c r="E50" s="51" t="s">
        <v>14</v>
      </c>
      <c r="F50" s="51" t="s">
        <v>7</v>
      </c>
      <c r="G50" s="52">
        <v>0</v>
      </c>
      <c r="H50" s="53">
        <v>0</v>
      </c>
      <c r="J50"/>
    </row>
    <row r="51" spans="1:10" x14ac:dyDescent="0.35">
      <c r="A51" s="54" t="s">
        <v>139</v>
      </c>
      <c r="B51" s="55">
        <v>45689</v>
      </c>
      <c r="C51" s="56" t="s">
        <v>48</v>
      </c>
      <c r="D51" s="56" t="s">
        <v>49</v>
      </c>
      <c r="E51" s="51" t="s">
        <v>14</v>
      </c>
      <c r="F51" s="56" t="s">
        <v>8</v>
      </c>
      <c r="G51" s="57">
        <v>0</v>
      </c>
      <c r="H51" s="58">
        <v>0</v>
      </c>
      <c r="J51"/>
    </row>
    <row r="52" spans="1:10" x14ac:dyDescent="0.35">
      <c r="A52" s="49" t="s">
        <v>139</v>
      </c>
      <c r="B52" s="50">
        <v>45689</v>
      </c>
      <c r="C52" s="51" t="s">
        <v>48</v>
      </c>
      <c r="D52" s="51" t="s">
        <v>49</v>
      </c>
      <c r="E52" s="51" t="s">
        <v>14</v>
      </c>
      <c r="F52" s="51" t="s">
        <v>15</v>
      </c>
      <c r="G52" s="52">
        <v>28839.059251559258</v>
      </c>
      <c r="H52" s="53">
        <v>1500</v>
      </c>
      <c r="J52" s="12">
        <f>SUMIFS(Receitas!L:L,Receitas!B:B,'BaseRelatório vOrçamento'!B52,Receitas!G:G,'BaseRelatório vOrçamento'!D52,Receitas!H:H,'BaseRelatório vOrçamento'!E52)</f>
        <v>16726.32</v>
      </c>
    </row>
    <row r="53" spans="1:10" x14ac:dyDescent="0.35">
      <c r="A53" s="54" t="s">
        <v>139</v>
      </c>
      <c r="B53" s="55">
        <v>45689</v>
      </c>
      <c r="C53" s="56" t="s">
        <v>48</v>
      </c>
      <c r="D53" s="56" t="s">
        <v>49</v>
      </c>
      <c r="E53" s="51" t="s">
        <v>14</v>
      </c>
      <c r="F53" s="56" t="s">
        <v>65</v>
      </c>
      <c r="G53" s="57">
        <v>0</v>
      </c>
      <c r="H53" s="58">
        <v>0</v>
      </c>
      <c r="J53"/>
    </row>
    <row r="54" spans="1:10" x14ac:dyDescent="0.35">
      <c r="A54" s="49" t="s">
        <v>25</v>
      </c>
      <c r="B54" s="50">
        <v>45689</v>
      </c>
      <c r="C54" s="51" t="s">
        <v>48</v>
      </c>
      <c r="D54" s="51" t="s">
        <v>49</v>
      </c>
      <c r="E54" s="51" t="s">
        <v>116</v>
      </c>
      <c r="F54" s="51" t="s">
        <v>7</v>
      </c>
      <c r="G54" s="52">
        <v>0</v>
      </c>
      <c r="H54" s="53">
        <v>0</v>
      </c>
      <c r="J54"/>
    </row>
    <row r="55" spans="1:10" x14ac:dyDescent="0.35">
      <c r="A55" s="54" t="s">
        <v>25</v>
      </c>
      <c r="B55" s="55">
        <v>45689</v>
      </c>
      <c r="C55" s="56" t="s">
        <v>48</v>
      </c>
      <c r="D55" s="56" t="s">
        <v>49</v>
      </c>
      <c r="E55" s="51" t="s">
        <v>116</v>
      </c>
      <c r="F55" s="56" t="s">
        <v>8</v>
      </c>
      <c r="G55" s="57">
        <v>0</v>
      </c>
      <c r="H55" s="58">
        <v>0</v>
      </c>
      <c r="J55"/>
    </row>
    <row r="56" spans="1:10" x14ac:dyDescent="0.35">
      <c r="A56" s="49" t="s">
        <v>25</v>
      </c>
      <c r="B56" s="50">
        <v>45689</v>
      </c>
      <c r="C56" s="51" t="s">
        <v>48</v>
      </c>
      <c r="D56" s="51" t="s">
        <v>49</v>
      </c>
      <c r="E56" s="51" t="s">
        <v>116</v>
      </c>
      <c r="F56" s="51" t="s">
        <v>15</v>
      </c>
      <c r="G56" s="52">
        <v>9729.72972972973</v>
      </c>
      <c r="H56" s="53">
        <v>300</v>
      </c>
      <c r="J56" s="12">
        <f>SUMIFS(Receitas!L:L,Receitas!B:B,'BaseRelatório vOrçamento'!B56,Receitas!G:G,'BaseRelatório vOrçamento'!D56,Receitas!H:H,'BaseRelatório vOrçamento'!E56)</f>
        <v>0</v>
      </c>
    </row>
    <row r="57" spans="1:10" x14ac:dyDescent="0.35">
      <c r="A57" s="54" t="s">
        <v>25</v>
      </c>
      <c r="B57" s="55">
        <v>45689</v>
      </c>
      <c r="C57" s="56" t="s">
        <v>48</v>
      </c>
      <c r="D57" s="56" t="s">
        <v>49</v>
      </c>
      <c r="E57" s="51" t="s">
        <v>116</v>
      </c>
      <c r="F57" s="56" t="s">
        <v>65</v>
      </c>
      <c r="G57" s="57">
        <v>0</v>
      </c>
      <c r="H57" s="58">
        <v>0</v>
      </c>
      <c r="J57"/>
    </row>
    <row r="58" spans="1:10" x14ac:dyDescent="0.35">
      <c r="A58" s="49" t="s">
        <v>102</v>
      </c>
      <c r="B58" s="50">
        <v>45689</v>
      </c>
      <c r="C58" s="51" t="s">
        <v>48</v>
      </c>
      <c r="D58" s="51" t="s">
        <v>49</v>
      </c>
      <c r="E58" s="51" t="s">
        <v>51</v>
      </c>
      <c r="F58" s="51" t="s">
        <v>7</v>
      </c>
      <c r="G58" s="52">
        <v>0</v>
      </c>
      <c r="H58" s="53">
        <v>0</v>
      </c>
      <c r="J58"/>
    </row>
    <row r="59" spans="1:10" x14ac:dyDescent="0.35">
      <c r="A59" s="54" t="s">
        <v>102</v>
      </c>
      <c r="B59" s="55">
        <v>45689</v>
      </c>
      <c r="C59" s="56" t="s">
        <v>48</v>
      </c>
      <c r="D59" s="56" t="s">
        <v>49</v>
      </c>
      <c r="E59" s="51" t="s">
        <v>51</v>
      </c>
      <c r="F59" s="56" t="s">
        <v>8</v>
      </c>
      <c r="G59" s="57">
        <v>0</v>
      </c>
      <c r="H59" s="58">
        <v>0</v>
      </c>
      <c r="J59"/>
    </row>
    <row r="60" spans="1:10" x14ac:dyDescent="0.35">
      <c r="A60" s="49" t="s">
        <v>102</v>
      </c>
      <c r="B60" s="50">
        <v>45689</v>
      </c>
      <c r="C60" s="51" t="s">
        <v>48</v>
      </c>
      <c r="D60" s="51" t="s">
        <v>49</v>
      </c>
      <c r="E60" s="51" t="s">
        <v>51</v>
      </c>
      <c r="F60" s="51" t="s">
        <v>15</v>
      </c>
      <c r="G60" s="52">
        <v>226720.94594594592</v>
      </c>
      <c r="H60" s="53">
        <v>6500</v>
      </c>
      <c r="J60" s="12">
        <f>SUMIFS(Receitas!L:L,Receitas!B:B,'BaseRelatório vOrçamento'!B60,Receitas!G:G,'BaseRelatório vOrçamento'!D60,Receitas!H:H,'BaseRelatório vOrçamento'!E60)</f>
        <v>210730</v>
      </c>
    </row>
    <row r="61" spans="1:10" x14ac:dyDescent="0.35">
      <c r="A61" s="54" t="s">
        <v>102</v>
      </c>
      <c r="B61" s="55">
        <v>45689</v>
      </c>
      <c r="C61" s="56" t="s">
        <v>48</v>
      </c>
      <c r="D61" s="56" t="s">
        <v>49</v>
      </c>
      <c r="E61" s="51" t="s">
        <v>51</v>
      </c>
      <c r="F61" s="56" t="s">
        <v>65</v>
      </c>
      <c r="G61" s="57">
        <v>0</v>
      </c>
      <c r="H61" s="58">
        <v>0</v>
      </c>
      <c r="J61"/>
    </row>
    <row r="62" spans="1:10" x14ac:dyDescent="0.35">
      <c r="A62" s="49" t="s">
        <v>118</v>
      </c>
      <c r="B62" s="50">
        <v>45689</v>
      </c>
      <c r="C62" s="51" t="s">
        <v>22</v>
      </c>
      <c r="D62" s="51" t="s">
        <v>11</v>
      </c>
      <c r="E62" s="51" t="s">
        <v>209</v>
      </c>
      <c r="F62" s="51" t="s">
        <v>7</v>
      </c>
      <c r="G62" s="52">
        <v>0</v>
      </c>
      <c r="H62" s="53">
        <v>0</v>
      </c>
      <c r="J62"/>
    </row>
    <row r="63" spans="1:10" x14ac:dyDescent="0.35">
      <c r="A63" s="54" t="s">
        <v>118</v>
      </c>
      <c r="B63" s="55">
        <v>45689</v>
      </c>
      <c r="C63" s="56" t="s">
        <v>22</v>
      </c>
      <c r="D63" s="56" t="s">
        <v>11</v>
      </c>
      <c r="E63" s="51" t="s">
        <v>209</v>
      </c>
      <c r="F63" s="56" t="s">
        <v>8</v>
      </c>
      <c r="G63" s="57">
        <v>0</v>
      </c>
      <c r="H63" s="58">
        <v>0</v>
      </c>
      <c r="J63"/>
    </row>
    <row r="64" spans="1:10" x14ac:dyDescent="0.35">
      <c r="A64" s="49" t="s">
        <v>190</v>
      </c>
      <c r="B64" s="50">
        <v>45689</v>
      </c>
      <c r="C64" s="51" t="s">
        <v>22</v>
      </c>
      <c r="D64" s="51" t="s">
        <v>11</v>
      </c>
      <c r="E64" s="51" t="s">
        <v>116</v>
      </c>
      <c r="F64" s="51" t="s">
        <v>15</v>
      </c>
      <c r="G64" s="52">
        <v>59115.789473684214</v>
      </c>
      <c r="H64" s="53">
        <v>2000</v>
      </c>
      <c r="J64" s="12">
        <f>SUMIFS(Receitas!L:L,Receitas!B:B,'BaseRelatório vOrçamento'!B64,Receitas!G:G,'BaseRelatório vOrçamento'!D64,Receitas!H:H,'BaseRelatório vOrçamento'!E64)</f>
        <v>0</v>
      </c>
    </row>
    <row r="65" spans="1:10" x14ac:dyDescent="0.35">
      <c r="A65" s="54" t="s">
        <v>118</v>
      </c>
      <c r="B65" s="55">
        <v>45689</v>
      </c>
      <c r="C65" s="56" t="s">
        <v>22</v>
      </c>
      <c r="D65" s="56" t="s">
        <v>11</v>
      </c>
      <c r="E65" s="51" t="s">
        <v>209</v>
      </c>
      <c r="F65" s="56" t="s">
        <v>65</v>
      </c>
      <c r="G65" s="57">
        <v>0</v>
      </c>
      <c r="H65" s="58">
        <v>0</v>
      </c>
      <c r="J65"/>
    </row>
    <row r="66" spans="1:10" x14ac:dyDescent="0.35">
      <c r="A66" s="49" t="s">
        <v>171</v>
      </c>
      <c r="B66" s="50">
        <v>45689</v>
      </c>
      <c r="C66" s="51" t="s">
        <v>22</v>
      </c>
      <c r="D66" s="51" t="s">
        <v>11</v>
      </c>
      <c r="E66" s="51" t="s">
        <v>209</v>
      </c>
      <c r="F66" s="51" t="s">
        <v>7</v>
      </c>
      <c r="G66" s="52">
        <v>0</v>
      </c>
      <c r="H66" s="53">
        <v>0</v>
      </c>
      <c r="J66"/>
    </row>
    <row r="67" spans="1:10" x14ac:dyDescent="0.35">
      <c r="A67" s="54" t="s">
        <v>172</v>
      </c>
      <c r="B67" s="55">
        <v>45689</v>
      </c>
      <c r="C67" s="56" t="s">
        <v>22</v>
      </c>
      <c r="D67" s="56" t="s">
        <v>11</v>
      </c>
      <c r="E67" s="51" t="s">
        <v>13</v>
      </c>
      <c r="F67" s="56" t="s">
        <v>8</v>
      </c>
      <c r="G67" s="57">
        <v>0</v>
      </c>
      <c r="H67" s="58">
        <v>0</v>
      </c>
      <c r="J67"/>
    </row>
    <row r="68" spans="1:10" x14ac:dyDescent="0.35">
      <c r="A68" s="49" t="s">
        <v>172</v>
      </c>
      <c r="B68" s="50">
        <v>45689</v>
      </c>
      <c r="C68" s="51" t="s">
        <v>22</v>
      </c>
      <c r="D68" s="51" t="s">
        <v>11</v>
      </c>
      <c r="E68" s="51" t="s">
        <v>13</v>
      </c>
      <c r="F68" s="51" t="s">
        <v>15</v>
      </c>
      <c r="G68" s="52">
        <v>0</v>
      </c>
      <c r="H68" s="53">
        <v>0</v>
      </c>
      <c r="J68" s="12">
        <f>SUMIFS(Receitas!L:L,Receitas!B:B,'BaseRelatório vOrçamento'!B68,Receitas!G:G,'BaseRelatório vOrçamento'!D68,Receitas!H:H,'BaseRelatório vOrçamento'!E68)</f>
        <v>12923.372499999999</v>
      </c>
    </row>
    <row r="69" spans="1:10" x14ac:dyDescent="0.35">
      <c r="A69" s="54" t="s">
        <v>172</v>
      </c>
      <c r="B69" s="55">
        <v>45689</v>
      </c>
      <c r="C69" s="56" t="s">
        <v>22</v>
      </c>
      <c r="D69" s="56" t="s">
        <v>11</v>
      </c>
      <c r="E69" s="51" t="s">
        <v>13</v>
      </c>
      <c r="F69" s="56" t="s">
        <v>65</v>
      </c>
      <c r="G69" s="57">
        <v>0</v>
      </c>
      <c r="H69" s="58">
        <v>0</v>
      </c>
      <c r="J69"/>
    </row>
    <row r="70" spans="1:10" x14ac:dyDescent="0.35">
      <c r="A70" s="49" t="s">
        <v>149</v>
      </c>
      <c r="B70" s="50">
        <v>45689</v>
      </c>
      <c r="C70" s="51" t="s">
        <v>23</v>
      </c>
      <c r="D70" s="51" t="s">
        <v>112</v>
      </c>
      <c r="E70" s="51" t="s">
        <v>113</v>
      </c>
      <c r="F70" s="51" t="s">
        <v>7</v>
      </c>
      <c r="G70" s="52">
        <v>0</v>
      </c>
      <c r="H70" s="53">
        <v>0</v>
      </c>
      <c r="J70"/>
    </row>
    <row r="71" spans="1:10" x14ac:dyDescent="0.35">
      <c r="A71" s="54" t="s">
        <v>149</v>
      </c>
      <c r="B71" s="55">
        <v>45689</v>
      </c>
      <c r="C71" s="56" t="s">
        <v>23</v>
      </c>
      <c r="D71" s="56" t="s">
        <v>112</v>
      </c>
      <c r="E71" s="51" t="s">
        <v>113</v>
      </c>
      <c r="F71" s="56" t="s">
        <v>8</v>
      </c>
      <c r="G71" s="57">
        <v>0</v>
      </c>
      <c r="H71" s="58">
        <v>0</v>
      </c>
      <c r="J71"/>
    </row>
    <row r="72" spans="1:10" x14ac:dyDescent="0.35">
      <c r="A72" s="49" t="s">
        <v>149</v>
      </c>
      <c r="B72" s="50">
        <v>45689</v>
      </c>
      <c r="C72" s="51" t="s">
        <v>23</v>
      </c>
      <c r="D72" s="51" t="s">
        <v>112</v>
      </c>
      <c r="E72" s="51" t="s">
        <v>113</v>
      </c>
      <c r="F72" s="51" t="s">
        <v>15</v>
      </c>
      <c r="G72" s="52">
        <v>89658.947368421053</v>
      </c>
      <c r="H72" s="53">
        <v>4200</v>
      </c>
      <c r="J72" s="12">
        <f>SUMIFS(Receitas!L:L,Receitas!B:B,'BaseRelatório vOrçamento'!B72,Receitas!G:G,'BaseRelatório vOrçamento'!D72,Receitas!H:H,'BaseRelatório vOrçamento'!E72)</f>
        <v>0</v>
      </c>
    </row>
    <row r="73" spans="1:10" x14ac:dyDescent="0.35">
      <c r="A73" s="54" t="s">
        <v>149</v>
      </c>
      <c r="B73" s="55">
        <v>45689</v>
      </c>
      <c r="C73" s="56" t="s">
        <v>23</v>
      </c>
      <c r="D73" s="56" t="s">
        <v>112</v>
      </c>
      <c r="E73" s="51" t="s">
        <v>113</v>
      </c>
      <c r="F73" s="56" t="s">
        <v>65</v>
      </c>
      <c r="G73" s="57">
        <v>0</v>
      </c>
      <c r="H73" s="58">
        <v>0</v>
      </c>
      <c r="J73"/>
    </row>
    <row r="74" spans="1:10" x14ac:dyDescent="0.35">
      <c r="A74" s="49" t="s">
        <v>150</v>
      </c>
      <c r="B74" s="50">
        <v>45689</v>
      </c>
      <c r="C74" s="51" t="s">
        <v>46</v>
      </c>
      <c r="D74" s="51" t="s">
        <v>87</v>
      </c>
      <c r="E74" s="51" t="s">
        <v>9</v>
      </c>
      <c r="F74" s="51" t="s">
        <v>7</v>
      </c>
      <c r="G74" s="52">
        <v>0</v>
      </c>
      <c r="H74" s="53">
        <v>0</v>
      </c>
      <c r="J74"/>
    </row>
    <row r="75" spans="1:10" x14ac:dyDescent="0.35">
      <c r="A75" s="54" t="s">
        <v>150</v>
      </c>
      <c r="B75" s="55">
        <v>45689</v>
      </c>
      <c r="C75" s="56" t="s">
        <v>46</v>
      </c>
      <c r="D75" s="56" t="s">
        <v>87</v>
      </c>
      <c r="E75" s="51" t="s">
        <v>9</v>
      </c>
      <c r="F75" s="56" t="s">
        <v>8</v>
      </c>
      <c r="G75" s="57">
        <v>0</v>
      </c>
      <c r="H75" s="58">
        <v>0</v>
      </c>
      <c r="J75"/>
    </row>
    <row r="76" spans="1:10" x14ac:dyDescent="0.35">
      <c r="A76" s="49" t="s">
        <v>150</v>
      </c>
      <c r="B76" s="50">
        <v>45689</v>
      </c>
      <c r="C76" s="51" t="s">
        <v>46</v>
      </c>
      <c r="D76" s="51" t="s">
        <v>87</v>
      </c>
      <c r="E76" s="51" t="s">
        <v>9</v>
      </c>
      <c r="F76" s="51" t="s">
        <v>15</v>
      </c>
      <c r="G76" s="52">
        <v>137499.15789473685</v>
      </c>
      <c r="H76" s="53">
        <v>4200</v>
      </c>
      <c r="J76" s="12">
        <f>SUMIFS(Receitas!L:L,Receitas!B:B,'BaseRelatório vOrçamento'!B76,Receitas!G:G,'BaseRelatório vOrçamento'!D76,Receitas!H:H,'BaseRelatório vOrçamento'!E76)</f>
        <v>64083.839999999997</v>
      </c>
    </row>
    <row r="77" spans="1:10" x14ac:dyDescent="0.35">
      <c r="A77" s="54" t="s">
        <v>150</v>
      </c>
      <c r="B77" s="55">
        <v>45689</v>
      </c>
      <c r="C77" s="56" t="s">
        <v>46</v>
      </c>
      <c r="D77" s="56" t="s">
        <v>87</v>
      </c>
      <c r="E77" s="51" t="s">
        <v>9</v>
      </c>
      <c r="F77" s="56" t="s">
        <v>65</v>
      </c>
      <c r="G77" s="57">
        <v>0</v>
      </c>
      <c r="H77" s="58">
        <v>0</v>
      </c>
      <c r="J77"/>
    </row>
    <row r="78" spans="1:10" x14ac:dyDescent="0.35">
      <c r="A78" s="49" t="s">
        <v>166</v>
      </c>
      <c r="B78" s="50">
        <v>45689</v>
      </c>
      <c r="C78" s="51" t="s">
        <v>25</v>
      </c>
      <c r="D78" s="51" t="s">
        <v>12</v>
      </c>
      <c r="E78" s="51" t="s">
        <v>9</v>
      </c>
      <c r="F78" s="51" t="s">
        <v>7</v>
      </c>
      <c r="G78" s="52">
        <v>0</v>
      </c>
      <c r="H78" s="53">
        <v>0</v>
      </c>
      <c r="J78"/>
    </row>
    <row r="79" spans="1:10" x14ac:dyDescent="0.35">
      <c r="A79" s="54" t="s">
        <v>166</v>
      </c>
      <c r="B79" s="55">
        <v>45689</v>
      </c>
      <c r="C79" s="56" t="s">
        <v>25</v>
      </c>
      <c r="D79" s="56" t="s">
        <v>12</v>
      </c>
      <c r="E79" s="51" t="s">
        <v>9</v>
      </c>
      <c r="F79" s="56" t="s">
        <v>8</v>
      </c>
      <c r="G79" s="57">
        <v>0</v>
      </c>
      <c r="H79" s="58">
        <v>0</v>
      </c>
      <c r="J79"/>
    </row>
    <row r="80" spans="1:10" x14ac:dyDescent="0.35">
      <c r="A80" s="49" t="s">
        <v>166</v>
      </c>
      <c r="B80" s="50">
        <v>45689</v>
      </c>
      <c r="C80" s="51" t="s">
        <v>25</v>
      </c>
      <c r="D80" s="51" t="s">
        <v>12</v>
      </c>
      <c r="E80" s="51" t="s">
        <v>9</v>
      </c>
      <c r="F80" s="51" t="s">
        <v>15</v>
      </c>
      <c r="G80" s="52">
        <v>164947.60916666666</v>
      </c>
      <c r="H80" s="53">
        <v>6100</v>
      </c>
      <c r="J80" s="12">
        <f>SUMIFS(Receitas!L:L,Receitas!B:B,'BaseRelatório vOrçamento'!B80,Receitas!G:G,'BaseRelatório vOrçamento'!D80,Receitas!H:H,'BaseRelatório vOrçamento'!E80)</f>
        <v>466078.02600000001</v>
      </c>
    </row>
    <row r="81" spans="1:10" x14ac:dyDescent="0.35">
      <c r="A81" s="54" t="s">
        <v>166</v>
      </c>
      <c r="B81" s="55">
        <v>45689</v>
      </c>
      <c r="C81" s="56" t="s">
        <v>25</v>
      </c>
      <c r="D81" s="56" t="s">
        <v>12</v>
      </c>
      <c r="E81" s="51" t="s">
        <v>9</v>
      </c>
      <c r="F81" s="56" t="s">
        <v>65</v>
      </c>
      <c r="G81" s="57">
        <v>0</v>
      </c>
      <c r="H81" s="58">
        <v>0</v>
      </c>
      <c r="J81"/>
    </row>
    <row r="82" spans="1:10" x14ac:dyDescent="0.35">
      <c r="A82" s="49" t="s">
        <v>134</v>
      </c>
      <c r="B82" s="50">
        <v>45689</v>
      </c>
      <c r="C82" s="51" t="s">
        <v>57</v>
      </c>
      <c r="D82" s="51" t="s">
        <v>58</v>
      </c>
      <c r="E82" s="51" t="s">
        <v>10</v>
      </c>
      <c r="F82" s="51" t="s">
        <v>7</v>
      </c>
      <c r="G82" s="52">
        <v>0</v>
      </c>
      <c r="H82" s="53">
        <v>0</v>
      </c>
      <c r="J82"/>
    </row>
    <row r="83" spans="1:10" x14ac:dyDescent="0.35">
      <c r="A83" s="54" t="s">
        <v>134</v>
      </c>
      <c r="B83" s="55">
        <v>45689</v>
      </c>
      <c r="C83" s="56" t="s">
        <v>57</v>
      </c>
      <c r="D83" s="56" t="s">
        <v>58</v>
      </c>
      <c r="E83" s="51" t="s">
        <v>10</v>
      </c>
      <c r="F83" s="56" t="s">
        <v>8</v>
      </c>
      <c r="G83" s="57">
        <v>0</v>
      </c>
      <c r="H83" s="58">
        <v>0</v>
      </c>
      <c r="J83"/>
    </row>
    <row r="84" spans="1:10" x14ac:dyDescent="0.35">
      <c r="A84" s="49" t="s">
        <v>134</v>
      </c>
      <c r="B84" s="50">
        <v>45689</v>
      </c>
      <c r="C84" s="51" t="s">
        <v>57</v>
      </c>
      <c r="D84" s="51" t="s">
        <v>58</v>
      </c>
      <c r="E84" s="51" t="s">
        <v>10</v>
      </c>
      <c r="F84" s="51" t="s">
        <v>15</v>
      </c>
      <c r="G84" s="52">
        <v>17311.068923076924</v>
      </c>
      <c r="H84" s="53">
        <v>550</v>
      </c>
      <c r="J84" s="12">
        <f>SUMIFS(Receitas!L:L,Receitas!B:B,'BaseRelatório vOrçamento'!B84,Receitas!G:G,'BaseRelatório vOrçamento'!D84,Receitas!H:H,'BaseRelatório vOrçamento'!E84)</f>
        <v>32571</v>
      </c>
    </row>
    <row r="85" spans="1:10" x14ac:dyDescent="0.35">
      <c r="A85" s="54" t="s">
        <v>134</v>
      </c>
      <c r="B85" s="55">
        <v>45689</v>
      </c>
      <c r="C85" s="56" t="s">
        <v>57</v>
      </c>
      <c r="D85" s="56" t="s">
        <v>58</v>
      </c>
      <c r="E85" s="51" t="s">
        <v>10</v>
      </c>
      <c r="F85" s="56" t="s">
        <v>65</v>
      </c>
      <c r="G85" s="57">
        <v>0</v>
      </c>
      <c r="H85" s="58">
        <v>0</v>
      </c>
      <c r="J85"/>
    </row>
    <row r="86" spans="1:10" x14ac:dyDescent="0.35">
      <c r="A86" s="59">
        <v>20105</v>
      </c>
      <c r="B86" s="50">
        <v>45689</v>
      </c>
      <c r="C86" s="51" t="s">
        <v>26</v>
      </c>
      <c r="D86" s="51" t="s">
        <v>19</v>
      </c>
      <c r="E86" s="51" t="s">
        <v>209</v>
      </c>
      <c r="F86" s="51" t="s">
        <v>7</v>
      </c>
      <c r="G86" s="52">
        <v>0</v>
      </c>
      <c r="H86" s="53">
        <v>0</v>
      </c>
      <c r="J86"/>
    </row>
    <row r="87" spans="1:10" x14ac:dyDescent="0.35">
      <c r="A87" s="60">
        <v>20105</v>
      </c>
      <c r="B87" s="55">
        <v>45689</v>
      </c>
      <c r="C87" s="56" t="s">
        <v>26</v>
      </c>
      <c r="D87" s="56" t="s">
        <v>19</v>
      </c>
      <c r="E87" s="51" t="s">
        <v>209</v>
      </c>
      <c r="F87" s="56" t="s">
        <v>8</v>
      </c>
      <c r="G87" s="57">
        <v>0</v>
      </c>
      <c r="H87" s="58">
        <v>0</v>
      </c>
      <c r="J87"/>
    </row>
    <row r="88" spans="1:10" x14ac:dyDescent="0.35">
      <c r="A88" s="59">
        <v>20105</v>
      </c>
      <c r="B88" s="50">
        <v>45689</v>
      </c>
      <c r="C88" s="51" t="s">
        <v>26</v>
      </c>
      <c r="D88" s="51" t="s">
        <v>19</v>
      </c>
      <c r="E88" s="51" t="s">
        <v>13</v>
      </c>
      <c r="F88" s="51" t="s">
        <v>15</v>
      </c>
      <c r="G88" s="52">
        <v>16933.880412371134</v>
      </c>
      <c r="H88" s="53">
        <v>545</v>
      </c>
      <c r="J88" s="12">
        <f>SUMIFS(Receitas!L:L,Receitas!B:B,'BaseRelatório vOrçamento'!B88,Receitas!G:G,'BaseRelatório vOrçamento'!D88,Receitas!H:H,'BaseRelatório vOrçamento'!E88)</f>
        <v>15260</v>
      </c>
    </row>
    <row r="89" spans="1:10" x14ac:dyDescent="0.35">
      <c r="A89" s="60">
        <v>20105</v>
      </c>
      <c r="B89" s="55">
        <v>45689</v>
      </c>
      <c r="C89" s="56" t="s">
        <v>26</v>
      </c>
      <c r="D89" s="56" t="s">
        <v>19</v>
      </c>
      <c r="E89" s="51" t="s">
        <v>209</v>
      </c>
      <c r="F89" s="56" t="s">
        <v>65</v>
      </c>
      <c r="G89" s="57">
        <v>0</v>
      </c>
      <c r="H89" s="58">
        <v>0</v>
      </c>
      <c r="J89"/>
    </row>
    <row r="90" spans="1:10" x14ac:dyDescent="0.35">
      <c r="A90" s="49" t="s">
        <v>142</v>
      </c>
      <c r="B90" s="50">
        <v>45717</v>
      </c>
      <c r="C90" s="51" t="s">
        <v>48</v>
      </c>
      <c r="D90" s="51" t="s">
        <v>49</v>
      </c>
      <c r="E90" s="51" t="s">
        <v>52</v>
      </c>
      <c r="F90" s="51" t="s">
        <v>7</v>
      </c>
      <c r="G90" s="52">
        <v>0</v>
      </c>
      <c r="H90" s="53">
        <v>0</v>
      </c>
      <c r="J90"/>
    </row>
    <row r="91" spans="1:10" x14ac:dyDescent="0.35">
      <c r="A91" s="54" t="s">
        <v>142</v>
      </c>
      <c r="B91" s="55">
        <v>45717</v>
      </c>
      <c r="C91" s="56" t="s">
        <v>48</v>
      </c>
      <c r="D91" s="56" t="s">
        <v>49</v>
      </c>
      <c r="E91" s="51" t="s">
        <v>52</v>
      </c>
      <c r="F91" s="56" t="s">
        <v>8</v>
      </c>
      <c r="G91" s="57">
        <v>0</v>
      </c>
      <c r="H91" s="58">
        <v>0</v>
      </c>
      <c r="J91"/>
    </row>
    <row r="92" spans="1:10" x14ac:dyDescent="0.35">
      <c r="A92" s="49" t="s">
        <v>142</v>
      </c>
      <c r="B92" s="50">
        <v>45717</v>
      </c>
      <c r="C92" s="51" t="s">
        <v>48</v>
      </c>
      <c r="D92" s="51" t="s">
        <v>49</v>
      </c>
      <c r="E92" s="51" t="s">
        <v>52</v>
      </c>
      <c r="F92" s="51" t="s">
        <v>15</v>
      </c>
      <c r="G92" s="52">
        <v>89789.370062370057</v>
      </c>
      <c r="H92" s="53">
        <v>2040</v>
      </c>
      <c r="J92" s="12">
        <f>SUMIFS(Receitas!L:L,Receitas!B:B,'BaseRelatório vOrçamento'!B92,Receitas!G:G,'BaseRelatório vOrçamento'!D92,Receitas!H:H,'BaseRelatório vOrçamento'!E92)</f>
        <v>83456.399999999994</v>
      </c>
    </row>
    <row r="93" spans="1:10" x14ac:dyDescent="0.35">
      <c r="A93" s="54" t="s">
        <v>142</v>
      </c>
      <c r="B93" s="55">
        <v>45717</v>
      </c>
      <c r="C93" s="56" t="s">
        <v>48</v>
      </c>
      <c r="D93" s="56" t="s">
        <v>49</v>
      </c>
      <c r="E93" s="51" t="s">
        <v>52</v>
      </c>
      <c r="F93" s="56" t="s">
        <v>65</v>
      </c>
      <c r="G93" s="57">
        <v>0</v>
      </c>
      <c r="H93" s="58">
        <v>0</v>
      </c>
      <c r="J93"/>
    </row>
    <row r="94" spans="1:10" x14ac:dyDescent="0.35">
      <c r="A94" s="49" t="s">
        <v>139</v>
      </c>
      <c r="B94" s="50">
        <v>45717</v>
      </c>
      <c r="C94" s="51" t="s">
        <v>48</v>
      </c>
      <c r="D94" s="51" t="s">
        <v>49</v>
      </c>
      <c r="E94" s="51" t="s">
        <v>14</v>
      </c>
      <c r="F94" s="51" t="s">
        <v>7</v>
      </c>
      <c r="G94" s="52">
        <v>0</v>
      </c>
      <c r="H94" s="53">
        <v>0</v>
      </c>
      <c r="J94"/>
    </row>
    <row r="95" spans="1:10" x14ac:dyDescent="0.35">
      <c r="A95" s="54" t="s">
        <v>139</v>
      </c>
      <c r="B95" s="55">
        <v>45717</v>
      </c>
      <c r="C95" s="56" t="s">
        <v>48</v>
      </c>
      <c r="D95" s="56" t="s">
        <v>49</v>
      </c>
      <c r="E95" s="51" t="s">
        <v>14</v>
      </c>
      <c r="F95" s="56" t="s">
        <v>8</v>
      </c>
      <c r="G95" s="57">
        <v>0</v>
      </c>
      <c r="H95" s="58">
        <v>0</v>
      </c>
      <c r="J95"/>
    </row>
    <row r="96" spans="1:10" x14ac:dyDescent="0.35">
      <c r="A96" s="49" t="s">
        <v>139</v>
      </c>
      <c r="B96" s="50">
        <v>45717</v>
      </c>
      <c r="C96" s="51" t="s">
        <v>48</v>
      </c>
      <c r="D96" s="51" t="s">
        <v>49</v>
      </c>
      <c r="E96" s="51" t="s">
        <v>14</v>
      </c>
      <c r="F96" s="51" t="s">
        <v>15</v>
      </c>
      <c r="G96" s="52">
        <v>28839.059251559258</v>
      </c>
      <c r="H96" s="53">
        <v>1500</v>
      </c>
      <c r="J96" s="12">
        <f>SUMIFS(Receitas!L:L,Receitas!B:B,'BaseRelatório vOrçamento'!B96,Receitas!G:G,'BaseRelatório vOrçamento'!D96,Receitas!H:H,'BaseRelatório vOrçamento'!E96)</f>
        <v>16726.32</v>
      </c>
    </row>
    <row r="97" spans="1:10" x14ac:dyDescent="0.35">
      <c r="A97" s="54" t="s">
        <v>139</v>
      </c>
      <c r="B97" s="55">
        <v>45717</v>
      </c>
      <c r="C97" s="56" t="s">
        <v>48</v>
      </c>
      <c r="D97" s="56" t="s">
        <v>49</v>
      </c>
      <c r="E97" s="51" t="s">
        <v>14</v>
      </c>
      <c r="F97" s="56" t="s">
        <v>65</v>
      </c>
      <c r="G97" s="57">
        <v>0</v>
      </c>
      <c r="H97" s="58">
        <v>0</v>
      </c>
      <c r="J97"/>
    </row>
    <row r="98" spans="1:10" x14ac:dyDescent="0.35">
      <c r="A98" s="49" t="s">
        <v>25</v>
      </c>
      <c r="B98" s="50">
        <v>45717</v>
      </c>
      <c r="C98" s="51" t="s">
        <v>48</v>
      </c>
      <c r="D98" s="51" t="s">
        <v>49</v>
      </c>
      <c r="E98" s="51" t="s">
        <v>116</v>
      </c>
      <c r="F98" s="51" t="s">
        <v>7</v>
      </c>
      <c r="G98" s="52">
        <v>0</v>
      </c>
      <c r="H98" s="53">
        <v>0</v>
      </c>
      <c r="J98"/>
    </row>
    <row r="99" spans="1:10" x14ac:dyDescent="0.35">
      <c r="A99" s="54" t="s">
        <v>25</v>
      </c>
      <c r="B99" s="55">
        <v>45717</v>
      </c>
      <c r="C99" s="56" t="s">
        <v>48</v>
      </c>
      <c r="D99" s="56" t="s">
        <v>49</v>
      </c>
      <c r="E99" s="51" t="s">
        <v>116</v>
      </c>
      <c r="F99" s="56" t="s">
        <v>8</v>
      </c>
      <c r="G99" s="57">
        <v>0</v>
      </c>
      <c r="H99" s="58">
        <v>0</v>
      </c>
      <c r="J99"/>
    </row>
    <row r="100" spans="1:10" x14ac:dyDescent="0.35">
      <c r="A100" s="49" t="s">
        <v>25</v>
      </c>
      <c r="B100" s="50">
        <v>45717</v>
      </c>
      <c r="C100" s="51" t="s">
        <v>48</v>
      </c>
      <c r="D100" s="51" t="s">
        <v>49</v>
      </c>
      <c r="E100" s="51" t="s">
        <v>116</v>
      </c>
      <c r="F100" s="51" t="s">
        <v>15</v>
      </c>
      <c r="G100" s="52">
        <v>9729.72972972973</v>
      </c>
      <c r="H100" s="53">
        <v>300</v>
      </c>
      <c r="J100" s="12">
        <f>SUMIFS(Receitas!L:L,Receitas!B:B,'BaseRelatório vOrçamento'!B100,Receitas!G:G,'BaseRelatório vOrçamento'!D100,Receitas!H:H,'BaseRelatório vOrçamento'!E100)</f>
        <v>0</v>
      </c>
    </row>
    <row r="101" spans="1:10" x14ac:dyDescent="0.35">
      <c r="A101" s="54" t="s">
        <v>25</v>
      </c>
      <c r="B101" s="55">
        <v>45717</v>
      </c>
      <c r="C101" s="56" t="s">
        <v>48</v>
      </c>
      <c r="D101" s="56" t="s">
        <v>49</v>
      </c>
      <c r="E101" s="51" t="s">
        <v>116</v>
      </c>
      <c r="F101" s="56" t="s">
        <v>65</v>
      </c>
      <c r="G101" s="57">
        <v>0</v>
      </c>
      <c r="H101" s="58">
        <v>0</v>
      </c>
      <c r="J101"/>
    </row>
    <row r="102" spans="1:10" x14ac:dyDescent="0.35">
      <c r="A102" s="49" t="s">
        <v>102</v>
      </c>
      <c r="B102" s="50">
        <v>45717</v>
      </c>
      <c r="C102" s="51" t="s">
        <v>48</v>
      </c>
      <c r="D102" s="51" t="s">
        <v>49</v>
      </c>
      <c r="E102" s="51" t="s">
        <v>51</v>
      </c>
      <c r="F102" s="51" t="s">
        <v>7</v>
      </c>
      <c r="G102" s="52">
        <v>0</v>
      </c>
      <c r="H102" s="53">
        <v>0</v>
      </c>
      <c r="J102"/>
    </row>
    <row r="103" spans="1:10" x14ac:dyDescent="0.35">
      <c r="A103" s="54" t="s">
        <v>102</v>
      </c>
      <c r="B103" s="55">
        <v>45717</v>
      </c>
      <c r="C103" s="56" t="s">
        <v>48</v>
      </c>
      <c r="D103" s="56" t="s">
        <v>49</v>
      </c>
      <c r="E103" s="51" t="s">
        <v>51</v>
      </c>
      <c r="F103" s="56" t="s">
        <v>8</v>
      </c>
      <c r="G103" s="57">
        <v>0</v>
      </c>
      <c r="H103" s="58">
        <v>0</v>
      </c>
      <c r="J103"/>
    </row>
    <row r="104" spans="1:10" x14ac:dyDescent="0.35">
      <c r="A104" s="49" t="s">
        <v>102</v>
      </c>
      <c r="B104" s="50">
        <v>45717</v>
      </c>
      <c r="C104" s="51" t="s">
        <v>48</v>
      </c>
      <c r="D104" s="51" t="s">
        <v>49</v>
      </c>
      <c r="E104" s="51" t="s">
        <v>51</v>
      </c>
      <c r="F104" s="51" t="s">
        <v>15</v>
      </c>
      <c r="G104" s="52">
        <v>226720.94594594592</v>
      </c>
      <c r="H104" s="53">
        <v>6500</v>
      </c>
      <c r="J104" s="12">
        <f>SUMIFS(Receitas!L:L,Receitas!B:B,'BaseRelatório vOrçamento'!B104,Receitas!G:G,'BaseRelatório vOrçamento'!D104,Receitas!H:H,'BaseRelatório vOrçamento'!E104)</f>
        <v>210730</v>
      </c>
    </row>
    <row r="105" spans="1:10" x14ac:dyDescent="0.35">
      <c r="A105" s="54" t="s">
        <v>102</v>
      </c>
      <c r="B105" s="55">
        <v>45717</v>
      </c>
      <c r="C105" s="56" t="s">
        <v>48</v>
      </c>
      <c r="D105" s="56" t="s">
        <v>49</v>
      </c>
      <c r="E105" s="51" t="s">
        <v>51</v>
      </c>
      <c r="F105" s="56" t="s">
        <v>65</v>
      </c>
      <c r="G105" s="57">
        <v>0</v>
      </c>
      <c r="H105" s="58">
        <v>0</v>
      </c>
      <c r="J105"/>
    </row>
    <row r="106" spans="1:10" x14ac:dyDescent="0.35">
      <c r="A106" s="49" t="s">
        <v>118</v>
      </c>
      <c r="B106" s="50">
        <v>45717</v>
      </c>
      <c r="C106" s="51" t="s">
        <v>22</v>
      </c>
      <c r="D106" s="51" t="s">
        <v>11</v>
      </c>
      <c r="E106" s="51" t="s">
        <v>209</v>
      </c>
      <c r="F106" s="51" t="s">
        <v>7</v>
      </c>
      <c r="G106" s="52">
        <v>0</v>
      </c>
      <c r="H106" s="53">
        <v>0</v>
      </c>
      <c r="J106"/>
    </row>
    <row r="107" spans="1:10" x14ac:dyDescent="0.35">
      <c r="A107" s="54" t="s">
        <v>118</v>
      </c>
      <c r="B107" s="55">
        <v>45717</v>
      </c>
      <c r="C107" s="56" t="s">
        <v>22</v>
      </c>
      <c r="D107" s="56" t="s">
        <v>11</v>
      </c>
      <c r="E107" s="51" t="s">
        <v>209</v>
      </c>
      <c r="F107" s="56" t="s">
        <v>8</v>
      </c>
      <c r="G107" s="57">
        <v>0</v>
      </c>
      <c r="H107" s="58">
        <v>0</v>
      </c>
      <c r="J107"/>
    </row>
    <row r="108" spans="1:10" x14ac:dyDescent="0.35">
      <c r="A108" s="49" t="s">
        <v>190</v>
      </c>
      <c r="B108" s="50">
        <v>45717</v>
      </c>
      <c r="C108" s="51" t="s">
        <v>22</v>
      </c>
      <c r="D108" s="51" t="s">
        <v>11</v>
      </c>
      <c r="E108" s="51" t="s">
        <v>116</v>
      </c>
      <c r="F108" s="51" t="s">
        <v>15</v>
      </c>
      <c r="G108" s="52">
        <v>59115.789473684214</v>
      </c>
      <c r="H108" s="53">
        <v>2000</v>
      </c>
      <c r="J108" s="12">
        <f>SUMIFS(Receitas!L:L,Receitas!B:B,'BaseRelatório vOrçamento'!B108,Receitas!G:G,'BaseRelatório vOrçamento'!D108,Receitas!H:H,'BaseRelatório vOrçamento'!E108)</f>
        <v>0</v>
      </c>
    </row>
    <row r="109" spans="1:10" x14ac:dyDescent="0.35">
      <c r="A109" s="54" t="s">
        <v>118</v>
      </c>
      <c r="B109" s="55">
        <v>45717</v>
      </c>
      <c r="C109" s="56" t="s">
        <v>22</v>
      </c>
      <c r="D109" s="56" t="s">
        <v>11</v>
      </c>
      <c r="E109" s="51" t="s">
        <v>209</v>
      </c>
      <c r="F109" s="56" t="s">
        <v>65</v>
      </c>
      <c r="G109" s="57">
        <v>0</v>
      </c>
      <c r="H109" s="58">
        <v>0</v>
      </c>
      <c r="J109"/>
    </row>
    <row r="110" spans="1:10" x14ac:dyDescent="0.35">
      <c r="A110" s="49" t="s">
        <v>172</v>
      </c>
      <c r="B110" s="50">
        <v>45717</v>
      </c>
      <c r="C110" s="51" t="s">
        <v>22</v>
      </c>
      <c r="D110" s="51" t="s">
        <v>11</v>
      </c>
      <c r="E110" s="51" t="s">
        <v>13</v>
      </c>
      <c r="F110" s="51" t="s">
        <v>7</v>
      </c>
      <c r="G110" s="52">
        <v>0</v>
      </c>
      <c r="H110" s="53">
        <v>0</v>
      </c>
      <c r="J110"/>
    </row>
    <row r="111" spans="1:10" x14ac:dyDescent="0.35">
      <c r="A111" s="54" t="s">
        <v>172</v>
      </c>
      <c r="B111" s="55">
        <v>45717</v>
      </c>
      <c r="C111" s="56" t="s">
        <v>22</v>
      </c>
      <c r="D111" s="56" t="s">
        <v>11</v>
      </c>
      <c r="E111" s="51" t="s">
        <v>13</v>
      </c>
      <c r="F111" s="56" t="s">
        <v>8</v>
      </c>
      <c r="G111" s="57">
        <v>0</v>
      </c>
      <c r="H111" s="58">
        <v>0</v>
      </c>
      <c r="J111"/>
    </row>
    <row r="112" spans="1:10" x14ac:dyDescent="0.35">
      <c r="A112" s="49" t="s">
        <v>172</v>
      </c>
      <c r="B112" s="50">
        <v>45717</v>
      </c>
      <c r="C112" s="51" t="s">
        <v>22</v>
      </c>
      <c r="D112" s="51" t="s">
        <v>11</v>
      </c>
      <c r="E112" s="51" t="s">
        <v>13</v>
      </c>
      <c r="F112" s="51" t="s">
        <v>15</v>
      </c>
      <c r="G112" s="52">
        <v>0</v>
      </c>
      <c r="H112" s="53">
        <v>0</v>
      </c>
      <c r="J112" s="12">
        <f>SUMIFS(Receitas!L:L,Receitas!B:B,'BaseRelatório vOrçamento'!B112,Receitas!G:G,'BaseRelatório vOrçamento'!D112,Receitas!H:H,'BaseRelatório vOrçamento'!E112)</f>
        <v>56351.38</v>
      </c>
    </row>
    <row r="113" spans="1:10" x14ac:dyDescent="0.35">
      <c r="A113" s="54" t="s">
        <v>172</v>
      </c>
      <c r="B113" s="55">
        <v>45717</v>
      </c>
      <c r="C113" s="56" t="s">
        <v>22</v>
      </c>
      <c r="D113" s="56" t="s">
        <v>11</v>
      </c>
      <c r="E113" s="51" t="s">
        <v>13</v>
      </c>
      <c r="F113" s="56" t="s">
        <v>65</v>
      </c>
      <c r="G113" s="57">
        <v>0</v>
      </c>
      <c r="H113" s="58">
        <v>0</v>
      </c>
      <c r="J113"/>
    </row>
    <row r="114" spans="1:10" x14ac:dyDescent="0.35">
      <c r="A114" s="49" t="s">
        <v>149</v>
      </c>
      <c r="B114" s="50">
        <v>45717</v>
      </c>
      <c r="C114" s="51" t="s">
        <v>23</v>
      </c>
      <c r="D114" s="51" t="s">
        <v>112</v>
      </c>
      <c r="E114" s="51" t="s">
        <v>113</v>
      </c>
      <c r="F114" s="51" t="s">
        <v>7</v>
      </c>
      <c r="G114" s="52">
        <v>0</v>
      </c>
      <c r="H114" s="53">
        <v>0</v>
      </c>
      <c r="J114"/>
    </row>
    <row r="115" spans="1:10" x14ac:dyDescent="0.35">
      <c r="A115" s="54" t="s">
        <v>149</v>
      </c>
      <c r="B115" s="55">
        <v>45717</v>
      </c>
      <c r="C115" s="56" t="s">
        <v>23</v>
      </c>
      <c r="D115" s="56" t="s">
        <v>112</v>
      </c>
      <c r="E115" s="51" t="s">
        <v>113</v>
      </c>
      <c r="F115" s="56" t="s">
        <v>8</v>
      </c>
      <c r="G115" s="57">
        <v>0</v>
      </c>
      <c r="H115" s="58">
        <v>0</v>
      </c>
      <c r="J115"/>
    </row>
    <row r="116" spans="1:10" x14ac:dyDescent="0.35">
      <c r="A116" s="49" t="s">
        <v>149</v>
      </c>
      <c r="B116" s="50">
        <v>45717</v>
      </c>
      <c r="C116" s="51" t="s">
        <v>23</v>
      </c>
      <c r="D116" s="51" t="s">
        <v>112</v>
      </c>
      <c r="E116" s="51" t="s">
        <v>113</v>
      </c>
      <c r="F116" s="51" t="s">
        <v>15</v>
      </c>
      <c r="G116" s="52">
        <v>89658.947368421053</v>
      </c>
      <c r="H116" s="53">
        <v>4200</v>
      </c>
      <c r="J116" s="12">
        <f>SUMIFS(Receitas!L:L,Receitas!B:B,'BaseRelatório vOrçamento'!B116,Receitas!G:G,'BaseRelatório vOrçamento'!D116,Receitas!H:H,'BaseRelatório vOrçamento'!E116)</f>
        <v>0</v>
      </c>
    </row>
    <row r="117" spans="1:10" x14ac:dyDescent="0.35">
      <c r="A117" s="54" t="s">
        <v>149</v>
      </c>
      <c r="B117" s="55">
        <v>45717</v>
      </c>
      <c r="C117" s="56" t="s">
        <v>23</v>
      </c>
      <c r="D117" s="56" t="s">
        <v>112</v>
      </c>
      <c r="E117" s="51" t="s">
        <v>113</v>
      </c>
      <c r="F117" s="56" t="s">
        <v>65</v>
      </c>
      <c r="G117" s="57">
        <v>0</v>
      </c>
      <c r="H117" s="58">
        <v>0</v>
      </c>
      <c r="J117"/>
    </row>
    <row r="118" spans="1:10" x14ac:dyDescent="0.35">
      <c r="A118" s="49" t="s">
        <v>177</v>
      </c>
      <c r="B118" s="50">
        <v>45717</v>
      </c>
      <c r="C118" s="51" t="s">
        <v>46</v>
      </c>
      <c r="D118" s="51" t="s">
        <v>87</v>
      </c>
      <c r="E118" s="51" t="s">
        <v>9</v>
      </c>
      <c r="F118" s="51" t="s">
        <v>7</v>
      </c>
      <c r="G118" s="52">
        <v>0</v>
      </c>
      <c r="H118" s="53">
        <v>0</v>
      </c>
      <c r="J118"/>
    </row>
    <row r="119" spans="1:10" x14ac:dyDescent="0.35">
      <c r="A119" s="54" t="s">
        <v>177</v>
      </c>
      <c r="B119" s="55">
        <v>45717</v>
      </c>
      <c r="C119" s="56" t="s">
        <v>46</v>
      </c>
      <c r="D119" s="56" t="s">
        <v>87</v>
      </c>
      <c r="E119" s="51" t="s">
        <v>9</v>
      </c>
      <c r="F119" s="56" t="s">
        <v>8</v>
      </c>
      <c r="G119" s="57">
        <v>0</v>
      </c>
      <c r="H119" s="58">
        <v>0</v>
      </c>
      <c r="J119"/>
    </row>
    <row r="120" spans="1:10" x14ac:dyDescent="0.35">
      <c r="A120" s="49" t="s">
        <v>177</v>
      </c>
      <c r="B120" s="50">
        <v>45717</v>
      </c>
      <c r="C120" s="51" t="s">
        <v>46</v>
      </c>
      <c r="D120" s="51" t="s">
        <v>87</v>
      </c>
      <c r="E120" s="51" t="s">
        <v>9</v>
      </c>
      <c r="F120" s="51" t="s">
        <v>15</v>
      </c>
      <c r="G120" s="52">
        <v>137499.15789473685</v>
      </c>
      <c r="H120" s="53">
        <v>4200</v>
      </c>
      <c r="J120" s="12">
        <f>SUMIFS(Receitas!L:L,Receitas!B:B,'BaseRelatório vOrçamento'!B120,Receitas!G:G,'BaseRelatório vOrçamento'!D120,Receitas!H:H,'BaseRelatório vOrçamento'!E120)</f>
        <v>65767.44</v>
      </c>
    </row>
    <row r="121" spans="1:10" x14ac:dyDescent="0.35">
      <c r="A121" s="54" t="s">
        <v>177</v>
      </c>
      <c r="B121" s="55">
        <v>45717</v>
      </c>
      <c r="C121" s="56" t="s">
        <v>46</v>
      </c>
      <c r="D121" s="56" t="s">
        <v>87</v>
      </c>
      <c r="E121" s="51" t="s">
        <v>9</v>
      </c>
      <c r="F121" s="56" t="s">
        <v>65</v>
      </c>
      <c r="G121" s="57">
        <v>0</v>
      </c>
      <c r="H121" s="58">
        <v>0</v>
      </c>
      <c r="J121"/>
    </row>
    <row r="122" spans="1:10" x14ac:dyDescent="0.35">
      <c r="A122" s="49" t="s">
        <v>166</v>
      </c>
      <c r="B122" s="50">
        <v>45689</v>
      </c>
      <c r="C122" s="51" t="s">
        <v>25</v>
      </c>
      <c r="D122" s="51" t="s">
        <v>12</v>
      </c>
      <c r="E122" s="51" t="s">
        <v>9</v>
      </c>
      <c r="F122" s="51" t="s">
        <v>7</v>
      </c>
      <c r="G122" s="52">
        <v>0</v>
      </c>
      <c r="H122" s="61">
        <v>0</v>
      </c>
      <c r="J122"/>
    </row>
    <row r="123" spans="1:10" x14ac:dyDescent="0.35">
      <c r="A123" s="54" t="s">
        <v>169</v>
      </c>
      <c r="B123" s="55">
        <v>45689</v>
      </c>
      <c r="C123" s="56" t="s">
        <v>25</v>
      </c>
      <c r="D123" s="56" t="s">
        <v>12</v>
      </c>
      <c r="E123" s="51" t="s">
        <v>170</v>
      </c>
      <c r="F123" s="56" t="s">
        <v>8</v>
      </c>
      <c r="G123" s="57">
        <v>0</v>
      </c>
      <c r="H123" s="62">
        <v>0</v>
      </c>
      <c r="J123"/>
    </row>
    <row r="124" spans="1:10" x14ac:dyDescent="0.35">
      <c r="A124" s="49" t="s">
        <v>169</v>
      </c>
      <c r="B124" s="50">
        <v>45689</v>
      </c>
      <c r="C124" s="51" t="s">
        <v>25</v>
      </c>
      <c r="D124" s="51" t="s">
        <v>12</v>
      </c>
      <c r="E124" s="51" t="s">
        <v>170</v>
      </c>
      <c r="F124" s="51" t="s">
        <v>15</v>
      </c>
      <c r="G124" s="52">
        <v>0</v>
      </c>
      <c r="H124" s="61">
        <v>0</v>
      </c>
      <c r="J124" s="12">
        <f>SUMIFS(Receitas!L:L,Receitas!B:B,'BaseRelatório vOrçamento'!B124,Receitas!G:G,'BaseRelatório vOrçamento'!D124,Receitas!H:H,'BaseRelatório vOrçamento'!E124)</f>
        <v>0</v>
      </c>
    </row>
    <row r="125" spans="1:10" x14ac:dyDescent="0.35">
      <c r="A125" s="54" t="s">
        <v>169</v>
      </c>
      <c r="B125" s="55">
        <v>45689</v>
      </c>
      <c r="C125" s="56" t="s">
        <v>25</v>
      </c>
      <c r="D125" s="56" t="s">
        <v>12</v>
      </c>
      <c r="E125" s="51" t="s">
        <v>170</v>
      </c>
      <c r="F125" s="56" t="s">
        <v>65</v>
      </c>
      <c r="G125" s="57">
        <v>0</v>
      </c>
      <c r="H125" s="62">
        <v>0</v>
      </c>
      <c r="J125"/>
    </row>
    <row r="126" spans="1:10" x14ac:dyDescent="0.35">
      <c r="A126" s="49" t="s">
        <v>134</v>
      </c>
      <c r="B126" s="50">
        <v>45717</v>
      </c>
      <c r="C126" s="51" t="s">
        <v>57</v>
      </c>
      <c r="D126" s="51" t="s">
        <v>58</v>
      </c>
      <c r="E126" s="51" t="s">
        <v>10</v>
      </c>
      <c r="F126" s="51" t="s">
        <v>7</v>
      </c>
      <c r="G126" s="52">
        <v>0</v>
      </c>
      <c r="H126" s="53">
        <v>0</v>
      </c>
      <c r="J126"/>
    </row>
    <row r="127" spans="1:10" x14ac:dyDescent="0.35">
      <c r="A127" s="54" t="s">
        <v>134</v>
      </c>
      <c r="B127" s="55">
        <v>45717</v>
      </c>
      <c r="C127" s="56" t="s">
        <v>57</v>
      </c>
      <c r="D127" s="56" t="s">
        <v>58</v>
      </c>
      <c r="E127" s="51" t="s">
        <v>10</v>
      </c>
      <c r="F127" s="56" t="s">
        <v>8</v>
      </c>
      <c r="G127" s="57">
        <v>0</v>
      </c>
      <c r="H127" s="58">
        <v>0</v>
      </c>
      <c r="J127"/>
    </row>
    <row r="128" spans="1:10" x14ac:dyDescent="0.35">
      <c r="A128" s="49" t="s">
        <v>134</v>
      </c>
      <c r="B128" s="50">
        <v>45717</v>
      </c>
      <c r="C128" s="51" t="s">
        <v>57</v>
      </c>
      <c r="D128" s="51" t="s">
        <v>58</v>
      </c>
      <c r="E128" s="51" t="s">
        <v>10</v>
      </c>
      <c r="F128" s="51" t="s">
        <v>15</v>
      </c>
      <c r="G128" s="52">
        <v>17311.068923076924</v>
      </c>
      <c r="H128" s="53">
        <v>550</v>
      </c>
      <c r="J128" s="12">
        <f>SUMIFS(Receitas!L:L,Receitas!B:B,'BaseRelatório vOrçamento'!B128,Receitas!G:G,'BaseRelatório vOrçamento'!D128,Receitas!H:H,'BaseRelatório vOrçamento'!E128)</f>
        <v>39628.17</v>
      </c>
    </row>
    <row r="129" spans="1:10" x14ac:dyDescent="0.35">
      <c r="A129" s="54" t="s">
        <v>134</v>
      </c>
      <c r="B129" s="55">
        <v>45717</v>
      </c>
      <c r="C129" s="56" t="s">
        <v>57</v>
      </c>
      <c r="D129" s="56" t="s">
        <v>58</v>
      </c>
      <c r="E129" s="51" t="s">
        <v>10</v>
      </c>
      <c r="F129" s="56" t="s">
        <v>65</v>
      </c>
      <c r="G129" s="57">
        <v>0</v>
      </c>
      <c r="H129" s="58">
        <v>0</v>
      </c>
      <c r="J129"/>
    </row>
    <row r="130" spans="1:10" x14ac:dyDescent="0.35">
      <c r="A130" s="59">
        <v>20105</v>
      </c>
      <c r="B130" s="50">
        <v>45717</v>
      </c>
      <c r="C130" s="51" t="s">
        <v>26</v>
      </c>
      <c r="D130" s="51" t="s">
        <v>19</v>
      </c>
      <c r="E130" s="51" t="s">
        <v>209</v>
      </c>
      <c r="F130" s="51" t="s">
        <v>7</v>
      </c>
      <c r="G130" s="52">
        <v>0</v>
      </c>
      <c r="H130" s="53">
        <v>0</v>
      </c>
      <c r="J130"/>
    </row>
    <row r="131" spans="1:10" x14ac:dyDescent="0.35">
      <c r="A131" s="60">
        <v>20105</v>
      </c>
      <c r="B131" s="55">
        <v>45717</v>
      </c>
      <c r="C131" s="56" t="s">
        <v>26</v>
      </c>
      <c r="D131" s="56" t="s">
        <v>19</v>
      </c>
      <c r="E131" s="51" t="s">
        <v>209</v>
      </c>
      <c r="F131" s="56" t="s">
        <v>8</v>
      </c>
      <c r="G131" s="57">
        <v>0</v>
      </c>
      <c r="H131" s="58">
        <v>0</v>
      </c>
      <c r="J131"/>
    </row>
    <row r="132" spans="1:10" x14ac:dyDescent="0.35">
      <c r="A132" s="59">
        <v>20105</v>
      </c>
      <c r="B132" s="50">
        <v>45717</v>
      </c>
      <c r="C132" s="51" t="s">
        <v>26</v>
      </c>
      <c r="D132" s="51" t="s">
        <v>19</v>
      </c>
      <c r="E132" s="51" t="s">
        <v>13</v>
      </c>
      <c r="F132" s="51" t="s">
        <v>15</v>
      </c>
      <c r="G132" s="52">
        <v>16933.880412371134</v>
      </c>
      <c r="H132" s="53">
        <v>545</v>
      </c>
      <c r="J132" s="12">
        <f>SUMIFS(Receitas!L:L,Receitas!B:B,'BaseRelatório vOrçamento'!B132,Receitas!G:G,'BaseRelatório vOrçamento'!D132,Receitas!H:H,'BaseRelatório vOrçamento'!E132)</f>
        <v>15260</v>
      </c>
    </row>
    <row r="133" spans="1:10" x14ac:dyDescent="0.35">
      <c r="A133" s="60">
        <v>20105</v>
      </c>
      <c r="B133" s="55">
        <v>45717</v>
      </c>
      <c r="C133" s="56" t="s">
        <v>26</v>
      </c>
      <c r="D133" s="56" t="s">
        <v>19</v>
      </c>
      <c r="E133" s="51" t="s">
        <v>209</v>
      </c>
      <c r="F133" s="56" t="s">
        <v>65</v>
      </c>
      <c r="G133" s="57">
        <v>0</v>
      </c>
      <c r="H133" s="58">
        <v>0</v>
      </c>
      <c r="J133"/>
    </row>
    <row r="134" spans="1:10" x14ac:dyDescent="0.35">
      <c r="A134" s="49" t="s">
        <v>142</v>
      </c>
      <c r="B134" s="50">
        <v>45748</v>
      </c>
      <c r="C134" s="51" t="s">
        <v>48</v>
      </c>
      <c r="D134" s="51" t="s">
        <v>49</v>
      </c>
      <c r="E134" s="51" t="s">
        <v>52</v>
      </c>
      <c r="F134" s="51" t="s">
        <v>7</v>
      </c>
      <c r="G134" s="52">
        <v>0</v>
      </c>
      <c r="H134" s="53">
        <v>0</v>
      </c>
      <c r="J134"/>
    </row>
    <row r="135" spans="1:10" x14ac:dyDescent="0.35">
      <c r="A135" s="54" t="s">
        <v>142</v>
      </c>
      <c r="B135" s="55">
        <v>45748</v>
      </c>
      <c r="C135" s="56" t="s">
        <v>48</v>
      </c>
      <c r="D135" s="56" t="s">
        <v>49</v>
      </c>
      <c r="E135" s="51" t="s">
        <v>52</v>
      </c>
      <c r="F135" s="56" t="s">
        <v>8</v>
      </c>
      <c r="G135" s="57">
        <v>0</v>
      </c>
      <c r="H135" s="58">
        <v>0</v>
      </c>
      <c r="J135"/>
    </row>
    <row r="136" spans="1:10" x14ac:dyDescent="0.35">
      <c r="A136" s="49" t="s">
        <v>142</v>
      </c>
      <c r="B136" s="50">
        <v>45748</v>
      </c>
      <c r="C136" s="51" t="s">
        <v>48</v>
      </c>
      <c r="D136" s="51" t="s">
        <v>49</v>
      </c>
      <c r="E136" s="51" t="s">
        <v>52</v>
      </c>
      <c r="F136" s="51" t="s">
        <v>15</v>
      </c>
      <c r="G136" s="52">
        <v>89789.370062370057</v>
      </c>
      <c r="H136" s="53">
        <v>2040</v>
      </c>
      <c r="J136" s="12">
        <f>SUMIFS(Receitas!L:L,Receitas!B:B,'BaseRelatório vOrçamento'!B136,Receitas!G:G,'BaseRelatório vOrçamento'!D136,Receitas!H:H,'BaseRelatório vOrçamento'!E136)</f>
        <v>86985.600000000006</v>
      </c>
    </row>
    <row r="137" spans="1:10" x14ac:dyDescent="0.35">
      <c r="A137" s="54" t="s">
        <v>142</v>
      </c>
      <c r="B137" s="55">
        <v>45748</v>
      </c>
      <c r="C137" s="56" t="s">
        <v>48</v>
      </c>
      <c r="D137" s="56" t="s">
        <v>49</v>
      </c>
      <c r="E137" s="51" t="s">
        <v>52</v>
      </c>
      <c r="F137" s="56" t="s">
        <v>65</v>
      </c>
      <c r="G137" s="57">
        <v>0</v>
      </c>
      <c r="H137" s="58">
        <v>0</v>
      </c>
      <c r="J137"/>
    </row>
    <row r="138" spans="1:10" x14ac:dyDescent="0.35">
      <c r="A138" s="49" t="s">
        <v>139</v>
      </c>
      <c r="B138" s="50">
        <v>45748</v>
      </c>
      <c r="C138" s="51" t="s">
        <v>48</v>
      </c>
      <c r="D138" s="51" t="s">
        <v>49</v>
      </c>
      <c r="E138" s="51" t="s">
        <v>14</v>
      </c>
      <c r="F138" s="51" t="s">
        <v>7</v>
      </c>
      <c r="G138" s="52">
        <v>0</v>
      </c>
      <c r="H138" s="53">
        <v>0</v>
      </c>
      <c r="J138"/>
    </row>
    <row r="139" spans="1:10" x14ac:dyDescent="0.35">
      <c r="A139" s="54" t="s">
        <v>139</v>
      </c>
      <c r="B139" s="55">
        <v>45748</v>
      </c>
      <c r="C139" s="56" t="s">
        <v>48</v>
      </c>
      <c r="D139" s="56" t="s">
        <v>49</v>
      </c>
      <c r="E139" s="51" t="s">
        <v>14</v>
      </c>
      <c r="F139" s="56" t="s">
        <v>8</v>
      </c>
      <c r="G139" s="57">
        <v>0</v>
      </c>
      <c r="H139" s="58">
        <v>0</v>
      </c>
      <c r="J139"/>
    </row>
    <row r="140" spans="1:10" x14ac:dyDescent="0.35">
      <c r="A140" s="49" t="s">
        <v>139</v>
      </c>
      <c r="B140" s="50">
        <v>45748</v>
      </c>
      <c r="C140" s="51" t="s">
        <v>48</v>
      </c>
      <c r="D140" s="51" t="s">
        <v>49</v>
      </c>
      <c r="E140" s="51" t="s">
        <v>14</v>
      </c>
      <c r="F140" s="51" t="s">
        <v>15</v>
      </c>
      <c r="G140" s="52">
        <v>28839.059251559258</v>
      </c>
      <c r="H140" s="53">
        <v>1500</v>
      </c>
      <c r="J140" s="12">
        <f>SUMIFS(Receitas!L:L,Receitas!B:B,'BaseRelatório vOrçamento'!B140,Receitas!G:G,'BaseRelatório vOrçamento'!D140,Receitas!H:H,'BaseRelatório vOrçamento'!E140)</f>
        <v>16726.32</v>
      </c>
    </row>
    <row r="141" spans="1:10" x14ac:dyDescent="0.35">
      <c r="A141" s="54" t="s">
        <v>139</v>
      </c>
      <c r="B141" s="55">
        <v>45748</v>
      </c>
      <c r="C141" s="56" t="s">
        <v>48</v>
      </c>
      <c r="D141" s="56" t="s">
        <v>49</v>
      </c>
      <c r="E141" s="51" t="s">
        <v>14</v>
      </c>
      <c r="F141" s="56" t="s">
        <v>65</v>
      </c>
      <c r="G141" s="57">
        <v>0</v>
      </c>
      <c r="H141" s="58">
        <v>0</v>
      </c>
      <c r="J141"/>
    </row>
    <row r="142" spans="1:10" x14ac:dyDescent="0.35">
      <c r="A142" s="49" t="s">
        <v>25</v>
      </c>
      <c r="B142" s="50">
        <v>45748</v>
      </c>
      <c r="C142" s="51" t="s">
        <v>48</v>
      </c>
      <c r="D142" s="51" t="s">
        <v>49</v>
      </c>
      <c r="E142" s="51" t="s">
        <v>116</v>
      </c>
      <c r="F142" s="51" t="s">
        <v>7</v>
      </c>
      <c r="G142" s="52">
        <v>0</v>
      </c>
      <c r="H142" s="53">
        <v>0</v>
      </c>
      <c r="J142"/>
    </row>
    <row r="143" spans="1:10" x14ac:dyDescent="0.35">
      <c r="A143" s="54" t="s">
        <v>25</v>
      </c>
      <c r="B143" s="55">
        <v>45748</v>
      </c>
      <c r="C143" s="56" t="s">
        <v>48</v>
      </c>
      <c r="D143" s="56" t="s">
        <v>49</v>
      </c>
      <c r="E143" s="51" t="s">
        <v>116</v>
      </c>
      <c r="F143" s="56" t="s">
        <v>8</v>
      </c>
      <c r="G143" s="57">
        <v>0</v>
      </c>
      <c r="H143" s="58">
        <v>0</v>
      </c>
      <c r="J143"/>
    </row>
    <row r="144" spans="1:10" x14ac:dyDescent="0.35">
      <c r="A144" s="49" t="s">
        <v>25</v>
      </c>
      <c r="B144" s="50">
        <v>45748</v>
      </c>
      <c r="C144" s="51" t="s">
        <v>48</v>
      </c>
      <c r="D144" s="51" t="s">
        <v>49</v>
      </c>
      <c r="E144" s="51" t="s">
        <v>116</v>
      </c>
      <c r="F144" s="51" t="s">
        <v>15</v>
      </c>
      <c r="G144" s="52">
        <v>9729.72972972973</v>
      </c>
      <c r="H144" s="53">
        <v>300</v>
      </c>
      <c r="J144" s="12">
        <f>SUMIFS(Receitas!L:L,Receitas!B:B,'BaseRelatório vOrçamento'!B144,Receitas!G:G,'BaseRelatório vOrçamento'!D144,Receitas!H:H,'BaseRelatório vOrçamento'!E144)</f>
        <v>0</v>
      </c>
    </row>
    <row r="145" spans="1:10" x14ac:dyDescent="0.35">
      <c r="A145" s="54" t="s">
        <v>25</v>
      </c>
      <c r="B145" s="55">
        <v>45748</v>
      </c>
      <c r="C145" s="56" t="s">
        <v>48</v>
      </c>
      <c r="D145" s="56" t="s">
        <v>49</v>
      </c>
      <c r="E145" s="51" t="s">
        <v>116</v>
      </c>
      <c r="F145" s="56" t="s">
        <v>65</v>
      </c>
      <c r="G145" s="57">
        <v>0</v>
      </c>
      <c r="H145" s="58">
        <v>0</v>
      </c>
      <c r="J145"/>
    </row>
    <row r="146" spans="1:10" x14ac:dyDescent="0.35">
      <c r="A146" s="49" t="s">
        <v>102</v>
      </c>
      <c r="B146" s="50">
        <v>45748</v>
      </c>
      <c r="C146" s="51" t="s">
        <v>48</v>
      </c>
      <c r="D146" s="51" t="s">
        <v>49</v>
      </c>
      <c r="E146" s="51" t="s">
        <v>51</v>
      </c>
      <c r="F146" s="51" t="s">
        <v>7</v>
      </c>
      <c r="G146" s="52">
        <v>0</v>
      </c>
      <c r="H146" s="53">
        <v>0</v>
      </c>
      <c r="J146"/>
    </row>
    <row r="147" spans="1:10" x14ac:dyDescent="0.35">
      <c r="A147" s="54" t="s">
        <v>102</v>
      </c>
      <c r="B147" s="55">
        <v>45748</v>
      </c>
      <c r="C147" s="56" t="s">
        <v>48</v>
      </c>
      <c r="D147" s="56" t="s">
        <v>49</v>
      </c>
      <c r="E147" s="51" t="s">
        <v>51</v>
      </c>
      <c r="F147" s="56" t="s">
        <v>8</v>
      </c>
      <c r="G147" s="57">
        <v>0</v>
      </c>
      <c r="H147" s="58">
        <v>0</v>
      </c>
      <c r="J147"/>
    </row>
    <row r="148" spans="1:10" x14ac:dyDescent="0.35">
      <c r="A148" s="49" t="s">
        <v>102</v>
      </c>
      <c r="B148" s="50">
        <v>45748</v>
      </c>
      <c r="C148" s="51" t="s">
        <v>48</v>
      </c>
      <c r="D148" s="51" t="s">
        <v>49</v>
      </c>
      <c r="E148" s="51" t="s">
        <v>51</v>
      </c>
      <c r="F148" s="51" t="s">
        <v>15</v>
      </c>
      <c r="G148" s="52">
        <v>226720.94594594592</v>
      </c>
      <c r="H148" s="53">
        <v>6500</v>
      </c>
      <c r="J148" s="12">
        <f>SUMIFS(Receitas!L:L,Receitas!B:B,'BaseRelatório vOrçamento'!B148,Receitas!G:G,'BaseRelatório vOrçamento'!D148,Receitas!H:H,'BaseRelatório vOrçamento'!E148)</f>
        <v>210730</v>
      </c>
    </row>
    <row r="149" spans="1:10" x14ac:dyDescent="0.35">
      <c r="A149" s="54" t="s">
        <v>102</v>
      </c>
      <c r="B149" s="55">
        <v>45748</v>
      </c>
      <c r="C149" s="56" t="s">
        <v>48</v>
      </c>
      <c r="D149" s="56" t="s">
        <v>49</v>
      </c>
      <c r="E149" s="51" t="s">
        <v>51</v>
      </c>
      <c r="F149" s="56" t="s">
        <v>65</v>
      </c>
      <c r="G149" s="57">
        <v>0</v>
      </c>
      <c r="H149" s="58">
        <v>0</v>
      </c>
      <c r="J149"/>
    </row>
    <row r="150" spans="1:10" x14ac:dyDescent="0.35">
      <c r="A150" s="49" t="s">
        <v>118</v>
      </c>
      <c r="B150" s="50">
        <v>45748</v>
      </c>
      <c r="C150" s="51" t="s">
        <v>22</v>
      </c>
      <c r="D150" s="51" t="s">
        <v>11</v>
      </c>
      <c r="E150" s="51" t="s">
        <v>209</v>
      </c>
      <c r="F150" s="51" t="s">
        <v>7</v>
      </c>
      <c r="G150" s="52">
        <v>0</v>
      </c>
      <c r="H150" s="53">
        <v>0</v>
      </c>
      <c r="J150"/>
    </row>
    <row r="151" spans="1:10" x14ac:dyDescent="0.35">
      <c r="A151" s="54" t="s">
        <v>118</v>
      </c>
      <c r="B151" s="55">
        <v>45748</v>
      </c>
      <c r="C151" s="56" t="s">
        <v>22</v>
      </c>
      <c r="D151" s="56" t="s">
        <v>11</v>
      </c>
      <c r="E151" s="51" t="s">
        <v>209</v>
      </c>
      <c r="F151" s="56" t="s">
        <v>8</v>
      </c>
      <c r="G151" s="57">
        <v>0</v>
      </c>
      <c r="H151" s="58">
        <v>0</v>
      </c>
      <c r="J151"/>
    </row>
    <row r="152" spans="1:10" x14ac:dyDescent="0.35">
      <c r="A152" s="49" t="s">
        <v>190</v>
      </c>
      <c r="B152" s="50">
        <v>45748</v>
      </c>
      <c r="C152" s="51" t="s">
        <v>22</v>
      </c>
      <c r="D152" s="51" t="s">
        <v>11</v>
      </c>
      <c r="E152" s="51" t="s">
        <v>116</v>
      </c>
      <c r="F152" s="51" t="s">
        <v>15</v>
      </c>
      <c r="G152" s="52">
        <v>59115.789473684214</v>
      </c>
      <c r="H152" s="53">
        <v>2000</v>
      </c>
      <c r="J152" s="12">
        <f>SUMIFS(Receitas!L:L,Receitas!B:B,'BaseRelatório vOrçamento'!B152,Receitas!G:G,'BaseRelatório vOrçamento'!D152,Receitas!H:H,'BaseRelatório vOrçamento'!E152)</f>
        <v>0</v>
      </c>
    </row>
    <row r="153" spans="1:10" x14ac:dyDescent="0.35">
      <c r="A153" s="54" t="s">
        <v>118</v>
      </c>
      <c r="B153" s="55">
        <v>45748</v>
      </c>
      <c r="C153" s="56" t="s">
        <v>22</v>
      </c>
      <c r="D153" s="56" t="s">
        <v>11</v>
      </c>
      <c r="E153" s="51" t="s">
        <v>209</v>
      </c>
      <c r="F153" s="56" t="s">
        <v>65</v>
      </c>
      <c r="G153" s="57">
        <v>0</v>
      </c>
      <c r="H153" s="58">
        <v>0</v>
      </c>
      <c r="J153"/>
    </row>
    <row r="154" spans="1:10" x14ac:dyDescent="0.35">
      <c r="A154" s="49" t="s">
        <v>172</v>
      </c>
      <c r="B154" s="50">
        <v>45748</v>
      </c>
      <c r="C154" s="51" t="s">
        <v>22</v>
      </c>
      <c r="D154" s="51" t="s">
        <v>11</v>
      </c>
      <c r="E154" s="51" t="s">
        <v>13</v>
      </c>
      <c r="F154" s="51" t="s">
        <v>7</v>
      </c>
      <c r="G154" s="52">
        <v>0</v>
      </c>
      <c r="H154" s="53">
        <v>0</v>
      </c>
      <c r="J154"/>
    </row>
    <row r="155" spans="1:10" x14ac:dyDescent="0.35">
      <c r="A155" s="54" t="s">
        <v>172</v>
      </c>
      <c r="B155" s="55">
        <v>45748</v>
      </c>
      <c r="C155" s="56" t="s">
        <v>22</v>
      </c>
      <c r="D155" s="56" t="s">
        <v>11</v>
      </c>
      <c r="E155" s="51" t="s">
        <v>13</v>
      </c>
      <c r="F155" s="56" t="s">
        <v>8</v>
      </c>
      <c r="G155" s="57">
        <v>0</v>
      </c>
      <c r="H155" s="58">
        <v>0</v>
      </c>
      <c r="J155"/>
    </row>
    <row r="156" spans="1:10" x14ac:dyDescent="0.35">
      <c r="A156" s="49" t="s">
        <v>172</v>
      </c>
      <c r="B156" s="50">
        <v>45748</v>
      </c>
      <c r="C156" s="51" t="s">
        <v>22</v>
      </c>
      <c r="D156" s="51" t="s">
        <v>11</v>
      </c>
      <c r="E156" s="51" t="s">
        <v>13</v>
      </c>
      <c r="F156" s="51" t="s">
        <v>15</v>
      </c>
      <c r="G156" s="52">
        <v>0</v>
      </c>
      <c r="H156" s="53">
        <v>0</v>
      </c>
      <c r="J156" s="12">
        <f>SUMIFS(Receitas!L:L,Receitas!B:B,'BaseRelatório vOrçamento'!B156,Receitas!G:G,'BaseRelatório vOrçamento'!D156,Receitas!H:H,'BaseRelatório vOrçamento'!E156)</f>
        <v>0</v>
      </c>
    </row>
    <row r="157" spans="1:10" x14ac:dyDescent="0.35">
      <c r="A157" s="54" t="s">
        <v>172</v>
      </c>
      <c r="B157" s="55">
        <v>45748</v>
      </c>
      <c r="C157" s="56" t="s">
        <v>22</v>
      </c>
      <c r="D157" s="56" t="s">
        <v>11</v>
      </c>
      <c r="E157" s="51" t="s">
        <v>13</v>
      </c>
      <c r="F157" s="56" t="s">
        <v>65</v>
      </c>
      <c r="G157" s="57">
        <v>0</v>
      </c>
      <c r="H157" s="58">
        <v>0</v>
      </c>
      <c r="J157"/>
    </row>
    <row r="158" spans="1:10" x14ac:dyDescent="0.35">
      <c r="A158" s="49" t="s">
        <v>149</v>
      </c>
      <c r="B158" s="50">
        <v>45748</v>
      </c>
      <c r="C158" s="51" t="s">
        <v>23</v>
      </c>
      <c r="D158" s="51" t="s">
        <v>112</v>
      </c>
      <c r="E158" s="51" t="s">
        <v>113</v>
      </c>
      <c r="F158" s="51" t="s">
        <v>7</v>
      </c>
      <c r="G158" s="52">
        <v>0</v>
      </c>
      <c r="H158" s="53">
        <v>0</v>
      </c>
      <c r="J158"/>
    </row>
    <row r="159" spans="1:10" x14ac:dyDescent="0.35">
      <c r="A159" s="54" t="s">
        <v>149</v>
      </c>
      <c r="B159" s="55">
        <v>45748</v>
      </c>
      <c r="C159" s="56" t="s">
        <v>23</v>
      </c>
      <c r="D159" s="56" t="s">
        <v>112</v>
      </c>
      <c r="E159" s="51" t="s">
        <v>113</v>
      </c>
      <c r="F159" s="56" t="s">
        <v>8</v>
      </c>
      <c r="G159" s="57">
        <v>0</v>
      </c>
      <c r="H159" s="58">
        <v>0</v>
      </c>
      <c r="J159"/>
    </row>
    <row r="160" spans="1:10" x14ac:dyDescent="0.35">
      <c r="A160" s="49" t="s">
        <v>149</v>
      </c>
      <c r="B160" s="50">
        <v>45748</v>
      </c>
      <c r="C160" s="51" t="s">
        <v>23</v>
      </c>
      <c r="D160" s="51" t="s">
        <v>112</v>
      </c>
      <c r="E160" s="51" t="s">
        <v>113</v>
      </c>
      <c r="F160" s="51" t="s">
        <v>15</v>
      </c>
      <c r="G160" s="52">
        <v>89658.947368421053</v>
      </c>
      <c r="H160" s="53">
        <v>4200</v>
      </c>
      <c r="J160" s="12">
        <f>SUMIFS(Receitas!L:L,Receitas!B:B,'BaseRelatório vOrçamento'!B160,Receitas!G:G,'BaseRelatório vOrçamento'!D160,Receitas!H:H,'BaseRelatório vOrçamento'!E160)</f>
        <v>0</v>
      </c>
    </row>
    <row r="161" spans="1:10" x14ac:dyDescent="0.35">
      <c r="A161" s="54" t="s">
        <v>149</v>
      </c>
      <c r="B161" s="55">
        <v>45748</v>
      </c>
      <c r="C161" s="56" t="s">
        <v>23</v>
      </c>
      <c r="D161" s="56" t="s">
        <v>112</v>
      </c>
      <c r="E161" s="51" t="s">
        <v>113</v>
      </c>
      <c r="F161" s="56" t="s">
        <v>65</v>
      </c>
      <c r="G161" s="57">
        <v>0</v>
      </c>
      <c r="H161" s="58">
        <v>0</v>
      </c>
      <c r="J161"/>
    </row>
    <row r="162" spans="1:10" x14ac:dyDescent="0.35">
      <c r="A162" s="49" t="s">
        <v>177</v>
      </c>
      <c r="B162" s="50">
        <v>45748</v>
      </c>
      <c r="C162" s="51" t="s">
        <v>46</v>
      </c>
      <c r="D162" s="51" t="s">
        <v>87</v>
      </c>
      <c r="E162" s="51" t="s">
        <v>9</v>
      </c>
      <c r="F162" s="51" t="s">
        <v>7</v>
      </c>
      <c r="G162" s="52">
        <v>0</v>
      </c>
      <c r="H162" s="53">
        <v>0</v>
      </c>
      <c r="J162"/>
    </row>
    <row r="163" spans="1:10" x14ac:dyDescent="0.35">
      <c r="A163" s="54" t="s">
        <v>177</v>
      </c>
      <c r="B163" s="55">
        <v>45748</v>
      </c>
      <c r="C163" s="56" t="s">
        <v>46</v>
      </c>
      <c r="D163" s="56" t="s">
        <v>87</v>
      </c>
      <c r="E163" s="51" t="s">
        <v>9</v>
      </c>
      <c r="F163" s="56" t="s">
        <v>8</v>
      </c>
      <c r="G163" s="57">
        <v>0</v>
      </c>
      <c r="H163" s="58">
        <v>0</v>
      </c>
      <c r="J163"/>
    </row>
    <row r="164" spans="1:10" x14ac:dyDescent="0.35">
      <c r="A164" s="49" t="s">
        <v>177</v>
      </c>
      <c r="B164" s="50">
        <v>45748</v>
      </c>
      <c r="C164" s="51" t="s">
        <v>46</v>
      </c>
      <c r="D164" s="51" t="s">
        <v>87</v>
      </c>
      <c r="E164" s="51" t="s">
        <v>9</v>
      </c>
      <c r="F164" s="51" t="s">
        <v>15</v>
      </c>
      <c r="G164" s="52">
        <v>137499.15789473685</v>
      </c>
      <c r="H164" s="53">
        <v>4200</v>
      </c>
      <c r="J164" s="12">
        <f>SUMIFS(Receitas!L:L,Receitas!B:B,'BaseRelatório vOrçamento'!B164,Receitas!G:G,'BaseRelatório vOrçamento'!D164,Receitas!H:H,'BaseRelatório vOrçamento'!E164)</f>
        <v>63504.983999999997</v>
      </c>
    </row>
    <row r="165" spans="1:10" x14ac:dyDescent="0.35">
      <c r="A165" s="54" t="s">
        <v>177</v>
      </c>
      <c r="B165" s="55">
        <v>45748</v>
      </c>
      <c r="C165" s="56" t="s">
        <v>46</v>
      </c>
      <c r="D165" s="56" t="s">
        <v>87</v>
      </c>
      <c r="E165" s="51" t="s">
        <v>9</v>
      </c>
      <c r="F165" s="56" t="s">
        <v>65</v>
      </c>
      <c r="G165" s="57">
        <v>0</v>
      </c>
      <c r="H165" s="58">
        <v>0</v>
      </c>
      <c r="J165"/>
    </row>
    <row r="166" spans="1:10" x14ac:dyDescent="0.35">
      <c r="A166" s="49" t="s">
        <v>169</v>
      </c>
      <c r="B166" s="50">
        <v>45689</v>
      </c>
      <c r="C166" s="51" t="s">
        <v>25</v>
      </c>
      <c r="D166" s="51" t="s">
        <v>12</v>
      </c>
      <c r="E166" s="51" t="s">
        <v>170</v>
      </c>
      <c r="F166" s="51" t="s">
        <v>7</v>
      </c>
      <c r="G166" s="52">
        <v>0</v>
      </c>
      <c r="H166" s="61">
        <v>0</v>
      </c>
      <c r="J166"/>
    </row>
    <row r="167" spans="1:10" x14ac:dyDescent="0.35">
      <c r="A167" s="54" t="s">
        <v>166</v>
      </c>
      <c r="B167" s="55">
        <v>45717</v>
      </c>
      <c r="C167" s="56" t="s">
        <v>25</v>
      </c>
      <c r="D167" s="56" t="s">
        <v>12</v>
      </c>
      <c r="E167" s="51" t="s">
        <v>9</v>
      </c>
      <c r="F167" s="56" t="s">
        <v>7</v>
      </c>
      <c r="G167" s="57">
        <v>0</v>
      </c>
      <c r="H167" s="58">
        <v>0</v>
      </c>
      <c r="J167"/>
    </row>
    <row r="168" spans="1:10" x14ac:dyDescent="0.35">
      <c r="A168" s="49" t="s">
        <v>166</v>
      </c>
      <c r="B168" s="50">
        <v>45717</v>
      </c>
      <c r="C168" s="51" t="s">
        <v>25</v>
      </c>
      <c r="D168" s="51" t="s">
        <v>12</v>
      </c>
      <c r="E168" s="51" t="s">
        <v>9</v>
      </c>
      <c r="F168" s="51" t="s">
        <v>8</v>
      </c>
      <c r="G168" s="52">
        <v>0</v>
      </c>
      <c r="H168" s="53">
        <v>0</v>
      </c>
      <c r="J168"/>
    </row>
    <row r="169" spans="1:10" x14ac:dyDescent="0.35">
      <c r="A169" s="54" t="s">
        <v>166</v>
      </c>
      <c r="B169" s="55">
        <v>45717</v>
      </c>
      <c r="C169" s="56" t="s">
        <v>25</v>
      </c>
      <c r="D169" s="56" t="s">
        <v>12</v>
      </c>
      <c r="E169" s="51" t="s">
        <v>9</v>
      </c>
      <c r="F169" s="56" t="s">
        <v>15</v>
      </c>
      <c r="G169" s="57">
        <v>164947.60916666666</v>
      </c>
      <c r="H169" s="58">
        <v>6100</v>
      </c>
      <c r="J169" s="12">
        <f>SUMIFS(Receitas!L:L,Receitas!B:B,'BaseRelatório vOrçamento'!B169,Receitas!G:G,'BaseRelatório vOrçamento'!D169,Receitas!H:H,'BaseRelatório vOrçamento'!E169)</f>
        <v>460812.44400000002</v>
      </c>
    </row>
    <row r="170" spans="1:10" x14ac:dyDescent="0.35">
      <c r="A170" s="49" t="s">
        <v>134</v>
      </c>
      <c r="B170" s="50">
        <v>45748</v>
      </c>
      <c r="C170" s="51" t="s">
        <v>57</v>
      </c>
      <c r="D170" s="51" t="s">
        <v>58</v>
      </c>
      <c r="E170" s="51" t="s">
        <v>10</v>
      </c>
      <c r="F170" s="51" t="s">
        <v>7</v>
      </c>
      <c r="G170" s="52">
        <v>0</v>
      </c>
      <c r="H170" s="53">
        <v>0</v>
      </c>
      <c r="J170"/>
    </row>
    <row r="171" spans="1:10" x14ac:dyDescent="0.35">
      <c r="A171" s="54" t="s">
        <v>134</v>
      </c>
      <c r="B171" s="55">
        <v>45748</v>
      </c>
      <c r="C171" s="56" t="s">
        <v>57</v>
      </c>
      <c r="D171" s="56" t="s">
        <v>58</v>
      </c>
      <c r="E171" s="51" t="s">
        <v>10</v>
      </c>
      <c r="F171" s="56" t="s">
        <v>8</v>
      </c>
      <c r="G171" s="57">
        <v>0</v>
      </c>
      <c r="H171" s="58">
        <v>0</v>
      </c>
      <c r="J171"/>
    </row>
    <row r="172" spans="1:10" x14ac:dyDescent="0.35">
      <c r="A172" s="49" t="s">
        <v>134</v>
      </c>
      <c r="B172" s="50">
        <v>45748</v>
      </c>
      <c r="C172" s="51" t="s">
        <v>57</v>
      </c>
      <c r="D172" s="51" t="s">
        <v>58</v>
      </c>
      <c r="E172" s="51" t="s">
        <v>10</v>
      </c>
      <c r="F172" s="51" t="s">
        <v>15</v>
      </c>
      <c r="G172" s="52">
        <v>17311.068923076924</v>
      </c>
      <c r="H172" s="53">
        <v>550</v>
      </c>
      <c r="J172" s="12">
        <f>SUMIFS(Receitas!L:L,Receitas!B:B,'BaseRelatório vOrçamento'!B172,Receitas!G:G,'BaseRelatório vOrçamento'!D172,Receitas!H:H,'BaseRelatório vOrçamento'!E172)</f>
        <v>43115.22</v>
      </c>
    </row>
    <row r="173" spans="1:10" x14ac:dyDescent="0.35">
      <c r="A173" s="54" t="s">
        <v>134</v>
      </c>
      <c r="B173" s="55">
        <v>45748</v>
      </c>
      <c r="C173" s="56" t="s">
        <v>57</v>
      </c>
      <c r="D173" s="56" t="s">
        <v>58</v>
      </c>
      <c r="E173" s="51" t="s">
        <v>10</v>
      </c>
      <c r="F173" s="56" t="s">
        <v>65</v>
      </c>
      <c r="G173" s="57">
        <v>0</v>
      </c>
      <c r="H173" s="58">
        <v>0</v>
      </c>
      <c r="J173"/>
    </row>
    <row r="174" spans="1:10" x14ac:dyDescent="0.35">
      <c r="A174" s="59">
        <v>20105</v>
      </c>
      <c r="B174" s="50">
        <v>45748</v>
      </c>
      <c r="C174" s="51" t="s">
        <v>26</v>
      </c>
      <c r="D174" s="51" t="s">
        <v>19</v>
      </c>
      <c r="E174" s="51" t="s">
        <v>209</v>
      </c>
      <c r="F174" s="51" t="s">
        <v>7</v>
      </c>
      <c r="G174" s="52">
        <v>0</v>
      </c>
      <c r="H174" s="53">
        <v>0</v>
      </c>
      <c r="J174"/>
    </row>
    <row r="175" spans="1:10" x14ac:dyDescent="0.35">
      <c r="A175" s="60">
        <v>20105</v>
      </c>
      <c r="B175" s="55">
        <v>45748</v>
      </c>
      <c r="C175" s="56" t="s">
        <v>26</v>
      </c>
      <c r="D175" s="56" t="s">
        <v>19</v>
      </c>
      <c r="E175" s="51" t="s">
        <v>209</v>
      </c>
      <c r="F175" s="56" t="s">
        <v>8</v>
      </c>
      <c r="G175" s="57">
        <v>0</v>
      </c>
      <c r="H175" s="58">
        <v>0</v>
      </c>
      <c r="J175"/>
    </row>
    <row r="176" spans="1:10" x14ac:dyDescent="0.35">
      <c r="A176" s="59">
        <v>20105</v>
      </c>
      <c r="B176" s="50">
        <v>45748</v>
      </c>
      <c r="C176" s="51" t="s">
        <v>26</v>
      </c>
      <c r="D176" s="51" t="s">
        <v>19</v>
      </c>
      <c r="E176" s="51" t="s">
        <v>13</v>
      </c>
      <c r="F176" s="51" t="s">
        <v>15</v>
      </c>
      <c r="G176" s="52">
        <v>16933.880412371134</v>
      </c>
      <c r="H176" s="53">
        <v>545</v>
      </c>
      <c r="J176" s="12">
        <f>SUMIFS(Receitas!L:L,Receitas!B:B,'BaseRelatório vOrçamento'!B176,Receitas!G:G,'BaseRelatório vOrçamento'!D176,Receitas!H:H,'BaseRelatório vOrçamento'!E176)</f>
        <v>15260</v>
      </c>
    </row>
    <row r="177" spans="1:10" x14ac:dyDescent="0.35">
      <c r="A177" s="60">
        <v>20105</v>
      </c>
      <c r="B177" s="55">
        <v>45748</v>
      </c>
      <c r="C177" s="56" t="s">
        <v>26</v>
      </c>
      <c r="D177" s="56" t="s">
        <v>19</v>
      </c>
      <c r="E177" s="51" t="s">
        <v>209</v>
      </c>
      <c r="F177" s="56" t="s">
        <v>65</v>
      </c>
      <c r="G177" s="57">
        <v>0</v>
      </c>
      <c r="H177" s="58">
        <v>0</v>
      </c>
      <c r="J177"/>
    </row>
    <row r="178" spans="1:10" x14ac:dyDescent="0.35">
      <c r="A178" s="49" t="s">
        <v>142</v>
      </c>
      <c r="B178" s="50">
        <v>45778</v>
      </c>
      <c r="C178" s="51" t="s">
        <v>48</v>
      </c>
      <c r="D178" s="51" t="s">
        <v>49</v>
      </c>
      <c r="E178" s="51" t="s">
        <v>52</v>
      </c>
      <c r="F178" s="51" t="s">
        <v>7</v>
      </c>
      <c r="G178" s="52">
        <v>0</v>
      </c>
      <c r="H178" s="53">
        <v>0</v>
      </c>
      <c r="J178"/>
    </row>
    <row r="179" spans="1:10" x14ac:dyDescent="0.35">
      <c r="A179" s="54" t="s">
        <v>142</v>
      </c>
      <c r="B179" s="55">
        <v>45778</v>
      </c>
      <c r="C179" s="56" t="s">
        <v>48</v>
      </c>
      <c r="D179" s="56" t="s">
        <v>49</v>
      </c>
      <c r="E179" s="51" t="s">
        <v>52</v>
      </c>
      <c r="F179" s="56" t="s">
        <v>8</v>
      </c>
      <c r="G179" s="57">
        <v>0</v>
      </c>
      <c r="H179" s="58">
        <v>0</v>
      </c>
      <c r="J179"/>
    </row>
    <row r="180" spans="1:10" x14ac:dyDescent="0.35">
      <c r="A180" s="49" t="s">
        <v>142</v>
      </c>
      <c r="B180" s="50">
        <v>45778</v>
      </c>
      <c r="C180" s="51" t="s">
        <v>48</v>
      </c>
      <c r="D180" s="51" t="s">
        <v>49</v>
      </c>
      <c r="E180" s="51" t="s">
        <v>52</v>
      </c>
      <c r="F180" s="51" t="s">
        <v>15</v>
      </c>
      <c r="G180" s="52">
        <v>89789.370062370057</v>
      </c>
      <c r="H180" s="53">
        <v>2040</v>
      </c>
      <c r="J180" s="12">
        <f>SUMIFS(Receitas!L:L,Receitas!B:B,'BaseRelatório vOrçamento'!B180,Receitas!G:G,'BaseRelatório vOrçamento'!D180,Receitas!H:H,'BaseRelatório vOrçamento'!E180)</f>
        <v>90421.62</v>
      </c>
    </row>
    <row r="181" spans="1:10" x14ac:dyDescent="0.35">
      <c r="A181" s="54" t="s">
        <v>142</v>
      </c>
      <c r="B181" s="55">
        <v>45778</v>
      </c>
      <c r="C181" s="56" t="s">
        <v>48</v>
      </c>
      <c r="D181" s="56" t="s">
        <v>49</v>
      </c>
      <c r="E181" s="51" t="s">
        <v>52</v>
      </c>
      <c r="F181" s="56" t="s">
        <v>65</v>
      </c>
      <c r="G181" s="57">
        <v>0</v>
      </c>
      <c r="H181" s="58">
        <v>0</v>
      </c>
      <c r="J181"/>
    </row>
    <row r="182" spans="1:10" x14ac:dyDescent="0.35">
      <c r="A182" s="49" t="s">
        <v>139</v>
      </c>
      <c r="B182" s="50">
        <v>45778</v>
      </c>
      <c r="C182" s="51" t="s">
        <v>48</v>
      </c>
      <c r="D182" s="51" t="s">
        <v>49</v>
      </c>
      <c r="E182" s="51" t="s">
        <v>14</v>
      </c>
      <c r="F182" s="51" t="s">
        <v>7</v>
      </c>
      <c r="G182" s="52">
        <v>0</v>
      </c>
      <c r="H182" s="53">
        <v>0</v>
      </c>
      <c r="J182"/>
    </row>
    <row r="183" spans="1:10" x14ac:dyDescent="0.35">
      <c r="A183" s="54" t="s">
        <v>139</v>
      </c>
      <c r="B183" s="55">
        <v>45778</v>
      </c>
      <c r="C183" s="56" t="s">
        <v>48</v>
      </c>
      <c r="D183" s="56" t="s">
        <v>49</v>
      </c>
      <c r="E183" s="51" t="s">
        <v>14</v>
      </c>
      <c r="F183" s="56" t="s">
        <v>8</v>
      </c>
      <c r="G183" s="57">
        <v>0</v>
      </c>
      <c r="H183" s="58">
        <v>0</v>
      </c>
      <c r="J183"/>
    </row>
    <row r="184" spans="1:10" x14ac:dyDescent="0.35">
      <c r="A184" s="49" t="s">
        <v>139</v>
      </c>
      <c r="B184" s="50">
        <v>45778</v>
      </c>
      <c r="C184" s="51" t="s">
        <v>48</v>
      </c>
      <c r="D184" s="51" t="s">
        <v>49</v>
      </c>
      <c r="E184" s="51" t="s">
        <v>14</v>
      </c>
      <c r="F184" s="51" t="s">
        <v>15</v>
      </c>
      <c r="G184" s="52">
        <v>28839.059251559258</v>
      </c>
      <c r="H184" s="53">
        <v>1500</v>
      </c>
      <c r="J184" s="12">
        <f>SUMIFS(Receitas!L:L,Receitas!B:B,'BaseRelatório vOrçamento'!B184,Receitas!G:G,'BaseRelatório vOrçamento'!D184,Receitas!H:H,'BaseRelatório vOrçamento'!E184)</f>
        <v>17387.03</v>
      </c>
    </row>
    <row r="185" spans="1:10" x14ac:dyDescent="0.35">
      <c r="A185" s="54" t="s">
        <v>139</v>
      </c>
      <c r="B185" s="55">
        <v>45778</v>
      </c>
      <c r="C185" s="56" t="s">
        <v>48</v>
      </c>
      <c r="D185" s="56" t="s">
        <v>49</v>
      </c>
      <c r="E185" s="51" t="s">
        <v>14</v>
      </c>
      <c r="F185" s="56" t="s">
        <v>65</v>
      </c>
      <c r="G185" s="57">
        <v>0</v>
      </c>
      <c r="H185" s="58">
        <v>0</v>
      </c>
      <c r="J185"/>
    </row>
    <row r="186" spans="1:10" x14ac:dyDescent="0.35">
      <c r="A186" s="49" t="s">
        <v>25</v>
      </c>
      <c r="B186" s="50">
        <v>45778</v>
      </c>
      <c r="C186" s="51" t="s">
        <v>48</v>
      </c>
      <c r="D186" s="51" t="s">
        <v>49</v>
      </c>
      <c r="E186" s="51" t="s">
        <v>116</v>
      </c>
      <c r="F186" s="51" t="s">
        <v>7</v>
      </c>
      <c r="G186" s="52">
        <v>0</v>
      </c>
      <c r="H186" s="53">
        <v>0</v>
      </c>
      <c r="J186"/>
    </row>
    <row r="187" spans="1:10" x14ac:dyDescent="0.35">
      <c r="A187" s="54" t="s">
        <v>25</v>
      </c>
      <c r="B187" s="55">
        <v>45778</v>
      </c>
      <c r="C187" s="56" t="s">
        <v>48</v>
      </c>
      <c r="D187" s="56" t="s">
        <v>49</v>
      </c>
      <c r="E187" s="51" t="s">
        <v>116</v>
      </c>
      <c r="F187" s="56" t="s">
        <v>8</v>
      </c>
      <c r="G187" s="57">
        <v>0</v>
      </c>
      <c r="H187" s="58">
        <v>0</v>
      </c>
      <c r="J187"/>
    </row>
    <row r="188" spans="1:10" x14ac:dyDescent="0.35">
      <c r="A188" s="49" t="s">
        <v>25</v>
      </c>
      <c r="B188" s="50">
        <v>45778</v>
      </c>
      <c r="C188" s="51" t="s">
        <v>48</v>
      </c>
      <c r="D188" s="51" t="s">
        <v>49</v>
      </c>
      <c r="E188" s="51" t="s">
        <v>116</v>
      </c>
      <c r="F188" s="51" t="s">
        <v>15</v>
      </c>
      <c r="G188" s="52">
        <v>9729.72972972973</v>
      </c>
      <c r="H188" s="53">
        <v>300</v>
      </c>
      <c r="J188" s="12">
        <f>SUMIFS(Receitas!L:L,Receitas!B:B,'BaseRelatório vOrçamento'!B188,Receitas!G:G,'BaseRelatório vOrçamento'!D188,Receitas!H:H,'BaseRelatório vOrçamento'!E188)</f>
        <v>0</v>
      </c>
    </row>
    <row r="189" spans="1:10" x14ac:dyDescent="0.35">
      <c r="A189" s="54" t="s">
        <v>25</v>
      </c>
      <c r="B189" s="55">
        <v>45778</v>
      </c>
      <c r="C189" s="56" t="s">
        <v>48</v>
      </c>
      <c r="D189" s="56" t="s">
        <v>49</v>
      </c>
      <c r="E189" s="51" t="s">
        <v>116</v>
      </c>
      <c r="F189" s="56" t="s">
        <v>65</v>
      </c>
      <c r="G189" s="57">
        <v>0</v>
      </c>
      <c r="H189" s="58">
        <v>0</v>
      </c>
      <c r="J189"/>
    </row>
    <row r="190" spans="1:10" x14ac:dyDescent="0.35">
      <c r="A190" s="49" t="s">
        <v>102</v>
      </c>
      <c r="B190" s="50">
        <v>45778</v>
      </c>
      <c r="C190" s="51" t="s">
        <v>48</v>
      </c>
      <c r="D190" s="51" t="s">
        <v>49</v>
      </c>
      <c r="E190" s="51" t="s">
        <v>51</v>
      </c>
      <c r="F190" s="51" t="s">
        <v>7</v>
      </c>
      <c r="G190" s="52">
        <v>0</v>
      </c>
      <c r="H190" s="53">
        <v>0</v>
      </c>
      <c r="J190"/>
    </row>
    <row r="191" spans="1:10" x14ac:dyDescent="0.35">
      <c r="A191" s="54" t="s">
        <v>102</v>
      </c>
      <c r="B191" s="55">
        <v>45778</v>
      </c>
      <c r="C191" s="56" t="s">
        <v>48</v>
      </c>
      <c r="D191" s="56" t="s">
        <v>49</v>
      </c>
      <c r="E191" s="51" t="s">
        <v>51</v>
      </c>
      <c r="F191" s="56" t="s">
        <v>8</v>
      </c>
      <c r="G191" s="57">
        <v>0</v>
      </c>
      <c r="H191" s="58">
        <v>0</v>
      </c>
      <c r="J191"/>
    </row>
    <row r="192" spans="1:10" x14ac:dyDescent="0.35">
      <c r="A192" s="49" t="s">
        <v>102</v>
      </c>
      <c r="B192" s="50">
        <v>45778</v>
      </c>
      <c r="C192" s="51" t="s">
        <v>48</v>
      </c>
      <c r="D192" s="51" t="s">
        <v>49</v>
      </c>
      <c r="E192" s="51" t="s">
        <v>51</v>
      </c>
      <c r="F192" s="51" t="s">
        <v>15</v>
      </c>
      <c r="G192" s="52">
        <v>226720.94594594592</v>
      </c>
      <c r="H192" s="53">
        <v>6500</v>
      </c>
      <c r="J192" s="12">
        <f>SUMIFS(Receitas!L:L,Receitas!B:B,'BaseRelatório vOrçamento'!B192,Receitas!G:G,'BaseRelatório vOrçamento'!D192,Receitas!H:H,'BaseRelatório vOrçamento'!E192)</f>
        <v>219054.05</v>
      </c>
    </row>
    <row r="193" spans="1:10" x14ac:dyDescent="0.35">
      <c r="A193" s="54" t="s">
        <v>102</v>
      </c>
      <c r="B193" s="55">
        <v>45778</v>
      </c>
      <c r="C193" s="56" t="s">
        <v>48</v>
      </c>
      <c r="D193" s="56" t="s">
        <v>49</v>
      </c>
      <c r="E193" s="51" t="s">
        <v>51</v>
      </c>
      <c r="F193" s="56" t="s">
        <v>65</v>
      </c>
      <c r="G193" s="57">
        <v>0</v>
      </c>
      <c r="H193" s="58">
        <v>0</v>
      </c>
      <c r="J193"/>
    </row>
    <row r="194" spans="1:10" x14ac:dyDescent="0.35">
      <c r="A194" s="49" t="s">
        <v>118</v>
      </c>
      <c r="B194" s="50">
        <v>45778</v>
      </c>
      <c r="C194" s="51" t="s">
        <v>22</v>
      </c>
      <c r="D194" s="51" t="s">
        <v>11</v>
      </c>
      <c r="E194" s="51" t="s">
        <v>209</v>
      </c>
      <c r="F194" s="51" t="s">
        <v>7</v>
      </c>
      <c r="G194" s="52">
        <v>0</v>
      </c>
      <c r="H194" s="53">
        <v>0</v>
      </c>
      <c r="J194"/>
    </row>
    <row r="195" spans="1:10" x14ac:dyDescent="0.35">
      <c r="A195" s="54" t="s">
        <v>118</v>
      </c>
      <c r="B195" s="55">
        <v>45778</v>
      </c>
      <c r="C195" s="56" t="s">
        <v>22</v>
      </c>
      <c r="D195" s="56" t="s">
        <v>11</v>
      </c>
      <c r="E195" s="51" t="s">
        <v>209</v>
      </c>
      <c r="F195" s="56" t="s">
        <v>8</v>
      </c>
      <c r="G195" s="57">
        <v>0</v>
      </c>
      <c r="H195" s="58">
        <v>0</v>
      </c>
      <c r="J195"/>
    </row>
    <row r="196" spans="1:10" x14ac:dyDescent="0.35">
      <c r="A196" s="49" t="s">
        <v>190</v>
      </c>
      <c r="B196" s="50">
        <v>45778</v>
      </c>
      <c r="C196" s="51" t="s">
        <v>22</v>
      </c>
      <c r="D196" s="51" t="s">
        <v>11</v>
      </c>
      <c r="E196" s="51" t="s">
        <v>116</v>
      </c>
      <c r="F196" s="51" t="s">
        <v>15</v>
      </c>
      <c r="G196" s="52">
        <v>59115.789473684214</v>
      </c>
      <c r="H196" s="53">
        <v>2000</v>
      </c>
      <c r="J196" s="12">
        <f>SUMIFS(Receitas!L:L,Receitas!B:B,'BaseRelatório vOrçamento'!B196,Receitas!G:G,'BaseRelatório vOrçamento'!D196,Receitas!H:H,'BaseRelatório vOrçamento'!E196)</f>
        <v>0</v>
      </c>
    </row>
    <row r="197" spans="1:10" x14ac:dyDescent="0.35">
      <c r="A197" s="54" t="s">
        <v>118</v>
      </c>
      <c r="B197" s="55">
        <v>45778</v>
      </c>
      <c r="C197" s="56" t="s">
        <v>22</v>
      </c>
      <c r="D197" s="56" t="s">
        <v>11</v>
      </c>
      <c r="E197" s="51" t="s">
        <v>209</v>
      </c>
      <c r="F197" s="56" t="s">
        <v>65</v>
      </c>
      <c r="G197" s="57">
        <v>0</v>
      </c>
      <c r="H197" s="58">
        <v>0</v>
      </c>
      <c r="J197"/>
    </row>
    <row r="198" spans="1:10" x14ac:dyDescent="0.35">
      <c r="A198" s="49" t="s">
        <v>172</v>
      </c>
      <c r="B198" s="50">
        <v>45778</v>
      </c>
      <c r="C198" s="51" t="s">
        <v>22</v>
      </c>
      <c r="D198" s="51" t="s">
        <v>11</v>
      </c>
      <c r="E198" s="51" t="s">
        <v>13</v>
      </c>
      <c r="F198" s="51" t="s">
        <v>7</v>
      </c>
      <c r="G198" s="52">
        <v>0</v>
      </c>
      <c r="H198" s="53">
        <v>0</v>
      </c>
      <c r="J198"/>
    </row>
    <row r="199" spans="1:10" x14ac:dyDescent="0.35">
      <c r="A199" s="54" t="s">
        <v>172</v>
      </c>
      <c r="B199" s="55">
        <v>45778</v>
      </c>
      <c r="C199" s="56" t="s">
        <v>22</v>
      </c>
      <c r="D199" s="56" t="s">
        <v>11</v>
      </c>
      <c r="E199" s="51" t="s">
        <v>13</v>
      </c>
      <c r="F199" s="56" t="s">
        <v>8</v>
      </c>
      <c r="G199" s="57">
        <v>0</v>
      </c>
      <c r="H199" s="58">
        <v>0</v>
      </c>
      <c r="J199"/>
    </row>
    <row r="200" spans="1:10" x14ac:dyDescent="0.35">
      <c r="A200" s="49" t="s">
        <v>172</v>
      </c>
      <c r="B200" s="50">
        <v>45778</v>
      </c>
      <c r="C200" s="51" t="s">
        <v>22</v>
      </c>
      <c r="D200" s="51" t="s">
        <v>11</v>
      </c>
      <c r="E200" s="51" t="s">
        <v>13</v>
      </c>
      <c r="F200" s="51" t="s">
        <v>15</v>
      </c>
      <c r="G200" s="52">
        <v>0</v>
      </c>
      <c r="H200" s="53">
        <v>0</v>
      </c>
      <c r="J200" s="12">
        <f>SUMIFS(Receitas!L:L,Receitas!B:B,'BaseRelatório vOrçamento'!B200,Receitas!G:G,'BaseRelatório vOrçamento'!D200,Receitas!H:H,'BaseRelatório vOrçamento'!E200)</f>
        <v>0</v>
      </c>
    </row>
    <row r="201" spans="1:10" x14ac:dyDescent="0.35">
      <c r="A201" s="54" t="s">
        <v>172</v>
      </c>
      <c r="B201" s="55">
        <v>45778</v>
      </c>
      <c r="C201" s="56" t="s">
        <v>22</v>
      </c>
      <c r="D201" s="56" t="s">
        <v>11</v>
      </c>
      <c r="E201" s="51" t="s">
        <v>13</v>
      </c>
      <c r="F201" s="56" t="s">
        <v>65</v>
      </c>
      <c r="G201" s="57">
        <v>0</v>
      </c>
      <c r="H201" s="58">
        <v>0</v>
      </c>
      <c r="J201"/>
    </row>
    <row r="202" spans="1:10" x14ac:dyDescent="0.35">
      <c r="A202" s="49" t="s">
        <v>149</v>
      </c>
      <c r="B202" s="50">
        <v>45778</v>
      </c>
      <c r="C202" s="51" t="s">
        <v>23</v>
      </c>
      <c r="D202" s="51" t="s">
        <v>112</v>
      </c>
      <c r="E202" s="51" t="s">
        <v>113</v>
      </c>
      <c r="F202" s="51" t="s">
        <v>7</v>
      </c>
      <c r="G202" s="52">
        <v>0</v>
      </c>
      <c r="H202" s="53">
        <v>0</v>
      </c>
      <c r="J202"/>
    </row>
    <row r="203" spans="1:10" x14ac:dyDescent="0.35">
      <c r="A203" s="54" t="s">
        <v>149</v>
      </c>
      <c r="B203" s="55">
        <v>45778</v>
      </c>
      <c r="C203" s="56" t="s">
        <v>23</v>
      </c>
      <c r="D203" s="56" t="s">
        <v>112</v>
      </c>
      <c r="E203" s="51" t="s">
        <v>113</v>
      </c>
      <c r="F203" s="56" t="s">
        <v>8</v>
      </c>
      <c r="G203" s="57">
        <v>0</v>
      </c>
      <c r="H203" s="58">
        <v>0</v>
      </c>
      <c r="J203"/>
    </row>
    <row r="204" spans="1:10" x14ac:dyDescent="0.35">
      <c r="A204" s="49" t="s">
        <v>149</v>
      </c>
      <c r="B204" s="50">
        <v>45778</v>
      </c>
      <c r="C204" s="51" t="s">
        <v>23</v>
      </c>
      <c r="D204" s="51" t="s">
        <v>112</v>
      </c>
      <c r="E204" s="51" t="s">
        <v>113</v>
      </c>
      <c r="F204" s="51" t="s">
        <v>15</v>
      </c>
      <c r="G204" s="52">
        <v>89658.947368421053</v>
      </c>
      <c r="H204" s="53">
        <v>4200</v>
      </c>
      <c r="J204" s="12">
        <f>SUMIFS(Receitas!L:L,Receitas!B:B,'BaseRelatório vOrçamento'!B204,Receitas!G:G,'BaseRelatório vOrçamento'!D204,Receitas!H:H,'BaseRelatório vOrçamento'!E204)</f>
        <v>0</v>
      </c>
    </row>
    <row r="205" spans="1:10" x14ac:dyDescent="0.35">
      <c r="A205" s="54" t="s">
        <v>149</v>
      </c>
      <c r="B205" s="55">
        <v>45778</v>
      </c>
      <c r="C205" s="56" t="s">
        <v>23</v>
      </c>
      <c r="D205" s="56" t="s">
        <v>112</v>
      </c>
      <c r="E205" s="51" t="s">
        <v>113</v>
      </c>
      <c r="F205" s="56" t="s">
        <v>65</v>
      </c>
      <c r="G205" s="57">
        <v>0</v>
      </c>
      <c r="H205" s="58">
        <v>0</v>
      </c>
      <c r="J205"/>
    </row>
    <row r="206" spans="1:10" x14ac:dyDescent="0.35">
      <c r="A206" s="49" t="s">
        <v>177</v>
      </c>
      <c r="B206" s="50">
        <v>45778</v>
      </c>
      <c r="C206" s="51" t="s">
        <v>46</v>
      </c>
      <c r="D206" s="51" t="s">
        <v>87</v>
      </c>
      <c r="E206" s="51" t="s">
        <v>9</v>
      </c>
      <c r="F206" s="51" t="s">
        <v>7</v>
      </c>
      <c r="G206" s="52">
        <v>0</v>
      </c>
      <c r="H206" s="53">
        <v>0</v>
      </c>
      <c r="J206"/>
    </row>
    <row r="207" spans="1:10" x14ac:dyDescent="0.35">
      <c r="A207" s="54" t="s">
        <v>177</v>
      </c>
      <c r="B207" s="55">
        <v>45778</v>
      </c>
      <c r="C207" s="56" t="s">
        <v>46</v>
      </c>
      <c r="D207" s="56" t="s">
        <v>87</v>
      </c>
      <c r="E207" s="51" t="s">
        <v>9</v>
      </c>
      <c r="F207" s="56" t="s">
        <v>8</v>
      </c>
      <c r="G207" s="57">
        <v>0</v>
      </c>
      <c r="H207" s="58">
        <v>0</v>
      </c>
      <c r="J207"/>
    </row>
    <row r="208" spans="1:10" x14ac:dyDescent="0.35">
      <c r="A208" s="49" t="s">
        <v>177</v>
      </c>
      <c r="B208" s="50">
        <v>45778</v>
      </c>
      <c r="C208" s="51" t="s">
        <v>46</v>
      </c>
      <c r="D208" s="51" t="s">
        <v>87</v>
      </c>
      <c r="E208" s="51" t="s">
        <v>9</v>
      </c>
      <c r="F208" s="51" t="s">
        <v>15</v>
      </c>
      <c r="G208" s="52">
        <v>142504.12724210526</v>
      </c>
      <c r="H208" s="53">
        <v>4200</v>
      </c>
      <c r="J208" s="12">
        <f>SUMIFS(Receitas!L:L,Receitas!B:B,'BaseRelatório vOrçamento'!B208,Receitas!G:G,'BaseRelatório vOrçamento'!D208,Receitas!H:H,'BaseRelatório vOrçamento'!E208)</f>
        <v>67541.885999999999</v>
      </c>
    </row>
    <row r="209" spans="1:10" x14ac:dyDescent="0.35">
      <c r="A209" s="54" t="s">
        <v>177</v>
      </c>
      <c r="B209" s="55">
        <v>45778</v>
      </c>
      <c r="C209" s="56" t="s">
        <v>46</v>
      </c>
      <c r="D209" s="56" t="s">
        <v>87</v>
      </c>
      <c r="E209" s="51" t="s">
        <v>9</v>
      </c>
      <c r="F209" s="56" t="s">
        <v>65</v>
      </c>
      <c r="G209" s="57">
        <v>0</v>
      </c>
      <c r="H209" s="58">
        <v>0</v>
      </c>
      <c r="J209"/>
    </row>
    <row r="210" spans="1:10" x14ac:dyDescent="0.35">
      <c r="A210" s="49" t="s">
        <v>166</v>
      </c>
      <c r="B210" s="50">
        <v>45717</v>
      </c>
      <c r="C210" s="51" t="s">
        <v>25</v>
      </c>
      <c r="D210" s="51" t="s">
        <v>12</v>
      </c>
      <c r="E210" s="51" t="s">
        <v>9</v>
      </c>
      <c r="F210" s="51" t="s">
        <v>65</v>
      </c>
      <c r="G210" s="52">
        <v>0</v>
      </c>
      <c r="H210" s="53">
        <v>0</v>
      </c>
      <c r="J210"/>
    </row>
    <row r="211" spans="1:10" x14ac:dyDescent="0.35">
      <c r="A211" s="54" t="s">
        <v>169</v>
      </c>
      <c r="B211" s="55">
        <v>45717</v>
      </c>
      <c r="C211" s="56" t="s">
        <v>25</v>
      </c>
      <c r="D211" s="56" t="s">
        <v>12</v>
      </c>
      <c r="E211" s="51" t="s">
        <v>170</v>
      </c>
      <c r="F211" s="56" t="s">
        <v>7</v>
      </c>
      <c r="G211" s="57">
        <v>0</v>
      </c>
      <c r="H211" s="62">
        <v>0</v>
      </c>
      <c r="J211"/>
    </row>
    <row r="212" spans="1:10" x14ac:dyDescent="0.35">
      <c r="A212" s="49" t="s">
        <v>169</v>
      </c>
      <c r="B212" s="50">
        <v>45717</v>
      </c>
      <c r="C212" s="51" t="s">
        <v>25</v>
      </c>
      <c r="D212" s="51" t="s">
        <v>12</v>
      </c>
      <c r="E212" s="51" t="s">
        <v>170</v>
      </c>
      <c r="F212" s="51" t="s">
        <v>8</v>
      </c>
      <c r="G212" s="52">
        <v>0</v>
      </c>
      <c r="H212" s="61">
        <v>0</v>
      </c>
      <c r="J212"/>
    </row>
    <row r="213" spans="1:10" x14ac:dyDescent="0.35">
      <c r="A213" s="54" t="s">
        <v>169</v>
      </c>
      <c r="B213" s="55">
        <v>45717</v>
      </c>
      <c r="C213" s="56" t="s">
        <v>25</v>
      </c>
      <c r="D213" s="56" t="s">
        <v>12</v>
      </c>
      <c r="E213" s="51" t="s">
        <v>170</v>
      </c>
      <c r="F213" s="56" t="s">
        <v>15</v>
      </c>
      <c r="G213" s="57">
        <v>0</v>
      </c>
      <c r="H213" s="62">
        <v>0</v>
      </c>
      <c r="J213" s="12">
        <f>SUMIFS(Receitas!L:L,Receitas!B:B,'BaseRelatório vOrçamento'!B213,Receitas!G:G,'BaseRelatório vOrçamento'!D213,Receitas!H:H,'BaseRelatório vOrçamento'!E213)</f>
        <v>0</v>
      </c>
    </row>
    <row r="214" spans="1:10" x14ac:dyDescent="0.35">
      <c r="A214" s="49" t="s">
        <v>134</v>
      </c>
      <c r="B214" s="50">
        <v>45778</v>
      </c>
      <c r="C214" s="51" t="s">
        <v>57</v>
      </c>
      <c r="D214" s="51" t="s">
        <v>58</v>
      </c>
      <c r="E214" s="51" t="s">
        <v>10</v>
      </c>
      <c r="F214" s="51" t="s">
        <v>7</v>
      </c>
      <c r="G214" s="52">
        <v>0</v>
      </c>
      <c r="H214" s="53">
        <v>0</v>
      </c>
      <c r="J214"/>
    </row>
    <row r="215" spans="1:10" x14ac:dyDescent="0.35">
      <c r="A215" s="54" t="s">
        <v>134</v>
      </c>
      <c r="B215" s="55">
        <v>45778</v>
      </c>
      <c r="C215" s="56" t="s">
        <v>57</v>
      </c>
      <c r="D215" s="56" t="s">
        <v>58</v>
      </c>
      <c r="E215" s="51" t="s">
        <v>10</v>
      </c>
      <c r="F215" s="56" t="s">
        <v>8</v>
      </c>
      <c r="G215" s="57">
        <v>0</v>
      </c>
      <c r="H215" s="58">
        <v>0</v>
      </c>
      <c r="J215"/>
    </row>
    <row r="216" spans="1:10" x14ac:dyDescent="0.35">
      <c r="A216" s="49" t="s">
        <v>134</v>
      </c>
      <c r="B216" s="50">
        <v>45778</v>
      </c>
      <c r="C216" s="51" t="s">
        <v>57</v>
      </c>
      <c r="D216" s="51" t="s">
        <v>58</v>
      </c>
      <c r="E216" s="51" t="s">
        <v>10</v>
      </c>
      <c r="F216" s="51" t="s">
        <v>15</v>
      </c>
      <c r="G216" s="52">
        <v>17311.068923076924</v>
      </c>
      <c r="H216" s="53">
        <v>550</v>
      </c>
      <c r="J216" s="12">
        <f>SUMIFS(Receitas!L:L,Receitas!B:B,'BaseRelatório vOrçamento'!B216,Receitas!G:G,'BaseRelatório vOrçamento'!D216,Receitas!H:H,'BaseRelatório vOrçamento'!E216)</f>
        <v>38307.74</v>
      </c>
    </row>
    <row r="217" spans="1:10" x14ac:dyDescent="0.35">
      <c r="A217" s="54" t="s">
        <v>134</v>
      </c>
      <c r="B217" s="55">
        <v>45778</v>
      </c>
      <c r="C217" s="56" t="s">
        <v>57</v>
      </c>
      <c r="D217" s="56" t="s">
        <v>58</v>
      </c>
      <c r="E217" s="51" t="s">
        <v>10</v>
      </c>
      <c r="F217" s="56" t="s">
        <v>65</v>
      </c>
      <c r="G217" s="57">
        <v>0</v>
      </c>
      <c r="H217" s="58">
        <v>0</v>
      </c>
      <c r="J217"/>
    </row>
    <row r="218" spans="1:10" x14ac:dyDescent="0.35">
      <c r="A218" s="59">
        <v>20105</v>
      </c>
      <c r="B218" s="50">
        <v>45778</v>
      </c>
      <c r="C218" s="51" t="s">
        <v>26</v>
      </c>
      <c r="D218" s="51" t="s">
        <v>19</v>
      </c>
      <c r="E218" s="51" t="s">
        <v>209</v>
      </c>
      <c r="F218" s="51" t="s">
        <v>7</v>
      </c>
      <c r="G218" s="52">
        <v>0</v>
      </c>
      <c r="H218" s="53">
        <v>0</v>
      </c>
      <c r="J218"/>
    </row>
    <row r="219" spans="1:10" x14ac:dyDescent="0.35">
      <c r="A219" s="60">
        <v>20105</v>
      </c>
      <c r="B219" s="55">
        <v>45778</v>
      </c>
      <c r="C219" s="56" t="s">
        <v>26</v>
      </c>
      <c r="D219" s="56" t="s">
        <v>19</v>
      </c>
      <c r="E219" s="51" t="s">
        <v>209</v>
      </c>
      <c r="F219" s="56" t="s">
        <v>8</v>
      </c>
      <c r="G219" s="57">
        <v>0</v>
      </c>
      <c r="H219" s="58">
        <v>0</v>
      </c>
      <c r="J219"/>
    </row>
    <row r="220" spans="1:10" x14ac:dyDescent="0.35">
      <c r="A220" s="59">
        <v>20105</v>
      </c>
      <c r="B220" s="50">
        <v>45778</v>
      </c>
      <c r="C220" s="51" t="s">
        <v>26</v>
      </c>
      <c r="D220" s="51" t="s">
        <v>19</v>
      </c>
      <c r="E220" s="51" t="s">
        <v>13</v>
      </c>
      <c r="F220" s="51" t="s">
        <v>15</v>
      </c>
      <c r="G220" s="52">
        <v>16933.880412371134</v>
      </c>
      <c r="H220" s="53">
        <v>545</v>
      </c>
      <c r="J220" s="12">
        <f>SUMIFS(Receitas!L:L,Receitas!B:B,'BaseRelatório vOrçamento'!B220,Receitas!G:G,'BaseRelatório vOrçamento'!D220,Receitas!H:H,'BaseRelatório vOrçamento'!E220)</f>
        <v>14280</v>
      </c>
    </row>
    <row r="221" spans="1:10" x14ac:dyDescent="0.35">
      <c r="A221" s="60">
        <v>20105</v>
      </c>
      <c r="B221" s="55">
        <v>45778</v>
      </c>
      <c r="C221" s="56" t="s">
        <v>26</v>
      </c>
      <c r="D221" s="56" t="s">
        <v>19</v>
      </c>
      <c r="E221" s="51" t="s">
        <v>209</v>
      </c>
      <c r="F221" s="56" t="s">
        <v>65</v>
      </c>
      <c r="G221" s="57">
        <v>0</v>
      </c>
      <c r="H221" s="58">
        <v>0</v>
      </c>
      <c r="J221"/>
    </row>
    <row r="222" spans="1:10" x14ac:dyDescent="0.35">
      <c r="A222" s="49" t="s">
        <v>142</v>
      </c>
      <c r="B222" s="50">
        <v>45809</v>
      </c>
      <c r="C222" s="51" t="s">
        <v>48</v>
      </c>
      <c r="D222" s="51" t="s">
        <v>49</v>
      </c>
      <c r="E222" s="51" t="s">
        <v>52</v>
      </c>
      <c r="F222" s="51" t="s">
        <v>7</v>
      </c>
      <c r="G222" s="52">
        <v>0</v>
      </c>
      <c r="H222" s="53">
        <v>0</v>
      </c>
      <c r="J222"/>
    </row>
    <row r="223" spans="1:10" x14ac:dyDescent="0.35">
      <c r="A223" s="54" t="s">
        <v>142</v>
      </c>
      <c r="B223" s="55">
        <v>45809</v>
      </c>
      <c r="C223" s="56" t="s">
        <v>48</v>
      </c>
      <c r="D223" s="56" t="s">
        <v>49</v>
      </c>
      <c r="E223" s="51" t="s">
        <v>52</v>
      </c>
      <c r="F223" s="56" t="s">
        <v>8</v>
      </c>
      <c r="G223" s="57">
        <v>0</v>
      </c>
      <c r="H223" s="58">
        <v>0</v>
      </c>
      <c r="J223"/>
    </row>
    <row r="224" spans="1:10" x14ac:dyDescent="0.35">
      <c r="A224" s="49" t="s">
        <v>142</v>
      </c>
      <c r="B224" s="50">
        <v>45809</v>
      </c>
      <c r="C224" s="51" t="s">
        <v>48</v>
      </c>
      <c r="D224" s="51" t="s">
        <v>49</v>
      </c>
      <c r="E224" s="51" t="s">
        <v>52</v>
      </c>
      <c r="F224" s="51" t="s">
        <v>15</v>
      </c>
      <c r="G224" s="52">
        <v>89789.370062370057</v>
      </c>
      <c r="H224" s="53">
        <v>2040</v>
      </c>
      <c r="J224" s="12">
        <f>SUMIFS(Receitas!L:L,Receitas!B:B,'BaseRelatório vOrçamento'!B224,Receitas!G:G,'BaseRelatório vOrçamento'!D224,Receitas!H:H,'BaseRelatório vOrçamento'!E224)</f>
        <v>86985.600000000006</v>
      </c>
    </row>
    <row r="225" spans="1:10" x14ac:dyDescent="0.35">
      <c r="A225" s="54" t="s">
        <v>142</v>
      </c>
      <c r="B225" s="55">
        <v>45809</v>
      </c>
      <c r="C225" s="56" t="s">
        <v>48</v>
      </c>
      <c r="D225" s="56" t="s">
        <v>49</v>
      </c>
      <c r="E225" s="51" t="s">
        <v>52</v>
      </c>
      <c r="F225" s="56" t="s">
        <v>65</v>
      </c>
      <c r="G225" s="57">
        <v>0</v>
      </c>
      <c r="H225" s="58">
        <v>0</v>
      </c>
      <c r="J225"/>
    </row>
    <row r="226" spans="1:10" x14ac:dyDescent="0.35">
      <c r="A226" s="49" t="s">
        <v>139</v>
      </c>
      <c r="B226" s="50">
        <v>45809</v>
      </c>
      <c r="C226" s="51" t="s">
        <v>48</v>
      </c>
      <c r="D226" s="51" t="s">
        <v>49</v>
      </c>
      <c r="E226" s="51" t="s">
        <v>14</v>
      </c>
      <c r="F226" s="51" t="s">
        <v>7</v>
      </c>
      <c r="G226" s="52">
        <v>0</v>
      </c>
      <c r="H226" s="53">
        <v>0</v>
      </c>
      <c r="J226"/>
    </row>
    <row r="227" spans="1:10" x14ac:dyDescent="0.35">
      <c r="A227" s="54" t="s">
        <v>139</v>
      </c>
      <c r="B227" s="55">
        <v>45809</v>
      </c>
      <c r="C227" s="56" t="s">
        <v>48</v>
      </c>
      <c r="D227" s="56" t="s">
        <v>49</v>
      </c>
      <c r="E227" s="51" t="s">
        <v>14</v>
      </c>
      <c r="F227" s="56" t="s">
        <v>8</v>
      </c>
      <c r="G227" s="57">
        <v>0</v>
      </c>
      <c r="H227" s="58">
        <v>0</v>
      </c>
      <c r="J227"/>
    </row>
    <row r="228" spans="1:10" x14ac:dyDescent="0.35">
      <c r="A228" s="49" t="s">
        <v>139</v>
      </c>
      <c r="B228" s="50">
        <v>45809</v>
      </c>
      <c r="C228" s="51" t="s">
        <v>48</v>
      </c>
      <c r="D228" s="51" t="s">
        <v>49</v>
      </c>
      <c r="E228" s="51" t="s">
        <v>14</v>
      </c>
      <c r="F228" s="51" t="s">
        <v>15</v>
      </c>
      <c r="G228" s="52">
        <v>28839.059251559258</v>
      </c>
      <c r="H228" s="53">
        <v>1500</v>
      </c>
      <c r="J228" s="12">
        <f>SUMIFS(Receitas!L:L,Receitas!B:B,'BaseRelatório vOrçamento'!B228,Receitas!G:G,'BaseRelatório vOrçamento'!D228,Receitas!H:H,'BaseRelatório vOrçamento'!E228)</f>
        <v>16726.32</v>
      </c>
    </row>
    <row r="229" spans="1:10" x14ac:dyDescent="0.35">
      <c r="A229" s="54" t="s">
        <v>139</v>
      </c>
      <c r="B229" s="55">
        <v>45809</v>
      </c>
      <c r="C229" s="56" t="s">
        <v>48</v>
      </c>
      <c r="D229" s="56" t="s">
        <v>49</v>
      </c>
      <c r="E229" s="51" t="s">
        <v>14</v>
      </c>
      <c r="F229" s="56" t="s">
        <v>65</v>
      </c>
      <c r="G229" s="57">
        <v>0</v>
      </c>
      <c r="H229" s="58">
        <v>0</v>
      </c>
      <c r="J229"/>
    </row>
    <row r="230" spans="1:10" x14ac:dyDescent="0.35">
      <c r="A230" s="49" t="s">
        <v>25</v>
      </c>
      <c r="B230" s="50">
        <v>45809</v>
      </c>
      <c r="C230" s="51" t="s">
        <v>48</v>
      </c>
      <c r="D230" s="51" t="s">
        <v>49</v>
      </c>
      <c r="E230" s="51" t="s">
        <v>116</v>
      </c>
      <c r="F230" s="51" t="s">
        <v>7</v>
      </c>
      <c r="G230" s="52">
        <v>0</v>
      </c>
      <c r="H230" s="53">
        <v>0</v>
      </c>
      <c r="J230"/>
    </row>
    <row r="231" spans="1:10" x14ac:dyDescent="0.35">
      <c r="A231" s="54" t="s">
        <v>25</v>
      </c>
      <c r="B231" s="55">
        <v>45809</v>
      </c>
      <c r="C231" s="56" t="s">
        <v>48</v>
      </c>
      <c r="D231" s="56" t="s">
        <v>49</v>
      </c>
      <c r="E231" s="51" t="s">
        <v>116</v>
      </c>
      <c r="F231" s="56" t="s">
        <v>8</v>
      </c>
      <c r="G231" s="57">
        <v>0</v>
      </c>
      <c r="H231" s="58">
        <v>0</v>
      </c>
      <c r="J231"/>
    </row>
    <row r="232" spans="1:10" x14ac:dyDescent="0.35">
      <c r="A232" s="49" t="s">
        <v>25</v>
      </c>
      <c r="B232" s="50">
        <v>45809</v>
      </c>
      <c r="C232" s="51" t="s">
        <v>48</v>
      </c>
      <c r="D232" s="51" t="s">
        <v>49</v>
      </c>
      <c r="E232" s="51" t="s">
        <v>116</v>
      </c>
      <c r="F232" s="51" t="s">
        <v>15</v>
      </c>
      <c r="G232" s="52">
        <v>9729.72972972973</v>
      </c>
      <c r="H232" s="53">
        <v>300</v>
      </c>
      <c r="J232" s="12">
        <f>SUMIFS(Receitas!L:L,Receitas!B:B,'BaseRelatório vOrçamento'!B232,Receitas!G:G,'BaseRelatório vOrçamento'!D232,Receitas!H:H,'BaseRelatório vOrçamento'!E232)</f>
        <v>0</v>
      </c>
    </row>
    <row r="233" spans="1:10" x14ac:dyDescent="0.35">
      <c r="A233" s="54" t="s">
        <v>25</v>
      </c>
      <c r="B233" s="55">
        <v>45809</v>
      </c>
      <c r="C233" s="56" t="s">
        <v>48</v>
      </c>
      <c r="D233" s="56" t="s">
        <v>49</v>
      </c>
      <c r="E233" s="51" t="s">
        <v>116</v>
      </c>
      <c r="F233" s="56" t="s">
        <v>65</v>
      </c>
      <c r="G233" s="57">
        <v>0</v>
      </c>
      <c r="H233" s="58">
        <v>0</v>
      </c>
      <c r="J233"/>
    </row>
    <row r="234" spans="1:10" x14ac:dyDescent="0.35">
      <c r="A234" s="49" t="s">
        <v>102</v>
      </c>
      <c r="B234" s="50">
        <v>45809</v>
      </c>
      <c r="C234" s="51" t="s">
        <v>48</v>
      </c>
      <c r="D234" s="51" t="s">
        <v>49</v>
      </c>
      <c r="E234" s="51" t="s">
        <v>51</v>
      </c>
      <c r="F234" s="51" t="s">
        <v>7</v>
      </c>
      <c r="G234" s="52">
        <v>0</v>
      </c>
      <c r="H234" s="53">
        <v>0</v>
      </c>
      <c r="J234"/>
    </row>
    <row r="235" spans="1:10" x14ac:dyDescent="0.35">
      <c r="A235" s="54" t="s">
        <v>102</v>
      </c>
      <c r="B235" s="55">
        <v>45809</v>
      </c>
      <c r="C235" s="56" t="s">
        <v>48</v>
      </c>
      <c r="D235" s="56" t="s">
        <v>49</v>
      </c>
      <c r="E235" s="51" t="s">
        <v>51</v>
      </c>
      <c r="F235" s="56" t="s">
        <v>8</v>
      </c>
      <c r="G235" s="57">
        <v>0</v>
      </c>
      <c r="H235" s="58">
        <v>0</v>
      </c>
      <c r="J235"/>
    </row>
    <row r="236" spans="1:10" x14ac:dyDescent="0.35">
      <c r="A236" s="49" t="s">
        <v>102</v>
      </c>
      <c r="B236" s="50">
        <v>45809</v>
      </c>
      <c r="C236" s="51" t="s">
        <v>48</v>
      </c>
      <c r="D236" s="51" t="s">
        <v>49</v>
      </c>
      <c r="E236" s="51" t="s">
        <v>51</v>
      </c>
      <c r="F236" s="51" t="s">
        <v>15</v>
      </c>
      <c r="G236" s="52">
        <v>235789.78378378376</v>
      </c>
      <c r="H236" s="53">
        <v>6500</v>
      </c>
      <c r="J236" s="12">
        <f>SUMIFS(Receitas!L:L,Receitas!B:B,'BaseRelatório vOrçamento'!B236,Receitas!G:G,'BaseRelatório vOrçamento'!D236,Receitas!H:H,'BaseRelatório vOrçamento'!E236)</f>
        <v>74775.16</v>
      </c>
    </row>
    <row r="237" spans="1:10" x14ac:dyDescent="0.35">
      <c r="A237" s="54" t="s">
        <v>102</v>
      </c>
      <c r="B237" s="55">
        <v>45809</v>
      </c>
      <c r="C237" s="56" t="s">
        <v>48</v>
      </c>
      <c r="D237" s="56" t="s">
        <v>49</v>
      </c>
      <c r="E237" s="51" t="s">
        <v>51</v>
      </c>
      <c r="F237" s="56" t="s">
        <v>65</v>
      </c>
      <c r="G237" s="57">
        <v>0</v>
      </c>
      <c r="H237" s="58">
        <v>0</v>
      </c>
      <c r="J237"/>
    </row>
    <row r="238" spans="1:10" x14ac:dyDescent="0.35">
      <c r="A238" s="49" t="s">
        <v>118</v>
      </c>
      <c r="B238" s="50">
        <v>45809</v>
      </c>
      <c r="C238" s="51" t="s">
        <v>22</v>
      </c>
      <c r="D238" s="51" t="s">
        <v>11</v>
      </c>
      <c r="E238" s="51" t="s">
        <v>209</v>
      </c>
      <c r="F238" s="51" t="s">
        <v>7</v>
      </c>
      <c r="G238" s="52">
        <v>0</v>
      </c>
      <c r="H238" s="53">
        <v>0</v>
      </c>
      <c r="J238"/>
    </row>
    <row r="239" spans="1:10" x14ac:dyDescent="0.35">
      <c r="A239" s="54" t="s">
        <v>118</v>
      </c>
      <c r="B239" s="55">
        <v>45809</v>
      </c>
      <c r="C239" s="56" t="s">
        <v>22</v>
      </c>
      <c r="D239" s="56" t="s">
        <v>11</v>
      </c>
      <c r="E239" s="51" t="s">
        <v>209</v>
      </c>
      <c r="F239" s="56" t="s">
        <v>8</v>
      </c>
      <c r="G239" s="57">
        <v>0</v>
      </c>
      <c r="H239" s="58">
        <v>0</v>
      </c>
      <c r="J239"/>
    </row>
    <row r="240" spans="1:10" x14ac:dyDescent="0.35">
      <c r="A240" s="49" t="s">
        <v>190</v>
      </c>
      <c r="B240" s="50">
        <v>45809</v>
      </c>
      <c r="C240" s="51" t="s">
        <v>22</v>
      </c>
      <c r="D240" s="51" t="s">
        <v>11</v>
      </c>
      <c r="E240" s="51" t="s">
        <v>116</v>
      </c>
      <c r="F240" s="51" t="s">
        <v>15</v>
      </c>
      <c r="G240" s="52">
        <v>59115.789473684214</v>
      </c>
      <c r="H240" s="53">
        <v>2000</v>
      </c>
      <c r="J240" s="12">
        <f>SUMIFS(Receitas!L:L,Receitas!B:B,'BaseRelatório vOrçamento'!B240,Receitas!G:G,'BaseRelatório vOrçamento'!D240,Receitas!H:H,'BaseRelatório vOrçamento'!E240)</f>
        <v>0</v>
      </c>
    </row>
    <row r="241" spans="1:10" x14ac:dyDescent="0.35">
      <c r="A241" s="54" t="s">
        <v>118</v>
      </c>
      <c r="B241" s="55">
        <v>45809</v>
      </c>
      <c r="C241" s="56" t="s">
        <v>22</v>
      </c>
      <c r="D241" s="56" t="s">
        <v>11</v>
      </c>
      <c r="E241" s="51" t="s">
        <v>209</v>
      </c>
      <c r="F241" s="56" t="s">
        <v>65</v>
      </c>
      <c r="G241" s="57">
        <v>0</v>
      </c>
      <c r="H241" s="58">
        <v>0</v>
      </c>
      <c r="J241"/>
    </row>
    <row r="242" spans="1:10" x14ac:dyDescent="0.35">
      <c r="A242" s="49" t="s">
        <v>172</v>
      </c>
      <c r="B242" s="50">
        <v>45809</v>
      </c>
      <c r="C242" s="51" t="s">
        <v>22</v>
      </c>
      <c r="D242" s="51" t="s">
        <v>11</v>
      </c>
      <c r="E242" s="51" t="s">
        <v>13</v>
      </c>
      <c r="F242" s="51" t="s">
        <v>7</v>
      </c>
      <c r="G242" s="52">
        <v>0</v>
      </c>
      <c r="H242" s="53">
        <v>0</v>
      </c>
      <c r="J242"/>
    </row>
    <row r="243" spans="1:10" x14ac:dyDescent="0.35">
      <c r="A243" s="54" t="s">
        <v>172</v>
      </c>
      <c r="B243" s="55">
        <v>45809</v>
      </c>
      <c r="C243" s="56" t="s">
        <v>22</v>
      </c>
      <c r="D243" s="56" t="s">
        <v>11</v>
      </c>
      <c r="E243" s="51" t="s">
        <v>13</v>
      </c>
      <c r="F243" s="56" t="s">
        <v>8</v>
      </c>
      <c r="G243" s="57">
        <v>0</v>
      </c>
      <c r="H243" s="58">
        <v>0</v>
      </c>
      <c r="J243"/>
    </row>
    <row r="244" spans="1:10" x14ac:dyDescent="0.35">
      <c r="A244" s="49" t="s">
        <v>172</v>
      </c>
      <c r="B244" s="50">
        <v>45809</v>
      </c>
      <c r="C244" s="51" t="s">
        <v>22</v>
      </c>
      <c r="D244" s="51" t="s">
        <v>11</v>
      </c>
      <c r="E244" s="51" t="s">
        <v>13</v>
      </c>
      <c r="F244" s="51" t="s">
        <v>15</v>
      </c>
      <c r="G244" s="52">
        <v>0</v>
      </c>
      <c r="H244" s="53">
        <v>0</v>
      </c>
      <c r="J244" s="12">
        <f>SUMIFS(Receitas!L:L,Receitas!B:B,'BaseRelatório vOrçamento'!B244,Receitas!G:G,'BaseRelatório vOrçamento'!D244,Receitas!H:H,'BaseRelatório vOrçamento'!E244)</f>
        <v>23387.61</v>
      </c>
    </row>
    <row r="245" spans="1:10" x14ac:dyDescent="0.35">
      <c r="A245" s="54" t="s">
        <v>172</v>
      </c>
      <c r="B245" s="55">
        <v>45809</v>
      </c>
      <c r="C245" s="56" t="s">
        <v>22</v>
      </c>
      <c r="D245" s="56" t="s">
        <v>11</v>
      </c>
      <c r="E245" s="51" t="s">
        <v>13</v>
      </c>
      <c r="F245" s="56" t="s">
        <v>65</v>
      </c>
      <c r="G245" s="57">
        <v>0</v>
      </c>
      <c r="H245" s="58">
        <v>0</v>
      </c>
      <c r="J245"/>
    </row>
    <row r="246" spans="1:10" x14ac:dyDescent="0.35">
      <c r="A246" s="49" t="s">
        <v>149</v>
      </c>
      <c r="B246" s="50">
        <v>45809</v>
      </c>
      <c r="C246" s="51" t="s">
        <v>23</v>
      </c>
      <c r="D246" s="51" t="s">
        <v>112</v>
      </c>
      <c r="E246" s="51" t="s">
        <v>113</v>
      </c>
      <c r="F246" s="51" t="s">
        <v>7</v>
      </c>
      <c r="G246" s="52">
        <v>0</v>
      </c>
      <c r="H246" s="53">
        <v>0</v>
      </c>
      <c r="J246"/>
    </row>
    <row r="247" spans="1:10" x14ac:dyDescent="0.35">
      <c r="A247" s="54" t="s">
        <v>149</v>
      </c>
      <c r="B247" s="55">
        <v>45809</v>
      </c>
      <c r="C247" s="56" t="s">
        <v>23</v>
      </c>
      <c r="D247" s="56" t="s">
        <v>112</v>
      </c>
      <c r="E247" s="51" t="s">
        <v>113</v>
      </c>
      <c r="F247" s="56" t="s">
        <v>8</v>
      </c>
      <c r="G247" s="57">
        <v>0</v>
      </c>
      <c r="H247" s="58">
        <v>0</v>
      </c>
      <c r="J247"/>
    </row>
    <row r="248" spans="1:10" x14ac:dyDescent="0.35">
      <c r="A248" s="49" t="s">
        <v>149</v>
      </c>
      <c r="B248" s="50">
        <v>45809</v>
      </c>
      <c r="C248" s="51" t="s">
        <v>23</v>
      </c>
      <c r="D248" s="51" t="s">
        <v>112</v>
      </c>
      <c r="E248" s="51" t="s">
        <v>113</v>
      </c>
      <c r="F248" s="51" t="s">
        <v>15</v>
      </c>
      <c r="G248" s="52">
        <v>89658.947368421053</v>
      </c>
      <c r="H248" s="53">
        <v>4200</v>
      </c>
      <c r="J248" s="12">
        <f>SUMIFS(Receitas!L:L,Receitas!B:B,'BaseRelatório vOrçamento'!B248,Receitas!G:G,'BaseRelatório vOrçamento'!D248,Receitas!H:H,'BaseRelatório vOrçamento'!E248)</f>
        <v>0</v>
      </c>
    </row>
    <row r="249" spans="1:10" x14ac:dyDescent="0.35">
      <c r="A249" s="54" t="s">
        <v>149</v>
      </c>
      <c r="B249" s="55">
        <v>45809</v>
      </c>
      <c r="C249" s="56" t="s">
        <v>23</v>
      </c>
      <c r="D249" s="56" t="s">
        <v>112</v>
      </c>
      <c r="E249" s="51" t="s">
        <v>113</v>
      </c>
      <c r="F249" s="56" t="s">
        <v>65</v>
      </c>
      <c r="G249" s="57">
        <v>0</v>
      </c>
      <c r="H249" s="58">
        <v>0</v>
      </c>
      <c r="J249"/>
    </row>
    <row r="250" spans="1:10" x14ac:dyDescent="0.35">
      <c r="A250" s="49" t="s">
        <v>177</v>
      </c>
      <c r="B250" s="50">
        <v>45809</v>
      </c>
      <c r="C250" s="51" t="s">
        <v>46</v>
      </c>
      <c r="D250" s="51" t="s">
        <v>87</v>
      </c>
      <c r="E250" s="51" t="s">
        <v>9</v>
      </c>
      <c r="F250" s="51" t="s">
        <v>7</v>
      </c>
      <c r="G250" s="52">
        <v>0</v>
      </c>
      <c r="H250" s="53">
        <v>0</v>
      </c>
      <c r="J250"/>
    </row>
    <row r="251" spans="1:10" x14ac:dyDescent="0.35">
      <c r="A251" s="54" t="s">
        <v>177</v>
      </c>
      <c r="B251" s="55">
        <v>45809</v>
      </c>
      <c r="C251" s="56" t="s">
        <v>46</v>
      </c>
      <c r="D251" s="56" t="s">
        <v>87</v>
      </c>
      <c r="E251" s="51" t="s">
        <v>9</v>
      </c>
      <c r="F251" s="56" t="s">
        <v>8</v>
      </c>
      <c r="G251" s="57">
        <v>0</v>
      </c>
      <c r="H251" s="58">
        <v>0</v>
      </c>
      <c r="J251"/>
    </row>
    <row r="252" spans="1:10" x14ac:dyDescent="0.35">
      <c r="A252" s="49" t="s">
        <v>177</v>
      </c>
      <c r="B252" s="50">
        <v>45809</v>
      </c>
      <c r="C252" s="51" t="s">
        <v>46</v>
      </c>
      <c r="D252" s="51" t="s">
        <v>87</v>
      </c>
      <c r="E252" s="51" t="s">
        <v>9</v>
      </c>
      <c r="F252" s="51" t="s">
        <v>15</v>
      </c>
      <c r="G252" s="52">
        <v>142504.12724210526</v>
      </c>
      <c r="H252" s="53">
        <v>4200</v>
      </c>
      <c r="J252" s="12">
        <f>SUMIFS(Receitas!L:L,Receitas!B:B,'BaseRelatório vOrçamento'!B252,Receitas!G:G,'BaseRelatório vOrçamento'!D252,Receitas!H:H,'BaseRelatório vOrçamento'!E252)</f>
        <v>65923.30799999999</v>
      </c>
    </row>
    <row r="253" spans="1:10" x14ac:dyDescent="0.35">
      <c r="A253" s="54" t="s">
        <v>177</v>
      </c>
      <c r="B253" s="55">
        <v>45809</v>
      </c>
      <c r="C253" s="56" t="s">
        <v>46</v>
      </c>
      <c r="D253" s="56" t="s">
        <v>87</v>
      </c>
      <c r="E253" s="51" t="s">
        <v>9</v>
      </c>
      <c r="F253" s="56" t="s">
        <v>65</v>
      </c>
      <c r="G253" s="57">
        <v>0</v>
      </c>
      <c r="H253" s="58">
        <v>0</v>
      </c>
      <c r="J253"/>
    </row>
    <row r="254" spans="1:10" x14ac:dyDescent="0.35">
      <c r="A254" s="49" t="s">
        <v>169</v>
      </c>
      <c r="B254" s="50">
        <v>45717</v>
      </c>
      <c r="C254" s="51" t="s">
        <v>25</v>
      </c>
      <c r="D254" s="51" t="s">
        <v>12</v>
      </c>
      <c r="E254" s="51" t="s">
        <v>170</v>
      </c>
      <c r="F254" s="51" t="s">
        <v>65</v>
      </c>
      <c r="G254" s="52">
        <v>0</v>
      </c>
      <c r="H254" s="61">
        <v>0</v>
      </c>
      <c r="J254"/>
    </row>
    <row r="255" spans="1:10" x14ac:dyDescent="0.35">
      <c r="A255" s="54" t="s">
        <v>166</v>
      </c>
      <c r="B255" s="55">
        <v>45748</v>
      </c>
      <c r="C255" s="56" t="s">
        <v>25</v>
      </c>
      <c r="D255" s="56" t="s">
        <v>12</v>
      </c>
      <c r="E255" s="51" t="s">
        <v>9</v>
      </c>
      <c r="F255" s="56" t="s">
        <v>7</v>
      </c>
      <c r="G255" s="57">
        <v>0</v>
      </c>
      <c r="H255" s="58">
        <v>0</v>
      </c>
      <c r="J255"/>
    </row>
    <row r="256" spans="1:10" x14ac:dyDescent="0.35">
      <c r="A256" s="49" t="s">
        <v>166</v>
      </c>
      <c r="B256" s="50">
        <v>45748</v>
      </c>
      <c r="C256" s="51" t="s">
        <v>25</v>
      </c>
      <c r="D256" s="51" t="s">
        <v>12</v>
      </c>
      <c r="E256" s="51" t="s">
        <v>9</v>
      </c>
      <c r="F256" s="51" t="s">
        <v>8</v>
      </c>
      <c r="G256" s="52">
        <v>0</v>
      </c>
      <c r="H256" s="53">
        <v>0</v>
      </c>
      <c r="J256"/>
    </row>
    <row r="257" spans="1:10" x14ac:dyDescent="0.35">
      <c r="A257" s="54" t="s">
        <v>166</v>
      </c>
      <c r="B257" s="55">
        <v>45748</v>
      </c>
      <c r="C257" s="56" t="s">
        <v>25</v>
      </c>
      <c r="D257" s="56" t="s">
        <v>12</v>
      </c>
      <c r="E257" s="51" t="s">
        <v>9</v>
      </c>
      <c r="F257" s="56" t="s">
        <v>15</v>
      </c>
      <c r="G257" s="57">
        <v>164947.60916666666</v>
      </c>
      <c r="H257" s="58">
        <v>6100</v>
      </c>
      <c r="J257" s="12">
        <f>SUMIFS(Receitas!L:L,Receitas!B:B,'BaseRelatório vOrçamento'!B257,Receitas!G:G,'BaseRelatório vOrçamento'!D257,Receitas!H:H,'BaseRelatório vOrçamento'!E257)</f>
        <v>465226.89</v>
      </c>
    </row>
    <row r="258" spans="1:10" x14ac:dyDescent="0.35">
      <c r="A258" s="49" t="s">
        <v>134</v>
      </c>
      <c r="B258" s="50">
        <v>45809</v>
      </c>
      <c r="C258" s="51" t="s">
        <v>57</v>
      </c>
      <c r="D258" s="51" t="s">
        <v>58</v>
      </c>
      <c r="E258" s="51" t="s">
        <v>10</v>
      </c>
      <c r="F258" s="51" t="s">
        <v>7</v>
      </c>
      <c r="G258" s="52">
        <v>0</v>
      </c>
      <c r="H258" s="53">
        <v>0</v>
      </c>
      <c r="J258"/>
    </row>
    <row r="259" spans="1:10" x14ac:dyDescent="0.35">
      <c r="A259" s="54" t="s">
        <v>134</v>
      </c>
      <c r="B259" s="55">
        <v>45809</v>
      </c>
      <c r="C259" s="56" t="s">
        <v>57</v>
      </c>
      <c r="D259" s="56" t="s">
        <v>58</v>
      </c>
      <c r="E259" s="51" t="s">
        <v>10</v>
      </c>
      <c r="F259" s="56" t="s">
        <v>8</v>
      </c>
      <c r="G259" s="57">
        <v>0</v>
      </c>
      <c r="H259" s="58">
        <v>0</v>
      </c>
      <c r="J259"/>
    </row>
    <row r="260" spans="1:10" x14ac:dyDescent="0.35">
      <c r="A260" s="49" t="s">
        <v>134</v>
      </c>
      <c r="B260" s="50">
        <v>45809</v>
      </c>
      <c r="C260" s="51" t="s">
        <v>57</v>
      </c>
      <c r="D260" s="51" t="s">
        <v>58</v>
      </c>
      <c r="E260" s="51" t="s">
        <v>10</v>
      </c>
      <c r="F260" s="51" t="s">
        <v>15</v>
      </c>
      <c r="G260" s="52">
        <v>17311.068923076924</v>
      </c>
      <c r="H260" s="53">
        <v>550</v>
      </c>
      <c r="J260" s="12">
        <f>SUMIFS(Receitas!L:L,Receitas!B:B,'BaseRelatório vOrçamento'!B260,Receitas!G:G,'BaseRelatório vOrçamento'!D260,Receitas!H:H,'BaseRelatório vOrçamento'!E260)</f>
        <v>54744.72</v>
      </c>
    </row>
    <row r="261" spans="1:10" x14ac:dyDescent="0.35">
      <c r="A261" s="54" t="s">
        <v>134</v>
      </c>
      <c r="B261" s="55">
        <v>45809</v>
      </c>
      <c r="C261" s="56" t="s">
        <v>57</v>
      </c>
      <c r="D261" s="56" t="s">
        <v>58</v>
      </c>
      <c r="E261" s="51" t="s">
        <v>10</v>
      </c>
      <c r="F261" s="56" t="s">
        <v>65</v>
      </c>
      <c r="G261" s="57">
        <v>0</v>
      </c>
      <c r="H261" s="58">
        <v>0</v>
      </c>
      <c r="J261"/>
    </row>
    <row r="262" spans="1:10" x14ac:dyDescent="0.35">
      <c r="A262" s="59">
        <v>20105</v>
      </c>
      <c r="B262" s="50">
        <v>45809</v>
      </c>
      <c r="C262" s="51" t="s">
        <v>26</v>
      </c>
      <c r="D262" s="51" t="s">
        <v>19</v>
      </c>
      <c r="E262" s="51" t="s">
        <v>209</v>
      </c>
      <c r="F262" s="51" t="s">
        <v>7</v>
      </c>
      <c r="G262" s="52">
        <v>0</v>
      </c>
      <c r="H262" s="53">
        <v>0</v>
      </c>
      <c r="J262"/>
    </row>
    <row r="263" spans="1:10" x14ac:dyDescent="0.35">
      <c r="A263" s="60">
        <v>20105</v>
      </c>
      <c r="B263" s="55">
        <v>45809</v>
      </c>
      <c r="C263" s="56" t="s">
        <v>26</v>
      </c>
      <c r="D263" s="56" t="s">
        <v>19</v>
      </c>
      <c r="E263" s="51" t="s">
        <v>209</v>
      </c>
      <c r="F263" s="56" t="s">
        <v>8</v>
      </c>
      <c r="G263" s="57">
        <v>0</v>
      </c>
      <c r="H263" s="58">
        <v>0</v>
      </c>
      <c r="J263"/>
    </row>
    <row r="264" spans="1:10" x14ac:dyDescent="0.35">
      <c r="A264" s="59">
        <v>20105</v>
      </c>
      <c r="B264" s="50">
        <v>45809</v>
      </c>
      <c r="C264" s="51" t="s">
        <v>26</v>
      </c>
      <c r="D264" s="51" t="s">
        <v>19</v>
      </c>
      <c r="E264" s="51" t="s">
        <v>13</v>
      </c>
      <c r="F264" s="51" t="s">
        <v>15</v>
      </c>
      <c r="G264" s="52">
        <v>16933.880412371134</v>
      </c>
      <c r="H264" s="53">
        <v>545</v>
      </c>
      <c r="J264" s="12">
        <f>SUMIFS(Receitas!L:L,Receitas!B:B,'BaseRelatório vOrçamento'!B264,Receitas!G:G,'BaseRelatório vOrçamento'!D264,Receitas!H:H,'BaseRelatório vOrçamento'!E264)</f>
        <v>14280</v>
      </c>
    </row>
    <row r="265" spans="1:10" x14ac:dyDescent="0.35">
      <c r="A265" s="60">
        <v>20105</v>
      </c>
      <c r="B265" s="55">
        <v>45809</v>
      </c>
      <c r="C265" s="56" t="s">
        <v>26</v>
      </c>
      <c r="D265" s="56" t="s">
        <v>19</v>
      </c>
      <c r="E265" s="51" t="s">
        <v>209</v>
      </c>
      <c r="F265" s="56" t="s">
        <v>65</v>
      </c>
      <c r="G265" s="57">
        <v>0</v>
      </c>
      <c r="H265" s="58">
        <v>0</v>
      </c>
      <c r="J265"/>
    </row>
    <row r="266" spans="1:10" x14ac:dyDescent="0.35">
      <c r="A266" s="49" t="s">
        <v>142</v>
      </c>
      <c r="B266" s="50">
        <v>45839</v>
      </c>
      <c r="C266" s="51" t="s">
        <v>48</v>
      </c>
      <c r="D266" s="51" t="s">
        <v>49</v>
      </c>
      <c r="E266" s="51" t="s">
        <v>52</v>
      </c>
      <c r="F266" s="51" t="s">
        <v>7</v>
      </c>
      <c r="G266" s="52">
        <v>0</v>
      </c>
      <c r="H266" s="53">
        <v>0</v>
      </c>
      <c r="J266"/>
    </row>
    <row r="267" spans="1:10" x14ac:dyDescent="0.35">
      <c r="A267" s="54" t="s">
        <v>142</v>
      </c>
      <c r="B267" s="55">
        <v>45839</v>
      </c>
      <c r="C267" s="56" t="s">
        <v>48</v>
      </c>
      <c r="D267" s="56" t="s">
        <v>49</v>
      </c>
      <c r="E267" s="51" t="s">
        <v>52</v>
      </c>
      <c r="F267" s="56" t="s">
        <v>8</v>
      </c>
      <c r="G267" s="57">
        <v>0</v>
      </c>
      <c r="H267" s="58">
        <v>0</v>
      </c>
      <c r="J267"/>
    </row>
    <row r="268" spans="1:10" x14ac:dyDescent="0.35">
      <c r="A268" s="49" t="s">
        <v>142</v>
      </c>
      <c r="B268" s="50">
        <v>45839</v>
      </c>
      <c r="C268" s="51" t="s">
        <v>48</v>
      </c>
      <c r="D268" s="51" t="s">
        <v>49</v>
      </c>
      <c r="E268" s="51" t="s">
        <v>52</v>
      </c>
      <c r="F268" s="51" t="s">
        <v>15</v>
      </c>
      <c r="G268" s="52">
        <v>89789.370062370057</v>
      </c>
      <c r="H268" s="53">
        <v>2040</v>
      </c>
      <c r="J268" s="12">
        <f>SUMIFS(Receitas!L:L,Receitas!B:B,'BaseRelatório vOrçamento'!B268,Receitas!G:G,'BaseRelatório vOrçamento'!D268,Receitas!H:H,'BaseRelatório vOrçamento'!E268)</f>
        <v>86985.600000000006</v>
      </c>
    </row>
    <row r="269" spans="1:10" x14ac:dyDescent="0.35">
      <c r="A269" s="54" t="s">
        <v>142</v>
      </c>
      <c r="B269" s="55">
        <v>45839</v>
      </c>
      <c r="C269" s="56" t="s">
        <v>48</v>
      </c>
      <c r="D269" s="56" t="s">
        <v>49</v>
      </c>
      <c r="E269" s="51" t="s">
        <v>52</v>
      </c>
      <c r="F269" s="56" t="s">
        <v>65</v>
      </c>
      <c r="G269" s="57">
        <v>0</v>
      </c>
      <c r="H269" s="58">
        <v>0</v>
      </c>
      <c r="J269"/>
    </row>
    <row r="270" spans="1:10" x14ac:dyDescent="0.35">
      <c r="A270" s="49" t="s">
        <v>139</v>
      </c>
      <c r="B270" s="50">
        <v>45839</v>
      </c>
      <c r="C270" s="51" t="s">
        <v>48</v>
      </c>
      <c r="D270" s="51" t="s">
        <v>49</v>
      </c>
      <c r="E270" s="51" t="s">
        <v>14</v>
      </c>
      <c r="F270" s="51" t="s">
        <v>7</v>
      </c>
      <c r="G270" s="52">
        <v>0</v>
      </c>
      <c r="H270" s="53">
        <v>0</v>
      </c>
      <c r="J270"/>
    </row>
    <row r="271" spans="1:10" x14ac:dyDescent="0.35">
      <c r="A271" s="54" t="s">
        <v>139</v>
      </c>
      <c r="B271" s="55">
        <v>45839</v>
      </c>
      <c r="C271" s="56" t="s">
        <v>48</v>
      </c>
      <c r="D271" s="56" t="s">
        <v>49</v>
      </c>
      <c r="E271" s="51" t="s">
        <v>14</v>
      </c>
      <c r="F271" s="56" t="s">
        <v>8</v>
      </c>
      <c r="G271" s="57">
        <v>0</v>
      </c>
      <c r="H271" s="58">
        <v>0</v>
      </c>
      <c r="J271"/>
    </row>
    <row r="272" spans="1:10" x14ac:dyDescent="0.35">
      <c r="A272" s="49" t="s">
        <v>139</v>
      </c>
      <c r="B272" s="50">
        <v>45839</v>
      </c>
      <c r="C272" s="51" t="s">
        <v>48</v>
      </c>
      <c r="D272" s="51" t="s">
        <v>49</v>
      </c>
      <c r="E272" s="51" t="s">
        <v>14</v>
      </c>
      <c r="F272" s="51" t="s">
        <v>15</v>
      </c>
      <c r="G272" s="52">
        <v>28839.059251559258</v>
      </c>
      <c r="H272" s="53">
        <v>1500</v>
      </c>
      <c r="J272" s="12">
        <f>SUMIFS(Receitas!L:L,Receitas!B:B,'BaseRelatório vOrçamento'!B272,Receitas!G:G,'BaseRelatório vOrçamento'!D272,Receitas!H:H,'BaseRelatório vOrçamento'!E272)</f>
        <v>16726.32</v>
      </c>
    </row>
    <row r="273" spans="1:10" x14ac:dyDescent="0.35">
      <c r="A273" s="54" t="s">
        <v>139</v>
      </c>
      <c r="B273" s="55">
        <v>45839</v>
      </c>
      <c r="C273" s="56" t="s">
        <v>48</v>
      </c>
      <c r="D273" s="56" t="s">
        <v>49</v>
      </c>
      <c r="E273" s="51" t="s">
        <v>14</v>
      </c>
      <c r="F273" s="56" t="s">
        <v>65</v>
      </c>
      <c r="G273" s="57">
        <v>0</v>
      </c>
      <c r="H273" s="58">
        <v>0</v>
      </c>
      <c r="J273"/>
    </row>
    <row r="274" spans="1:10" x14ac:dyDescent="0.35">
      <c r="A274" s="49" t="s">
        <v>25</v>
      </c>
      <c r="B274" s="50">
        <v>45839</v>
      </c>
      <c r="C274" s="51" t="s">
        <v>48</v>
      </c>
      <c r="D274" s="51" t="s">
        <v>49</v>
      </c>
      <c r="E274" s="51" t="s">
        <v>116</v>
      </c>
      <c r="F274" s="51" t="s">
        <v>7</v>
      </c>
      <c r="G274" s="52">
        <v>0</v>
      </c>
      <c r="H274" s="53">
        <v>0</v>
      </c>
      <c r="J274"/>
    </row>
    <row r="275" spans="1:10" x14ac:dyDescent="0.35">
      <c r="A275" s="54" t="s">
        <v>25</v>
      </c>
      <c r="B275" s="55">
        <v>45839</v>
      </c>
      <c r="C275" s="56" t="s">
        <v>48</v>
      </c>
      <c r="D275" s="56" t="s">
        <v>49</v>
      </c>
      <c r="E275" s="51" t="s">
        <v>116</v>
      </c>
      <c r="F275" s="56" t="s">
        <v>8</v>
      </c>
      <c r="G275" s="57">
        <v>0</v>
      </c>
      <c r="H275" s="58">
        <v>0</v>
      </c>
      <c r="J275"/>
    </row>
    <row r="276" spans="1:10" x14ac:dyDescent="0.35">
      <c r="A276" s="49" t="s">
        <v>25</v>
      </c>
      <c r="B276" s="50">
        <v>45839</v>
      </c>
      <c r="C276" s="51" t="s">
        <v>48</v>
      </c>
      <c r="D276" s="51" t="s">
        <v>49</v>
      </c>
      <c r="E276" s="51" t="s">
        <v>116</v>
      </c>
      <c r="F276" s="51" t="s">
        <v>15</v>
      </c>
      <c r="G276" s="52">
        <v>9729.72972972973</v>
      </c>
      <c r="H276" s="53">
        <v>300</v>
      </c>
      <c r="J276" s="12">
        <f>SUMIFS(Receitas!L:L,Receitas!B:B,'BaseRelatório vOrçamento'!B276,Receitas!G:G,'BaseRelatório vOrçamento'!D276,Receitas!H:H,'BaseRelatório vOrçamento'!E276)</f>
        <v>0</v>
      </c>
    </row>
    <row r="277" spans="1:10" x14ac:dyDescent="0.35">
      <c r="A277" s="54" t="s">
        <v>25</v>
      </c>
      <c r="B277" s="55">
        <v>45839</v>
      </c>
      <c r="C277" s="56" t="s">
        <v>48</v>
      </c>
      <c r="D277" s="56" t="s">
        <v>49</v>
      </c>
      <c r="E277" s="51" t="s">
        <v>116</v>
      </c>
      <c r="F277" s="56" t="s">
        <v>65</v>
      </c>
      <c r="G277" s="57">
        <v>0</v>
      </c>
      <c r="H277" s="58">
        <v>0</v>
      </c>
      <c r="J277"/>
    </row>
    <row r="278" spans="1:10" x14ac:dyDescent="0.35">
      <c r="A278" s="49" t="s">
        <v>102</v>
      </c>
      <c r="B278" s="50">
        <v>45839</v>
      </c>
      <c r="C278" s="51" t="s">
        <v>48</v>
      </c>
      <c r="D278" s="51" t="s">
        <v>49</v>
      </c>
      <c r="E278" s="51" t="s">
        <v>51</v>
      </c>
      <c r="F278" s="51" t="s">
        <v>7</v>
      </c>
      <c r="G278" s="52">
        <v>0</v>
      </c>
      <c r="H278" s="53">
        <v>0</v>
      </c>
      <c r="J278"/>
    </row>
    <row r="279" spans="1:10" x14ac:dyDescent="0.35">
      <c r="A279" s="54" t="s">
        <v>102</v>
      </c>
      <c r="B279" s="55">
        <v>45839</v>
      </c>
      <c r="C279" s="56" t="s">
        <v>48</v>
      </c>
      <c r="D279" s="56" t="s">
        <v>49</v>
      </c>
      <c r="E279" s="51" t="s">
        <v>51</v>
      </c>
      <c r="F279" s="56" t="s">
        <v>8</v>
      </c>
      <c r="G279" s="57">
        <v>0</v>
      </c>
      <c r="H279" s="58">
        <v>0</v>
      </c>
      <c r="J279"/>
    </row>
    <row r="280" spans="1:10" x14ac:dyDescent="0.35">
      <c r="A280" s="49" t="s">
        <v>102</v>
      </c>
      <c r="B280" s="50">
        <v>45839</v>
      </c>
      <c r="C280" s="51" t="s">
        <v>48</v>
      </c>
      <c r="D280" s="51" t="s">
        <v>49</v>
      </c>
      <c r="E280" s="51" t="s">
        <v>51</v>
      </c>
      <c r="F280" s="51" t="s">
        <v>15</v>
      </c>
      <c r="G280" s="52">
        <v>235789.78378378376</v>
      </c>
      <c r="H280" s="53">
        <v>6500</v>
      </c>
      <c r="J280" s="12">
        <f>SUMIFS(Receitas!L:L,Receitas!B:B,'BaseRelatório vOrçamento'!B280,Receitas!G:G,'BaseRelatório vOrçamento'!D280,Receitas!H:H,'BaseRelatório vOrçamento'!E280)</f>
        <v>0</v>
      </c>
    </row>
    <row r="281" spans="1:10" x14ac:dyDescent="0.35">
      <c r="A281" s="54" t="s">
        <v>102</v>
      </c>
      <c r="B281" s="55">
        <v>45839</v>
      </c>
      <c r="C281" s="56" t="s">
        <v>48</v>
      </c>
      <c r="D281" s="56" t="s">
        <v>49</v>
      </c>
      <c r="E281" s="51" t="s">
        <v>51</v>
      </c>
      <c r="F281" s="56" t="s">
        <v>65</v>
      </c>
      <c r="G281" s="57">
        <v>0</v>
      </c>
      <c r="H281" s="58">
        <v>0</v>
      </c>
      <c r="J281"/>
    </row>
    <row r="282" spans="1:10" x14ac:dyDescent="0.35">
      <c r="A282" s="49" t="s">
        <v>118</v>
      </c>
      <c r="B282" s="50">
        <v>45839</v>
      </c>
      <c r="C282" s="51" t="s">
        <v>22</v>
      </c>
      <c r="D282" s="51" t="s">
        <v>11</v>
      </c>
      <c r="E282" s="51" t="s">
        <v>209</v>
      </c>
      <c r="F282" s="51" t="s">
        <v>7</v>
      </c>
      <c r="G282" s="52">
        <v>0</v>
      </c>
      <c r="H282" s="53">
        <v>0</v>
      </c>
      <c r="J282"/>
    </row>
    <row r="283" spans="1:10" x14ac:dyDescent="0.35">
      <c r="A283" s="54" t="s">
        <v>118</v>
      </c>
      <c r="B283" s="55">
        <v>45839</v>
      </c>
      <c r="C283" s="56" t="s">
        <v>22</v>
      </c>
      <c r="D283" s="56" t="s">
        <v>11</v>
      </c>
      <c r="E283" s="51" t="s">
        <v>209</v>
      </c>
      <c r="F283" s="56" t="s">
        <v>8</v>
      </c>
      <c r="G283" s="57">
        <v>0</v>
      </c>
      <c r="H283" s="58">
        <v>0</v>
      </c>
      <c r="J283"/>
    </row>
    <row r="284" spans="1:10" x14ac:dyDescent="0.35">
      <c r="A284" s="49" t="s">
        <v>190</v>
      </c>
      <c r="B284" s="50">
        <v>45839</v>
      </c>
      <c r="C284" s="51" t="s">
        <v>22</v>
      </c>
      <c r="D284" s="51" t="s">
        <v>11</v>
      </c>
      <c r="E284" s="51" t="s">
        <v>116</v>
      </c>
      <c r="F284" s="51" t="s">
        <v>15</v>
      </c>
      <c r="G284" s="52">
        <v>59115.789473684214</v>
      </c>
      <c r="H284" s="53">
        <v>2000</v>
      </c>
      <c r="J284" s="12">
        <f>SUMIFS(Receitas!L:L,Receitas!B:B,'BaseRelatório vOrçamento'!B284,Receitas!G:G,'BaseRelatório vOrçamento'!D284,Receitas!H:H,'BaseRelatório vOrçamento'!E284)</f>
        <v>0</v>
      </c>
    </row>
    <row r="285" spans="1:10" x14ac:dyDescent="0.35">
      <c r="A285" s="54" t="s">
        <v>118</v>
      </c>
      <c r="B285" s="55">
        <v>45839</v>
      </c>
      <c r="C285" s="56" t="s">
        <v>22</v>
      </c>
      <c r="D285" s="56" t="s">
        <v>11</v>
      </c>
      <c r="E285" s="51" t="s">
        <v>209</v>
      </c>
      <c r="F285" s="56" t="s">
        <v>65</v>
      </c>
      <c r="G285" s="57">
        <v>0</v>
      </c>
      <c r="H285" s="58">
        <v>0</v>
      </c>
      <c r="J285"/>
    </row>
    <row r="286" spans="1:10" x14ac:dyDescent="0.35">
      <c r="A286" s="49" t="s">
        <v>172</v>
      </c>
      <c r="B286" s="50">
        <v>45839</v>
      </c>
      <c r="C286" s="51" t="s">
        <v>22</v>
      </c>
      <c r="D286" s="51" t="s">
        <v>11</v>
      </c>
      <c r="E286" s="51" t="s">
        <v>13</v>
      </c>
      <c r="F286" s="51" t="s">
        <v>7</v>
      </c>
      <c r="G286" s="52">
        <v>0</v>
      </c>
      <c r="H286" s="53">
        <v>0</v>
      </c>
      <c r="J286"/>
    </row>
    <row r="287" spans="1:10" x14ac:dyDescent="0.35">
      <c r="A287" s="54" t="s">
        <v>172</v>
      </c>
      <c r="B287" s="55">
        <v>45839</v>
      </c>
      <c r="C287" s="56" t="s">
        <v>22</v>
      </c>
      <c r="D287" s="56" t="s">
        <v>11</v>
      </c>
      <c r="E287" s="51" t="s">
        <v>13</v>
      </c>
      <c r="F287" s="56" t="s">
        <v>8</v>
      </c>
      <c r="G287" s="57">
        <v>0</v>
      </c>
      <c r="H287" s="58">
        <v>0</v>
      </c>
      <c r="J287"/>
    </row>
    <row r="288" spans="1:10" x14ac:dyDescent="0.35">
      <c r="A288" s="49" t="s">
        <v>172</v>
      </c>
      <c r="B288" s="50">
        <v>45839</v>
      </c>
      <c r="C288" s="51" t="s">
        <v>22</v>
      </c>
      <c r="D288" s="51" t="s">
        <v>11</v>
      </c>
      <c r="E288" s="51" t="s">
        <v>13</v>
      </c>
      <c r="F288" s="51" t="s">
        <v>15</v>
      </c>
      <c r="G288" s="52">
        <v>0</v>
      </c>
      <c r="H288" s="53">
        <v>0</v>
      </c>
      <c r="J288" s="12">
        <f>SUMIFS(Receitas!L:L,Receitas!B:B,'BaseRelatório vOrçamento'!B288,Receitas!G:G,'BaseRelatório vOrçamento'!D288,Receitas!H:H,'BaseRelatório vOrçamento'!E288)</f>
        <v>18832.086499999998</v>
      </c>
    </row>
    <row r="289" spans="1:10" x14ac:dyDescent="0.35">
      <c r="A289" s="54" t="s">
        <v>172</v>
      </c>
      <c r="B289" s="55">
        <v>45839</v>
      </c>
      <c r="C289" s="56" t="s">
        <v>22</v>
      </c>
      <c r="D289" s="56" t="s">
        <v>11</v>
      </c>
      <c r="E289" s="51" t="s">
        <v>13</v>
      </c>
      <c r="F289" s="56" t="s">
        <v>65</v>
      </c>
      <c r="G289" s="57">
        <v>0</v>
      </c>
      <c r="H289" s="58">
        <v>0</v>
      </c>
      <c r="J289"/>
    </row>
    <row r="290" spans="1:10" x14ac:dyDescent="0.35">
      <c r="A290" s="49" t="s">
        <v>149</v>
      </c>
      <c r="B290" s="50">
        <v>45839</v>
      </c>
      <c r="C290" s="51" t="s">
        <v>23</v>
      </c>
      <c r="D290" s="51" t="s">
        <v>112</v>
      </c>
      <c r="E290" s="51" t="s">
        <v>113</v>
      </c>
      <c r="F290" s="51" t="s">
        <v>7</v>
      </c>
      <c r="G290" s="52">
        <v>0</v>
      </c>
      <c r="H290" s="53">
        <v>0</v>
      </c>
      <c r="J290"/>
    </row>
    <row r="291" spans="1:10" x14ac:dyDescent="0.35">
      <c r="A291" s="54" t="s">
        <v>149</v>
      </c>
      <c r="B291" s="55">
        <v>45839</v>
      </c>
      <c r="C291" s="56" t="s">
        <v>23</v>
      </c>
      <c r="D291" s="56" t="s">
        <v>112</v>
      </c>
      <c r="E291" s="51" t="s">
        <v>113</v>
      </c>
      <c r="F291" s="56" t="s">
        <v>8</v>
      </c>
      <c r="G291" s="57">
        <v>0</v>
      </c>
      <c r="H291" s="58">
        <v>0</v>
      </c>
      <c r="J291"/>
    </row>
    <row r="292" spans="1:10" x14ac:dyDescent="0.35">
      <c r="A292" s="49" t="s">
        <v>149</v>
      </c>
      <c r="B292" s="50">
        <v>45839</v>
      </c>
      <c r="C292" s="51" t="s">
        <v>23</v>
      </c>
      <c r="D292" s="51" t="s">
        <v>112</v>
      </c>
      <c r="E292" s="51" t="s">
        <v>113</v>
      </c>
      <c r="F292" s="51" t="s">
        <v>15</v>
      </c>
      <c r="G292" s="52">
        <v>89658.947368421053</v>
      </c>
      <c r="H292" s="53">
        <v>4200</v>
      </c>
      <c r="J292" s="12">
        <f>SUMIFS(Receitas!L:L,Receitas!B:B,'BaseRelatório vOrçamento'!B292,Receitas!G:G,'BaseRelatório vOrçamento'!D292,Receitas!H:H,'BaseRelatório vOrçamento'!E292)</f>
        <v>0</v>
      </c>
    </row>
    <row r="293" spans="1:10" x14ac:dyDescent="0.35">
      <c r="A293" s="54" t="s">
        <v>149</v>
      </c>
      <c r="B293" s="55">
        <v>45839</v>
      </c>
      <c r="C293" s="56" t="s">
        <v>23</v>
      </c>
      <c r="D293" s="56" t="s">
        <v>112</v>
      </c>
      <c r="E293" s="51" t="s">
        <v>113</v>
      </c>
      <c r="F293" s="56" t="s">
        <v>65</v>
      </c>
      <c r="G293" s="57">
        <v>0</v>
      </c>
      <c r="H293" s="58">
        <v>0</v>
      </c>
      <c r="J293"/>
    </row>
    <row r="294" spans="1:10" x14ac:dyDescent="0.35">
      <c r="A294" s="49" t="s">
        <v>177</v>
      </c>
      <c r="B294" s="50">
        <v>45839</v>
      </c>
      <c r="C294" s="51" t="s">
        <v>46</v>
      </c>
      <c r="D294" s="51" t="s">
        <v>87</v>
      </c>
      <c r="E294" s="51" t="s">
        <v>9</v>
      </c>
      <c r="F294" s="51" t="s">
        <v>7</v>
      </c>
      <c r="G294" s="52">
        <v>0</v>
      </c>
      <c r="H294" s="53">
        <v>0</v>
      </c>
      <c r="J294"/>
    </row>
    <row r="295" spans="1:10" x14ac:dyDescent="0.35">
      <c r="A295" s="54" t="s">
        <v>177</v>
      </c>
      <c r="B295" s="55">
        <v>45839</v>
      </c>
      <c r="C295" s="56" t="s">
        <v>46</v>
      </c>
      <c r="D295" s="56" t="s">
        <v>87</v>
      </c>
      <c r="E295" s="51" t="s">
        <v>9</v>
      </c>
      <c r="F295" s="56" t="s">
        <v>8</v>
      </c>
      <c r="G295" s="57">
        <v>0</v>
      </c>
      <c r="H295" s="58">
        <v>0</v>
      </c>
      <c r="J295"/>
    </row>
    <row r="296" spans="1:10" x14ac:dyDescent="0.35">
      <c r="A296" s="49" t="s">
        <v>177</v>
      </c>
      <c r="B296" s="50">
        <v>45839</v>
      </c>
      <c r="C296" s="51" t="s">
        <v>46</v>
      </c>
      <c r="D296" s="51" t="s">
        <v>87</v>
      </c>
      <c r="E296" s="51" t="s">
        <v>9</v>
      </c>
      <c r="F296" s="51" t="s">
        <v>15</v>
      </c>
      <c r="G296" s="52">
        <v>142504.12724210526</v>
      </c>
      <c r="H296" s="53">
        <v>4200</v>
      </c>
      <c r="J296" s="12">
        <f>SUMIFS(Receitas!L:L,Receitas!B:B,'BaseRelatório vOrçamento'!B296,Receitas!G:G,'BaseRelatório vOrçamento'!D296,Receitas!H:H,'BaseRelatório vOrçamento'!E296)</f>
        <v>64950.936000000002</v>
      </c>
    </row>
    <row r="297" spans="1:10" x14ac:dyDescent="0.35">
      <c r="A297" s="54" t="s">
        <v>177</v>
      </c>
      <c r="B297" s="55">
        <v>45839</v>
      </c>
      <c r="C297" s="56" t="s">
        <v>46</v>
      </c>
      <c r="D297" s="56" t="s">
        <v>87</v>
      </c>
      <c r="E297" s="51" t="s">
        <v>9</v>
      </c>
      <c r="F297" s="56" t="s">
        <v>65</v>
      </c>
      <c r="G297" s="57">
        <v>0</v>
      </c>
      <c r="H297" s="58">
        <v>0</v>
      </c>
      <c r="J297"/>
    </row>
    <row r="298" spans="1:10" x14ac:dyDescent="0.35">
      <c r="A298" s="49" t="s">
        <v>166</v>
      </c>
      <c r="B298" s="50">
        <v>45748</v>
      </c>
      <c r="C298" s="51" t="s">
        <v>25</v>
      </c>
      <c r="D298" s="51" t="s">
        <v>12</v>
      </c>
      <c r="E298" s="51" t="s">
        <v>9</v>
      </c>
      <c r="F298" s="51" t="s">
        <v>65</v>
      </c>
      <c r="G298" s="52">
        <v>0</v>
      </c>
      <c r="H298" s="53">
        <v>0</v>
      </c>
      <c r="J298"/>
    </row>
    <row r="299" spans="1:10" x14ac:dyDescent="0.35">
      <c r="A299" s="54" t="s">
        <v>169</v>
      </c>
      <c r="B299" s="55">
        <v>45748</v>
      </c>
      <c r="C299" s="56" t="s">
        <v>25</v>
      </c>
      <c r="D299" s="56" t="s">
        <v>12</v>
      </c>
      <c r="E299" s="51" t="s">
        <v>170</v>
      </c>
      <c r="F299" s="56" t="s">
        <v>7</v>
      </c>
      <c r="G299" s="57">
        <v>0</v>
      </c>
      <c r="H299" s="62">
        <v>0</v>
      </c>
      <c r="J299"/>
    </row>
    <row r="300" spans="1:10" x14ac:dyDescent="0.35">
      <c r="A300" s="49" t="s">
        <v>169</v>
      </c>
      <c r="B300" s="50">
        <v>45748</v>
      </c>
      <c r="C300" s="51" t="s">
        <v>25</v>
      </c>
      <c r="D300" s="51" t="s">
        <v>12</v>
      </c>
      <c r="E300" s="51" t="s">
        <v>170</v>
      </c>
      <c r="F300" s="51" t="s">
        <v>8</v>
      </c>
      <c r="G300" s="52">
        <v>0</v>
      </c>
      <c r="H300" s="61">
        <v>0</v>
      </c>
      <c r="J300"/>
    </row>
    <row r="301" spans="1:10" x14ac:dyDescent="0.35">
      <c r="A301" s="54" t="s">
        <v>169</v>
      </c>
      <c r="B301" s="55">
        <v>45748</v>
      </c>
      <c r="C301" s="56" t="s">
        <v>25</v>
      </c>
      <c r="D301" s="56" t="s">
        <v>12</v>
      </c>
      <c r="E301" s="51" t="s">
        <v>170</v>
      </c>
      <c r="F301" s="56" t="s">
        <v>15</v>
      </c>
      <c r="G301" s="57">
        <v>0</v>
      </c>
      <c r="H301" s="62">
        <v>0</v>
      </c>
      <c r="J301" s="12">
        <f>SUMIFS(Receitas!L:L,Receitas!B:B,'BaseRelatório vOrçamento'!B301,Receitas!G:G,'BaseRelatório vOrçamento'!D301,Receitas!H:H,'BaseRelatório vOrçamento'!E301)</f>
        <v>4974.92</v>
      </c>
    </row>
    <row r="302" spans="1:10" x14ac:dyDescent="0.35">
      <c r="A302" s="49" t="s">
        <v>134</v>
      </c>
      <c r="B302" s="50">
        <v>45839</v>
      </c>
      <c r="C302" s="51" t="s">
        <v>57</v>
      </c>
      <c r="D302" s="51" t="s">
        <v>58</v>
      </c>
      <c r="E302" s="51" t="s">
        <v>10</v>
      </c>
      <c r="F302" s="51" t="s">
        <v>7</v>
      </c>
      <c r="G302" s="52">
        <v>0</v>
      </c>
      <c r="H302" s="53">
        <v>0</v>
      </c>
      <c r="J302"/>
    </row>
    <row r="303" spans="1:10" x14ac:dyDescent="0.35">
      <c r="A303" s="54" t="s">
        <v>134</v>
      </c>
      <c r="B303" s="55">
        <v>45839</v>
      </c>
      <c r="C303" s="56" t="s">
        <v>57</v>
      </c>
      <c r="D303" s="56" t="s">
        <v>58</v>
      </c>
      <c r="E303" s="51" t="s">
        <v>10</v>
      </c>
      <c r="F303" s="56" t="s">
        <v>8</v>
      </c>
      <c r="G303" s="57">
        <v>0</v>
      </c>
      <c r="H303" s="58">
        <v>0</v>
      </c>
      <c r="J303"/>
    </row>
    <row r="304" spans="1:10" x14ac:dyDescent="0.35">
      <c r="A304" s="49" t="s">
        <v>134</v>
      </c>
      <c r="B304" s="50">
        <v>45839</v>
      </c>
      <c r="C304" s="51" t="s">
        <v>57</v>
      </c>
      <c r="D304" s="51" t="s">
        <v>58</v>
      </c>
      <c r="E304" s="51" t="s">
        <v>10</v>
      </c>
      <c r="F304" s="51" t="s">
        <v>15</v>
      </c>
      <c r="G304" s="52">
        <v>17311.068923076924</v>
      </c>
      <c r="H304" s="53">
        <v>550</v>
      </c>
      <c r="J304" s="12">
        <f>SUMIFS(Receitas!L:L,Receitas!B:B,'BaseRelatório vOrçamento'!B304,Receitas!G:G,'BaseRelatório vOrçamento'!D304,Receitas!H:H,'BaseRelatório vOrçamento'!E304)</f>
        <v>59716.85</v>
      </c>
    </row>
    <row r="305" spans="1:10" x14ac:dyDescent="0.35">
      <c r="A305" s="54" t="s">
        <v>134</v>
      </c>
      <c r="B305" s="55">
        <v>45839</v>
      </c>
      <c r="C305" s="56" t="s">
        <v>57</v>
      </c>
      <c r="D305" s="56" t="s">
        <v>58</v>
      </c>
      <c r="E305" s="51" t="s">
        <v>10</v>
      </c>
      <c r="F305" s="56" t="s">
        <v>65</v>
      </c>
      <c r="G305" s="57">
        <v>0</v>
      </c>
      <c r="H305" s="58">
        <v>0</v>
      </c>
      <c r="J305"/>
    </row>
    <row r="306" spans="1:10" x14ac:dyDescent="0.35">
      <c r="A306" s="59">
        <v>20105</v>
      </c>
      <c r="B306" s="50">
        <v>45839</v>
      </c>
      <c r="C306" s="51" t="s">
        <v>26</v>
      </c>
      <c r="D306" s="51" t="s">
        <v>19</v>
      </c>
      <c r="E306" s="51" t="s">
        <v>209</v>
      </c>
      <c r="F306" s="51" t="s">
        <v>7</v>
      </c>
      <c r="G306" s="52">
        <v>0</v>
      </c>
      <c r="H306" s="53">
        <v>0</v>
      </c>
      <c r="J306"/>
    </row>
    <row r="307" spans="1:10" x14ac:dyDescent="0.35">
      <c r="A307" s="60">
        <v>20105</v>
      </c>
      <c r="B307" s="55">
        <v>45839</v>
      </c>
      <c r="C307" s="56" t="s">
        <v>26</v>
      </c>
      <c r="D307" s="56" t="s">
        <v>19</v>
      </c>
      <c r="E307" s="51" t="s">
        <v>209</v>
      </c>
      <c r="F307" s="56" t="s">
        <v>8</v>
      </c>
      <c r="G307" s="57">
        <v>0</v>
      </c>
      <c r="H307" s="58">
        <v>0</v>
      </c>
      <c r="J307"/>
    </row>
    <row r="308" spans="1:10" x14ac:dyDescent="0.35">
      <c r="A308" s="59">
        <v>20105</v>
      </c>
      <c r="B308" s="50">
        <v>45839</v>
      </c>
      <c r="C308" s="51" t="s">
        <v>26</v>
      </c>
      <c r="D308" s="51" t="s">
        <v>19</v>
      </c>
      <c r="E308" s="51" t="s">
        <v>13</v>
      </c>
      <c r="F308" s="51" t="s">
        <v>15</v>
      </c>
      <c r="G308" s="52">
        <v>16933.880412371134</v>
      </c>
      <c r="H308" s="53">
        <v>545</v>
      </c>
      <c r="J308" s="12">
        <f>SUMIFS(Receitas!L:L,Receitas!B:B,'BaseRelatório vOrçamento'!B308,Receitas!G:G,'BaseRelatório vOrçamento'!D308,Receitas!H:H,'BaseRelatório vOrçamento'!E308)</f>
        <v>14280</v>
      </c>
    </row>
    <row r="309" spans="1:10" x14ac:dyDescent="0.35">
      <c r="A309" s="60">
        <v>20105</v>
      </c>
      <c r="B309" s="55">
        <v>45839</v>
      </c>
      <c r="C309" s="56" t="s">
        <v>26</v>
      </c>
      <c r="D309" s="56" t="s">
        <v>19</v>
      </c>
      <c r="E309" s="51" t="s">
        <v>209</v>
      </c>
      <c r="F309" s="56" t="s">
        <v>65</v>
      </c>
      <c r="G309" s="57">
        <v>0</v>
      </c>
      <c r="H309" s="58">
        <v>0</v>
      </c>
      <c r="J309"/>
    </row>
    <row r="310" spans="1:10" x14ac:dyDescent="0.35">
      <c r="A310" s="49" t="s">
        <v>142</v>
      </c>
      <c r="B310" s="50">
        <v>45870</v>
      </c>
      <c r="C310" s="51" t="s">
        <v>48</v>
      </c>
      <c r="D310" s="51" t="s">
        <v>49</v>
      </c>
      <c r="E310" s="51" t="s">
        <v>52</v>
      </c>
      <c r="F310" s="51" t="s">
        <v>7</v>
      </c>
      <c r="G310" s="52">
        <v>0</v>
      </c>
      <c r="H310" s="53">
        <v>0</v>
      </c>
      <c r="J310"/>
    </row>
    <row r="311" spans="1:10" x14ac:dyDescent="0.35">
      <c r="A311" s="54" t="s">
        <v>142</v>
      </c>
      <c r="B311" s="55">
        <v>45870</v>
      </c>
      <c r="C311" s="56" t="s">
        <v>48</v>
      </c>
      <c r="D311" s="56" t="s">
        <v>49</v>
      </c>
      <c r="E311" s="51" t="s">
        <v>52</v>
      </c>
      <c r="F311" s="56" t="s">
        <v>8</v>
      </c>
      <c r="G311" s="57">
        <v>0</v>
      </c>
      <c r="H311" s="58">
        <v>0</v>
      </c>
      <c r="J311"/>
    </row>
    <row r="312" spans="1:10" x14ac:dyDescent="0.35">
      <c r="A312" s="49" t="s">
        <v>142</v>
      </c>
      <c r="B312" s="50">
        <v>45870</v>
      </c>
      <c r="C312" s="51" t="s">
        <v>48</v>
      </c>
      <c r="D312" s="51" t="s">
        <v>49</v>
      </c>
      <c r="E312" s="51" t="s">
        <v>52</v>
      </c>
      <c r="F312" s="51" t="s">
        <v>15</v>
      </c>
      <c r="G312" s="52">
        <v>89789.370062370057</v>
      </c>
      <c r="H312" s="53">
        <v>2040</v>
      </c>
      <c r="J312" s="12">
        <f>SUMIFS(Receitas!L:L,Receitas!B:B,'BaseRelatório vOrçamento'!B312,Receitas!G:G,'BaseRelatório vOrçamento'!D312,Receitas!H:H,'BaseRelatório vOrçamento'!E312)</f>
        <v>86985.600000000006</v>
      </c>
    </row>
    <row r="313" spans="1:10" x14ac:dyDescent="0.35">
      <c r="A313" s="54" t="s">
        <v>142</v>
      </c>
      <c r="B313" s="55">
        <v>45870</v>
      </c>
      <c r="C313" s="56" t="s">
        <v>48</v>
      </c>
      <c r="D313" s="56" t="s">
        <v>49</v>
      </c>
      <c r="E313" s="51" t="s">
        <v>52</v>
      </c>
      <c r="F313" s="56" t="s">
        <v>65</v>
      </c>
      <c r="G313" s="57">
        <v>0</v>
      </c>
      <c r="H313" s="58">
        <v>0</v>
      </c>
      <c r="J313"/>
    </row>
    <row r="314" spans="1:10" x14ac:dyDescent="0.35">
      <c r="A314" s="49" t="s">
        <v>139</v>
      </c>
      <c r="B314" s="50">
        <v>45870</v>
      </c>
      <c r="C314" s="51" t="s">
        <v>48</v>
      </c>
      <c r="D314" s="51" t="s">
        <v>49</v>
      </c>
      <c r="E314" s="51" t="s">
        <v>14</v>
      </c>
      <c r="F314" s="51" t="s">
        <v>7</v>
      </c>
      <c r="G314" s="52">
        <v>0</v>
      </c>
      <c r="H314" s="53">
        <v>0</v>
      </c>
      <c r="J314"/>
    </row>
    <row r="315" spans="1:10" x14ac:dyDescent="0.35">
      <c r="A315" s="54" t="s">
        <v>139</v>
      </c>
      <c r="B315" s="55">
        <v>45870</v>
      </c>
      <c r="C315" s="56" t="s">
        <v>48</v>
      </c>
      <c r="D315" s="56" t="s">
        <v>49</v>
      </c>
      <c r="E315" s="51" t="s">
        <v>14</v>
      </c>
      <c r="F315" s="56" t="s">
        <v>8</v>
      </c>
      <c r="G315" s="57">
        <v>0</v>
      </c>
      <c r="H315" s="58">
        <v>0</v>
      </c>
      <c r="J315"/>
    </row>
    <row r="316" spans="1:10" x14ac:dyDescent="0.35">
      <c r="A316" s="49" t="s">
        <v>139</v>
      </c>
      <c r="B316" s="50">
        <v>45870</v>
      </c>
      <c r="C316" s="51" t="s">
        <v>48</v>
      </c>
      <c r="D316" s="51" t="s">
        <v>49</v>
      </c>
      <c r="E316" s="51" t="s">
        <v>14</v>
      </c>
      <c r="F316" s="51" t="s">
        <v>15</v>
      </c>
      <c r="G316" s="52">
        <v>28839.059251559258</v>
      </c>
      <c r="H316" s="53">
        <v>1500</v>
      </c>
      <c r="J316" s="12">
        <f>SUMIFS(Receitas!L:L,Receitas!B:B,'BaseRelatório vOrçamento'!B316,Receitas!G:G,'BaseRelatório vOrçamento'!D316,Receitas!H:H,'BaseRelatório vOrçamento'!E316)</f>
        <v>16726.72</v>
      </c>
    </row>
    <row r="317" spans="1:10" x14ac:dyDescent="0.35">
      <c r="A317" s="54" t="s">
        <v>139</v>
      </c>
      <c r="B317" s="55">
        <v>45870</v>
      </c>
      <c r="C317" s="56" t="s">
        <v>48</v>
      </c>
      <c r="D317" s="56" t="s">
        <v>49</v>
      </c>
      <c r="E317" s="51" t="s">
        <v>14</v>
      </c>
      <c r="F317" s="56" t="s">
        <v>65</v>
      </c>
      <c r="G317" s="57">
        <v>0</v>
      </c>
      <c r="H317" s="58">
        <v>0</v>
      </c>
      <c r="J317"/>
    </row>
    <row r="318" spans="1:10" x14ac:dyDescent="0.35">
      <c r="A318" s="49" t="s">
        <v>25</v>
      </c>
      <c r="B318" s="50">
        <v>45870</v>
      </c>
      <c r="C318" s="51" t="s">
        <v>48</v>
      </c>
      <c r="D318" s="51" t="s">
        <v>49</v>
      </c>
      <c r="E318" s="51" t="s">
        <v>116</v>
      </c>
      <c r="F318" s="51" t="s">
        <v>7</v>
      </c>
      <c r="G318" s="52">
        <v>0</v>
      </c>
      <c r="H318" s="53">
        <v>0</v>
      </c>
      <c r="J318"/>
    </row>
    <row r="319" spans="1:10" x14ac:dyDescent="0.35">
      <c r="A319" s="54" t="s">
        <v>25</v>
      </c>
      <c r="B319" s="55">
        <v>45870</v>
      </c>
      <c r="C319" s="56" t="s">
        <v>48</v>
      </c>
      <c r="D319" s="56" t="s">
        <v>49</v>
      </c>
      <c r="E319" s="51" t="s">
        <v>116</v>
      </c>
      <c r="F319" s="56" t="s">
        <v>8</v>
      </c>
      <c r="G319" s="57">
        <v>0</v>
      </c>
      <c r="H319" s="58">
        <v>0</v>
      </c>
      <c r="J319"/>
    </row>
    <row r="320" spans="1:10" x14ac:dyDescent="0.35">
      <c r="A320" s="49" t="s">
        <v>25</v>
      </c>
      <c r="B320" s="50">
        <v>45870</v>
      </c>
      <c r="C320" s="51" t="s">
        <v>48</v>
      </c>
      <c r="D320" s="51" t="s">
        <v>49</v>
      </c>
      <c r="E320" s="51" t="s">
        <v>116</v>
      </c>
      <c r="F320" s="51" t="s">
        <v>15</v>
      </c>
      <c r="G320" s="52">
        <v>9729.72972972973</v>
      </c>
      <c r="H320" s="53">
        <v>300</v>
      </c>
      <c r="J320" s="12">
        <f>SUMIFS(Receitas!L:L,Receitas!B:B,'BaseRelatório vOrçamento'!B320,Receitas!G:G,'BaseRelatório vOrçamento'!D320,Receitas!H:H,'BaseRelatório vOrçamento'!E320)</f>
        <v>0</v>
      </c>
    </row>
    <row r="321" spans="1:10" x14ac:dyDescent="0.35">
      <c r="A321" s="54" t="s">
        <v>25</v>
      </c>
      <c r="B321" s="55">
        <v>45870</v>
      </c>
      <c r="C321" s="56" t="s">
        <v>48</v>
      </c>
      <c r="D321" s="56" t="s">
        <v>49</v>
      </c>
      <c r="E321" s="51" t="s">
        <v>116</v>
      </c>
      <c r="F321" s="56" t="s">
        <v>65</v>
      </c>
      <c r="G321" s="57">
        <v>0</v>
      </c>
      <c r="H321" s="58">
        <v>0</v>
      </c>
      <c r="J321"/>
    </row>
    <row r="322" spans="1:10" x14ac:dyDescent="0.35">
      <c r="A322" s="49" t="s">
        <v>102</v>
      </c>
      <c r="B322" s="50">
        <v>45870</v>
      </c>
      <c r="C322" s="51" t="s">
        <v>48</v>
      </c>
      <c r="D322" s="51" t="s">
        <v>49</v>
      </c>
      <c r="E322" s="51" t="s">
        <v>51</v>
      </c>
      <c r="F322" s="51" t="s">
        <v>7</v>
      </c>
      <c r="G322" s="52">
        <v>0</v>
      </c>
      <c r="H322" s="53">
        <v>0</v>
      </c>
      <c r="J322"/>
    </row>
    <row r="323" spans="1:10" x14ac:dyDescent="0.35">
      <c r="A323" s="54" t="s">
        <v>102</v>
      </c>
      <c r="B323" s="55">
        <v>45870</v>
      </c>
      <c r="C323" s="56" t="s">
        <v>48</v>
      </c>
      <c r="D323" s="56" t="s">
        <v>49</v>
      </c>
      <c r="E323" s="51" t="s">
        <v>51</v>
      </c>
      <c r="F323" s="56" t="s">
        <v>8</v>
      </c>
      <c r="G323" s="57">
        <v>0</v>
      </c>
      <c r="H323" s="58">
        <v>0</v>
      </c>
      <c r="J323"/>
    </row>
    <row r="324" spans="1:10" x14ac:dyDescent="0.35">
      <c r="A324" s="49" t="s">
        <v>102</v>
      </c>
      <c r="B324" s="50">
        <v>45870</v>
      </c>
      <c r="C324" s="51" t="s">
        <v>48</v>
      </c>
      <c r="D324" s="51" t="s">
        <v>49</v>
      </c>
      <c r="E324" s="51" t="s">
        <v>51</v>
      </c>
      <c r="F324" s="51" t="s">
        <v>15</v>
      </c>
      <c r="G324" s="52">
        <v>235789.78378378376</v>
      </c>
      <c r="H324" s="53">
        <v>6500</v>
      </c>
      <c r="J324" s="12">
        <f>SUMIFS(Receitas!L:L,Receitas!B:B,'BaseRelatório vOrçamento'!B324,Receitas!G:G,'BaseRelatório vOrçamento'!D324,Receitas!H:H,'BaseRelatório vOrçamento'!E324)</f>
        <v>0</v>
      </c>
    </row>
    <row r="325" spans="1:10" x14ac:dyDescent="0.35">
      <c r="A325" s="54" t="s">
        <v>102</v>
      </c>
      <c r="B325" s="55">
        <v>45870</v>
      </c>
      <c r="C325" s="56" t="s">
        <v>48</v>
      </c>
      <c r="D325" s="56" t="s">
        <v>49</v>
      </c>
      <c r="E325" s="51" t="s">
        <v>51</v>
      </c>
      <c r="F325" s="56" t="s">
        <v>65</v>
      </c>
      <c r="G325" s="57">
        <v>0</v>
      </c>
      <c r="H325" s="58">
        <v>0</v>
      </c>
      <c r="J325"/>
    </row>
    <row r="326" spans="1:10" x14ac:dyDescent="0.35">
      <c r="A326" s="49" t="s">
        <v>118</v>
      </c>
      <c r="B326" s="50">
        <v>45870</v>
      </c>
      <c r="C326" s="51" t="s">
        <v>22</v>
      </c>
      <c r="D326" s="51" t="s">
        <v>11</v>
      </c>
      <c r="E326" s="51" t="s">
        <v>209</v>
      </c>
      <c r="F326" s="51" t="s">
        <v>7</v>
      </c>
      <c r="G326" s="52">
        <v>0</v>
      </c>
      <c r="H326" s="53">
        <v>0</v>
      </c>
      <c r="J326"/>
    </row>
    <row r="327" spans="1:10" x14ac:dyDescent="0.35">
      <c r="A327" s="54" t="s">
        <v>118</v>
      </c>
      <c r="B327" s="55">
        <v>45870</v>
      </c>
      <c r="C327" s="56" t="s">
        <v>22</v>
      </c>
      <c r="D327" s="56" t="s">
        <v>11</v>
      </c>
      <c r="E327" s="51" t="s">
        <v>209</v>
      </c>
      <c r="F327" s="56" t="s">
        <v>8</v>
      </c>
      <c r="G327" s="57">
        <v>0</v>
      </c>
      <c r="H327" s="58">
        <v>0</v>
      </c>
      <c r="J327"/>
    </row>
    <row r="328" spans="1:10" x14ac:dyDescent="0.35">
      <c r="A328" s="49" t="s">
        <v>190</v>
      </c>
      <c r="B328" s="50">
        <v>45870</v>
      </c>
      <c r="C328" s="51" t="s">
        <v>22</v>
      </c>
      <c r="D328" s="51" t="s">
        <v>11</v>
      </c>
      <c r="E328" s="51" t="s">
        <v>116</v>
      </c>
      <c r="F328" s="51" t="s">
        <v>15</v>
      </c>
      <c r="G328" s="52">
        <v>59115.789473684214</v>
      </c>
      <c r="H328" s="53">
        <v>2000</v>
      </c>
      <c r="J328" s="12">
        <f>SUMIFS(Receitas!L:L,Receitas!B:B,'BaseRelatório vOrçamento'!B328,Receitas!G:G,'BaseRelatório vOrçamento'!D328,Receitas!H:H,'BaseRelatório vOrçamento'!E328)</f>
        <v>0</v>
      </c>
    </row>
    <row r="329" spans="1:10" x14ac:dyDescent="0.35">
      <c r="A329" s="54" t="s">
        <v>118</v>
      </c>
      <c r="B329" s="55">
        <v>45870</v>
      </c>
      <c r="C329" s="56" t="s">
        <v>22</v>
      </c>
      <c r="D329" s="56" t="s">
        <v>11</v>
      </c>
      <c r="E329" s="51" t="s">
        <v>209</v>
      </c>
      <c r="F329" s="56" t="s">
        <v>65</v>
      </c>
      <c r="G329" s="57">
        <v>0</v>
      </c>
      <c r="H329" s="58">
        <v>0</v>
      </c>
      <c r="J329"/>
    </row>
    <row r="330" spans="1:10" x14ac:dyDescent="0.35">
      <c r="A330" s="49" t="s">
        <v>172</v>
      </c>
      <c r="B330" s="50">
        <v>45870</v>
      </c>
      <c r="C330" s="51" t="s">
        <v>22</v>
      </c>
      <c r="D330" s="51" t="s">
        <v>11</v>
      </c>
      <c r="E330" s="51" t="s">
        <v>13</v>
      </c>
      <c r="F330" s="51" t="s">
        <v>7</v>
      </c>
      <c r="G330" s="52">
        <v>0</v>
      </c>
      <c r="H330" s="53">
        <v>0</v>
      </c>
      <c r="J330"/>
    </row>
    <row r="331" spans="1:10" x14ac:dyDescent="0.35">
      <c r="A331" s="54" t="s">
        <v>172</v>
      </c>
      <c r="B331" s="55">
        <v>45870</v>
      </c>
      <c r="C331" s="56" t="s">
        <v>22</v>
      </c>
      <c r="D331" s="56" t="s">
        <v>11</v>
      </c>
      <c r="E331" s="51" t="s">
        <v>13</v>
      </c>
      <c r="F331" s="56" t="s">
        <v>8</v>
      </c>
      <c r="G331" s="57">
        <v>0</v>
      </c>
      <c r="H331" s="58">
        <v>0</v>
      </c>
      <c r="J331"/>
    </row>
    <row r="332" spans="1:10" x14ac:dyDescent="0.35">
      <c r="A332" s="49" t="s">
        <v>172</v>
      </c>
      <c r="B332" s="50">
        <v>45870</v>
      </c>
      <c r="C332" s="51" t="s">
        <v>22</v>
      </c>
      <c r="D332" s="51" t="s">
        <v>11</v>
      </c>
      <c r="E332" s="51" t="s">
        <v>13</v>
      </c>
      <c r="F332" s="51" t="s">
        <v>15</v>
      </c>
      <c r="G332" s="52">
        <v>0</v>
      </c>
      <c r="H332" s="53">
        <v>0</v>
      </c>
      <c r="J332" s="12">
        <f>SUMIFS(Receitas!L:L,Receitas!B:B,'BaseRelatório vOrçamento'!B332,Receitas!G:G,'BaseRelatório vOrçamento'!D332,Receitas!H:H,'BaseRelatório vOrçamento'!E332)</f>
        <v>11170.480000000001</v>
      </c>
    </row>
    <row r="333" spans="1:10" x14ac:dyDescent="0.35">
      <c r="A333" s="54" t="s">
        <v>172</v>
      </c>
      <c r="B333" s="55">
        <v>45870</v>
      </c>
      <c r="C333" s="56" t="s">
        <v>22</v>
      </c>
      <c r="D333" s="56" t="s">
        <v>11</v>
      </c>
      <c r="E333" s="51" t="s">
        <v>13</v>
      </c>
      <c r="F333" s="56" t="s">
        <v>65</v>
      </c>
      <c r="G333" s="57">
        <v>0</v>
      </c>
      <c r="H333" s="58">
        <v>0</v>
      </c>
      <c r="J333"/>
    </row>
    <row r="334" spans="1:10" x14ac:dyDescent="0.35">
      <c r="A334" s="49" t="s">
        <v>149</v>
      </c>
      <c r="B334" s="50">
        <v>45870</v>
      </c>
      <c r="C334" s="51" t="s">
        <v>23</v>
      </c>
      <c r="D334" s="51" t="s">
        <v>112</v>
      </c>
      <c r="E334" s="51" t="s">
        <v>113</v>
      </c>
      <c r="F334" s="51" t="s">
        <v>7</v>
      </c>
      <c r="G334" s="52">
        <v>0</v>
      </c>
      <c r="H334" s="53">
        <v>0</v>
      </c>
      <c r="J334"/>
    </row>
    <row r="335" spans="1:10" x14ac:dyDescent="0.35">
      <c r="A335" s="54" t="s">
        <v>149</v>
      </c>
      <c r="B335" s="55">
        <v>45870</v>
      </c>
      <c r="C335" s="56" t="s">
        <v>23</v>
      </c>
      <c r="D335" s="56" t="s">
        <v>112</v>
      </c>
      <c r="E335" s="51" t="s">
        <v>113</v>
      </c>
      <c r="F335" s="56" t="s">
        <v>8</v>
      </c>
      <c r="G335" s="57">
        <v>0</v>
      </c>
      <c r="H335" s="58">
        <v>0</v>
      </c>
      <c r="J335"/>
    </row>
    <row r="336" spans="1:10" x14ac:dyDescent="0.35">
      <c r="A336" s="49" t="s">
        <v>149</v>
      </c>
      <c r="B336" s="50">
        <v>45870</v>
      </c>
      <c r="C336" s="51" t="s">
        <v>23</v>
      </c>
      <c r="D336" s="51" t="s">
        <v>112</v>
      </c>
      <c r="E336" s="51" t="s">
        <v>113</v>
      </c>
      <c r="F336" s="51" t="s">
        <v>15</v>
      </c>
      <c r="G336" s="52">
        <v>89658.947368421053</v>
      </c>
      <c r="H336" s="53">
        <v>4200</v>
      </c>
      <c r="J336" s="12">
        <f>SUMIFS(Receitas!L:L,Receitas!B:B,'BaseRelatório vOrçamento'!B336,Receitas!G:G,'BaseRelatório vOrçamento'!D336,Receitas!H:H,'BaseRelatório vOrçamento'!E336)</f>
        <v>0</v>
      </c>
    </row>
    <row r="337" spans="1:10" x14ac:dyDescent="0.35">
      <c r="A337" s="54" t="s">
        <v>149</v>
      </c>
      <c r="B337" s="55">
        <v>45870</v>
      </c>
      <c r="C337" s="56" t="s">
        <v>23</v>
      </c>
      <c r="D337" s="56" t="s">
        <v>112</v>
      </c>
      <c r="E337" s="51" t="s">
        <v>113</v>
      </c>
      <c r="F337" s="56" t="s">
        <v>65</v>
      </c>
      <c r="G337" s="57">
        <v>0</v>
      </c>
      <c r="H337" s="58">
        <v>0</v>
      </c>
      <c r="J337"/>
    </row>
    <row r="338" spans="1:10" x14ac:dyDescent="0.35">
      <c r="A338" s="49" t="s">
        <v>177</v>
      </c>
      <c r="B338" s="50">
        <v>45870</v>
      </c>
      <c r="C338" s="51" t="s">
        <v>46</v>
      </c>
      <c r="D338" s="51" t="s">
        <v>87</v>
      </c>
      <c r="E338" s="51" t="s">
        <v>9</v>
      </c>
      <c r="F338" s="51" t="s">
        <v>7</v>
      </c>
      <c r="G338" s="52">
        <v>0</v>
      </c>
      <c r="H338" s="53">
        <v>0</v>
      </c>
      <c r="J338"/>
    </row>
    <row r="339" spans="1:10" x14ac:dyDescent="0.35">
      <c r="A339" s="54" t="s">
        <v>177</v>
      </c>
      <c r="B339" s="55">
        <v>45870</v>
      </c>
      <c r="C339" s="56" t="s">
        <v>46</v>
      </c>
      <c r="D339" s="56" t="s">
        <v>87</v>
      </c>
      <c r="E339" s="51" t="s">
        <v>9</v>
      </c>
      <c r="F339" s="56" t="s">
        <v>8</v>
      </c>
      <c r="G339" s="57">
        <v>0</v>
      </c>
      <c r="H339" s="58">
        <v>0</v>
      </c>
      <c r="J339"/>
    </row>
    <row r="340" spans="1:10" x14ac:dyDescent="0.35">
      <c r="A340" s="49" t="s">
        <v>177</v>
      </c>
      <c r="B340" s="50">
        <v>45870</v>
      </c>
      <c r="C340" s="51" t="s">
        <v>46</v>
      </c>
      <c r="D340" s="51" t="s">
        <v>87</v>
      </c>
      <c r="E340" s="51" t="s">
        <v>9</v>
      </c>
      <c r="F340" s="51" t="s">
        <v>15</v>
      </c>
      <c r="G340" s="52">
        <v>142504.12724210526</v>
      </c>
      <c r="H340" s="53">
        <v>4200</v>
      </c>
      <c r="J340" s="12">
        <f>SUMIFS(Receitas!L:L,Receitas!B:B,'BaseRelatório vOrçamento'!B340,Receitas!G:G,'BaseRelatório vOrçamento'!D340,Receitas!H:H,'BaseRelatório vOrçamento'!E340)</f>
        <v>70847.981999999989</v>
      </c>
    </row>
    <row r="341" spans="1:10" x14ac:dyDescent="0.35">
      <c r="A341" s="54" t="s">
        <v>177</v>
      </c>
      <c r="B341" s="55">
        <v>45870</v>
      </c>
      <c r="C341" s="56" t="s">
        <v>46</v>
      </c>
      <c r="D341" s="56" t="s">
        <v>87</v>
      </c>
      <c r="E341" s="51" t="s">
        <v>9</v>
      </c>
      <c r="F341" s="56" t="s">
        <v>65</v>
      </c>
      <c r="G341" s="57">
        <v>0</v>
      </c>
      <c r="H341" s="58">
        <v>0</v>
      </c>
      <c r="J341"/>
    </row>
    <row r="342" spans="1:10" x14ac:dyDescent="0.35">
      <c r="A342" s="49" t="s">
        <v>169</v>
      </c>
      <c r="B342" s="50">
        <v>45748</v>
      </c>
      <c r="C342" s="51" t="s">
        <v>25</v>
      </c>
      <c r="D342" s="51" t="s">
        <v>12</v>
      </c>
      <c r="E342" s="51" t="s">
        <v>170</v>
      </c>
      <c r="F342" s="51" t="s">
        <v>65</v>
      </c>
      <c r="G342" s="52">
        <v>0</v>
      </c>
      <c r="H342" s="61">
        <v>0</v>
      </c>
      <c r="J342"/>
    </row>
    <row r="343" spans="1:10" x14ac:dyDescent="0.35">
      <c r="A343" s="54" t="s">
        <v>194</v>
      </c>
      <c r="B343" s="55">
        <v>45778</v>
      </c>
      <c r="C343" s="56" t="s">
        <v>25</v>
      </c>
      <c r="D343" s="56" t="s">
        <v>12</v>
      </c>
      <c r="E343" s="51" t="s">
        <v>9</v>
      </c>
      <c r="F343" s="56" t="s">
        <v>7</v>
      </c>
      <c r="G343" s="57">
        <v>0</v>
      </c>
      <c r="H343" s="58">
        <v>0</v>
      </c>
      <c r="J343"/>
    </row>
    <row r="344" spans="1:10" x14ac:dyDescent="0.35">
      <c r="A344" s="49" t="s">
        <v>194</v>
      </c>
      <c r="B344" s="50">
        <v>45778</v>
      </c>
      <c r="C344" s="51" t="s">
        <v>25</v>
      </c>
      <c r="D344" s="51" t="s">
        <v>12</v>
      </c>
      <c r="E344" s="51" t="s">
        <v>9</v>
      </c>
      <c r="F344" s="51" t="s">
        <v>8</v>
      </c>
      <c r="G344" s="52">
        <v>0</v>
      </c>
      <c r="H344" s="53">
        <v>0</v>
      </c>
      <c r="J344"/>
    </row>
    <row r="345" spans="1:10" x14ac:dyDescent="0.35">
      <c r="A345" s="54" t="s">
        <v>194</v>
      </c>
      <c r="B345" s="55">
        <v>45778</v>
      </c>
      <c r="C345" s="56" t="s">
        <v>25</v>
      </c>
      <c r="D345" s="56" t="s">
        <v>12</v>
      </c>
      <c r="E345" s="51" t="s">
        <v>9</v>
      </c>
      <c r="F345" s="56" t="s">
        <v>15</v>
      </c>
      <c r="G345" s="57">
        <v>170951.70214033333</v>
      </c>
      <c r="H345" s="58">
        <v>6100</v>
      </c>
      <c r="J345" s="12">
        <f>SUMIFS(Receitas!L:L,Receitas!B:B,'BaseRelatório vOrçamento'!B345,Receitas!G:G,'BaseRelatório vOrçamento'!D345,Receitas!H:H,'BaseRelatório vOrçamento'!E345)</f>
        <v>502993.47</v>
      </c>
    </row>
    <row r="346" spans="1:10" x14ac:dyDescent="0.35">
      <c r="A346" s="49" t="s">
        <v>134</v>
      </c>
      <c r="B346" s="50">
        <v>45870</v>
      </c>
      <c r="C346" s="51" t="s">
        <v>57</v>
      </c>
      <c r="D346" s="51" t="s">
        <v>58</v>
      </c>
      <c r="E346" s="51" t="s">
        <v>10</v>
      </c>
      <c r="F346" s="51" t="s">
        <v>7</v>
      </c>
      <c r="G346" s="52">
        <v>0</v>
      </c>
      <c r="H346" s="53">
        <v>0</v>
      </c>
      <c r="J346"/>
    </row>
    <row r="347" spans="1:10" x14ac:dyDescent="0.35">
      <c r="A347" s="54" t="s">
        <v>134</v>
      </c>
      <c r="B347" s="55">
        <v>45870</v>
      </c>
      <c r="C347" s="56" t="s">
        <v>57</v>
      </c>
      <c r="D347" s="56" t="s">
        <v>58</v>
      </c>
      <c r="E347" s="51" t="s">
        <v>10</v>
      </c>
      <c r="F347" s="56" t="s">
        <v>8</v>
      </c>
      <c r="G347" s="57">
        <v>0</v>
      </c>
      <c r="H347" s="58">
        <v>0</v>
      </c>
      <c r="J347"/>
    </row>
    <row r="348" spans="1:10" x14ac:dyDescent="0.35">
      <c r="A348" s="49" t="s">
        <v>134</v>
      </c>
      <c r="B348" s="50">
        <v>45870</v>
      </c>
      <c r="C348" s="51" t="s">
        <v>57</v>
      </c>
      <c r="D348" s="51" t="s">
        <v>58</v>
      </c>
      <c r="E348" s="51" t="s">
        <v>10</v>
      </c>
      <c r="F348" s="51" t="s">
        <v>15</v>
      </c>
      <c r="G348" s="52">
        <v>17311.068923076924</v>
      </c>
      <c r="H348" s="53">
        <v>550</v>
      </c>
      <c r="J348" s="12">
        <f>SUMIFS(Receitas!L:L,Receitas!B:B,'BaseRelatório vOrçamento'!B348,Receitas!G:G,'BaseRelatório vOrçamento'!D348,Receitas!H:H,'BaseRelatório vOrçamento'!E348)</f>
        <v>58185.65</v>
      </c>
    </row>
    <row r="349" spans="1:10" x14ac:dyDescent="0.35">
      <c r="A349" s="54" t="s">
        <v>134</v>
      </c>
      <c r="B349" s="55">
        <v>45870</v>
      </c>
      <c r="C349" s="56" t="s">
        <v>57</v>
      </c>
      <c r="D349" s="56" t="s">
        <v>58</v>
      </c>
      <c r="E349" s="51" t="s">
        <v>10</v>
      </c>
      <c r="F349" s="56" t="s">
        <v>65</v>
      </c>
      <c r="G349" s="57">
        <v>0</v>
      </c>
      <c r="H349" s="58">
        <v>0</v>
      </c>
      <c r="J349"/>
    </row>
    <row r="350" spans="1:10" x14ac:dyDescent="0.35">
      <c r="A350" s="59">
        <v>20105</v>
      </c>
      <c r="B350" s="50">
        <v>45870</v>
      </c>
      <c r="C350" s="51" t="s">
        <v>26</v>
      </c>
      <c r="D350" s="51" t="s">
        <v>19</v>
      </c>
      <c r="E350" s="51" t="s">
        <v>209</v>
      </c>
      <c r="F350" s="51" t="s">
        <v>7</v>
      </c>
      <c r="G350" s="52">
        <v>0</v>
      </c>
      <c r="H350" s="53">
        <v>0</v>
      </c>
      <c r="J350"/>
    </row>
    <row r="351" spans="1:10" x14ac:dyDescent="0.35">
      <c r="A351" s="60">
        <v>20105</v>
      </c>
      <c r="B351" s="55">
        <v>45870</v>
      </c>
      <c r="C351" s="56" t="s">
        <v>26</v>
      </c>
      <c r="D351" s="56" t="s">
        <v>19</v>
      </c>
      <c r="E351" s="51" t="s">
        <v>209</v>
      </c>
      <c r="F351" s="56" t="s">
        <v>8</v>
      </c>
      <c r="G351" s="57">
        <v>0</v>
      </c>
      <c r="H351" s="58">
        <v>0</v>
      </c>
      <c r="J351"/>
    </row>
    <row r="352" spans="1:10" x14ac:dyDescent="0.35">
      <c r="A352" s="59">
        <v>20105</v>
      </c>
      <c r="B352" s="50">
        <v>45870</v>
      </c>
      <c r="C352" s="51" t="s">
        <v>26</v>
      </c>
      <c r="D352" s="51" t="s">
        <v>19</v>
      </c>
      <c r="E352" s="51" t="s">
        <v>13</v>
      </c>
      <c r="F352" s="51" t="s">
        <v>15</v>
      </c>
      <c r="G352" s="52">
        <v>16933.880412371134</v>
      </c>
      <c r="H352" s="53">
        <v>545</v>
      </c>
      <c r="J352" s="12">
        <f>SUMIFS(Receitas!L:L,Receitas!B:B,'BaseRelatório vOrçamento'!B352,Receitas!G:G,'BaseRelatório vOrçamento'!D352,Receitas!H:H,'BaseRelatório vOrçamento'!E352)</f>
        <v>14280</v>
      </c>
    </row>
    <row r="353" spans="1:10" x14ac:dyDescent="0.35">
      <c r="A353" s="60">
        <v>20105</v>
      </c>
      <c r="B353" s="55">
        <v>45870</v>
      </c>
      <c r="C353" s="56" t="s">
        <v>26</v>
      </c>
      <c r="D353" s="56" t="s">
        <v>19</v>
      </c>
      <c r="E353" s="51" t="s">
        <v>209</v>
      </c>
      <c r="F353" s="56" t="s">
        <v>65</v>
      </c>
      <c r="G353" s="57">
        <v>0</v>
      </c>
      <c r="H353" s="58">
        <v>0</v>
      </c>
      <c r="J353"/>
    </row>
    <row r="354" spans="1:10" x14ac:dyDescent="0.35">
      <c r="A354" s="49" t="s">
        <v>142</v>
      </c>
      <c r="B354" s="50">
        <v>45901</v>
      </c>
      <c r="C354" s="51" t="s">
        <v>48</v>
      </c>
      <c r="D354" s="51" t="s">
        <v>49</v>
      </c>
      <c r="E354" s="51" t="s">
        <v>52</v>
      </c>
      <c r="F354" s="51" t="s">
        <v>7</v>
      </c>
      <c r="G354" s="52">
        <v>0</v>
      </c>
      <c r="H354" s="53">
        <v>0</v>
      </c>
      <c r="J354"/>
    </row>
    <row r="355" spans="1:10" x14ac:dyDescent="0.35">
      <c r="A355" s="54" t="s">
        <v>142</v>
      </c>
      <c r="B355" s="55">
        <v>45901</v>
      </c>
      <c r="C355" s="56" t="s">
        <v>48</v>
      </c>
      <c r="D355" s="56" t="s">
        <v>49</v>
      </c>
      <c r="E355" s="51" t="s">
        <v>52</v>
      </c>
      <c r="F355" s="56" t="s">
        <v>8</v>
      </c>
      <c r="G355" s="57">
        <v>0</v>
      </c>
      <c r="H355" s="58">
        <v>0</v>
      </c>
      <c r="J355"/>
    </row>
    <row r="356" spans="1:10" x14ac:dyDescent="0.35">
      <c r="A356" s="49" t="s">
        <v>142</v>
      </c>
      <c r="B356" s="50">
        <v>45901</v>
      </c>
      <c r="C356" s="51" t="s">
        <v>48</v>
      </c>
      <c r="D356" s="51" t="s">
        <v>49</v>
      </c>
      <c r="E356" s="51" t="s">
        <v>52</v>
      </c>
      <c r="F356" s="51" t="s">
        <v>15</v>
      </c>
      <c r="G356" s="52">
        <v>89789.370062370057</v>
      </c>
      <c r="H356" s="53">
        <v>2040</v>
      </c>
      <c r="J356" s="12">
        <f>SUMIFS(Receitas!L:L,Receitas!B:B,'BaseRelatório vOrçamento'!B356,Receitas!G:G,'BaseRelatório vOrçamento'!D356,Receitas!H:H,'BaseRelatório vOrçamento'!E356)</f>
        <v>86985.600000000006</v>
      </c>
    </row>
    <row r="357" spans="1:10" x14ac:dyDescent="0.35">
      <c r="A357" s="54" t="s">
        <v>142</v>
      </c>
      <c r="B357" s="55">
        <v>45901</v>
      </c>
      <c r="C357" s="56" t="s">
        <v>48</v>
      </c>
      <c r="D357" s="56" t="s">
        <v>49</v>
      </c>
      <c r="E357" s="51" t="s">
        <v>52</v>
      </c>
      <c r="F357" s="56" t="s">
        <v>65</v>
      </c>
      <c r="G357" s="57">
        <v>0</v>
      </c>
      <c r="H357" s="58">
        <v>0</v>
      </c>
      <c r="J357"/>
    </row>
    <row r="358" spans="1:10" x14ac:dyDescent="0.35">
      <c r="A358" s="49" t="s">
        <v>139</v>
      </c>
      <c r="B358" s="50">
        <v>45901</v>
      </c>
      <c r="C358" s="51" t="s">
        <v>48</v>
      </c>
      <c r="D358" s="51" t="s">
        <v>49</v>
      </c>
      <c r="E358" s="51" t="s">
        <v>14</v>
      </c>
      <c r="F358" s="51" t="s">
        <v>7</v>
      </c>
      <c r="G358" s="52">
        <v>0</v>
      </c>
      <c r="H358" s="53">
        <v>0</v>
      </c>
      <c r="J358"/>
    </row>
    <row r="359" spans="1:10" x14ac:dyDescent="0.35">
      <c r="A359" s="54" t="s">
        <v>139</v>
      </c>
      <c r="B359" s="55">
        <v>45901</v>
      </c>
      <c r="C359" s="56" t="s">
        <v>48</v>
      </c>
      <c r="D359" s="56" t="s">
        <v>49</v>
      </c>
      <c r="E359" s="51" t="s">
        <v>14</v>
      </c>
      <c r="F359" s="56" t="s">
        <v>8</v>
      </c>
      <c r="G359" s="57">
        <v>0</v>
      </c>
      <c r="H359" s="58">
        <v>0</v>
      </c>
      <c r="J359"/>
    </row>
    <row r="360" spans="1:10" x14ac:dyDescent="0.35">
      <c r="A360" s="49" t="s">
        <v>139</v>
      </c>
      <c r="B360" s="50">
        <v>45901</v>
      </c>
      <c r="C360" s="51" t="s">
        <v>48</v>
      </c>
      <c r="D360" s="51" t="s">
        <v>49</v>
      </c>
      <c r="E360" s="51" t="s">
        <v>14</v>
      </c>
      <c r="F360" s="51" t="s">
        <v>15</v>
      </c>
      <c r="G360" s="52">
        <v>28839.059251559258</v>
      </c>
      <c r="H360" s="53">
        <v>1500</v>
      </c>
      <c r="J360" s="12">
        <f>SUMIFS(Receitas!L:L,Receitas!B:B,'BaseRelatório vOrçamento'!B360,Receitas!G:G,'BaseRelatório vOrçamento'!D360,Receitas!H:H,'BaseRelatório vOrçamento'!E360)</f>
        <v>16726.32</v>
      </c>
    </row>
    <row r="361" spans="1:10" x14ac:dyDescent="0.35">
      <c r="A361" s="54" t="s">
        <v>139</v>
      </c>
      <c r="B361" s="55">
        <v>45901</v>
      </c>
      <c r="C361" s="56" t="s">
        <v>48</v>
      </c>
      <c r="D361" s="56" t="s">
        <v>49</v>
      </c>
      <c r="E361" s="51" t="s">
        <v>14</v>
      </c>
      <c r="F361" s="56" t="s">
        <v>65</v>
      </c>
      <c r="G361" s="57">
        <v>0</v>
      </c>
      <c r="H361" s="58">
        <v>0</v>
      </c>
      <c r="J361"/>
    </row>
    <row r="362" spans="1:10" x14ac:dyDescent="0.35">
      <c r="A362" s="49" t="s">
        <v>25</v>
      </c>
      <c r="B362" s="50">
        <v>45901</v>
      </c>
      <c r="C362" s="51" t="s">
        <v>48</v>
      </c>
      <c r="D362" s="51" t="s">
        <v>49</v>
      </c>
      <c r="E362" s="51" t="s">
        <v>116</v>
      </c>
      <c r="F362" s="51" t="s">
        <v>7</v>
      </c>
      <c r="G362" s="52">
        <v>0</v>
      </c>
      <c r="H362" s="53">
        <v>0</v>
      </c>
      <c r="J362"/>
    </row>
    <row r="363" spans="1:10" x14ac:dyDescent="0.35">
      <c r="A363" s="54" t="s">
        <v>25</v>
      </c>
      <c r="B363" s="55">
        <v>45901</v>
      </c>
      <c r="C363" s="56" t="s">
        <v>48</v>
      </c>
      <c r="D363" s="56" t="s">
        <v>49</v>
      </c>
      <c r="E363" s="51" t="s">
        <v>116</v>
      </c>
      <c r="F363" s="56" t="s">
        <v>8</v>
      </c>
      <c r="G363" s="57">
        <v>0</v>
      </c>
      <c r="H363" s="58">
        <v>0</v>
      </c>
      <c r="J363"/>
    </row>
    <row r="364" spans="1:10" x14ac:dyDescent="0.35">
      <c r="A364" s="49" t="s">
        <v>25</v>
      </c>
      <c r="B364" s="50">
        <v>45901</v>
      </c>
      <c r="C364" s="51" t="s">
        <v>48</v>
      </c>
      <c r="D364" s="51" t="s">
        <v>49</v>
      </c>
      <c r="E364" s="51" t="s">
        <v>116</v>
      </c>
      <c r="F364" s="51" t="s">
        <v>15</v>
      </c>
      <c r="G364" s="52">
        <v>9729.72972972973</v>
      </c>
      <c r="H364" s="53">
        <v>300</v>
      </c>
      <c r="J364" s="12">
        <f>SUMIFS(Receitas!L:L,Receitas!B:B,'BaseRelatório vOrçamento'!B364,Receitas!G:G,'BaseRelatório vOrçamento'!D364,Receitas!H:H,'BaseRelatório vOrçamento'!E364)</f>
        <v>0</v>
      </c>
    </row>
    <row r="365" spans="1:10" x14ac:dyDescent="0.35">
      <c r="A365" s="54" t="s">
        <v>25</v>
      </c>
      <c r="B365" s="55">
        <v>45901</v>
      </c>
      <c r="C365" s="56" t="s">
        <v>48</v>
      </c>
      <c r="D365" s="56" t="s">
        <v>49</v>
      </c>
      <c r="E365" s="51" t="s">
        <v>116</v>
      </c>
      <c r="F365" s="56" t="s">
        <v>65</v>
      </c>
      <c r="G365" s="57">
        <v>0</v>
      </c>
      <c r="H365" s="58">
        <v>0</v>
      </c>
      <c r="J365"/>
    </row>
    <row r="366" spans="1:10" x14ac:dyDescent="0.35">
      <c r="A366" s="49" t="s">
        <v>102</v>
      </c>
      <c r="B366" s="50">
        <v>45901</v>
      </c>
      <c r="C366" s="51" t="s">
        <v>48</v>
      </c>
      <c r="D366" s="51" t="s">
        <v>49</v>
      </c>
      <c r="E366" s="51" t="s">
        <v>51</v>
      </c>
      <c r="F366" s="51" t="s">
        <v>7</v>
      </c>
      <c r="G366" s="52">
        <v>0</v>
      </c>
      <c r="H366" s="53">
        <v>0</v>
      </c>
      <c r="J366"/>
    </row>
    <row r="367" spans="1:10" x14ac:dyDescent="0.35">
      <c r="A367" s="54" t="s">
        <v>102</v>
      </c>
      <c r="B367" s="55">
        <v>45901</v>
      </c>
      <c r="C367" s="56" t="s">
        <v>48</v>
      </c>
      <c r="D367" s="56" t="s">
        <v>49</v>
      </c>
      <c r="E367" s="51" t="s">
        <v>51</v>
      </c>
      <c r="F367" s="56" t="s">
        <v>8</v>
      </c>
      <c r="G367" s="57">
        <v>0</v>
      </c>
      <c r="H367" s="58">
        <v>0</v>
      </c>
      <c r="J367"/>
    </row>
    <row r="368" spans="1:10" x14ac:dyDescent="0.35">
      <c r="A368" s="49" t="s">
        <v>102</v>
      </c>
      <c r="B368" s="50">
        <v>45901</v>
      </c>
      <c r="C368" s="51" t="s">
        <v>48</v>
      </c>
      <c r="D368" s="51" t="s">
        <v>49</v>
      </c>
      <c r="E368" s="51" t="s">
        <v>51</v>
      </c>
      <c r="F368" s="51" t="s">
        <v>15</v>
      </c>
      <c r="G368" s="52">
        <v>235789.78378378376</v>
      </c>
      <c r="H368" s="53">
        <v>6500</v>
      </c>
      <c r="J368" s="12">
        <f>SUMIFS(Receitas!L:L,Receitas!B:B,'BaseRelatório vOrçamento'!B368,Receitas!G:G,'BaseRelatório vOrçamento'!D368,Receitas!H:H,'BaseRelatório vOrçamento'!E368)</f>
        <v>0</v>
      </c>
    </row>
    <row r="369" spans="1:10" x14ac:dyDescent="0.35">
      <c r="A369" s="54" t="s">
        <v>102</v>
      </c>
      <c r="B369" s="55">
        <v>45901</v>
      </c>
      <c r="C369" s="56" t="s">
        <v>48</v>
      </c>
      <c r="D369" s="56" t="s">
        <v>49</v>
      </c>
      <c r="E369" s="51" t="s">
        <v>51</v>
      </c>
      <c r="F369" s="56" t="s">
        <v>65</v>
      </c>
      <c r="G369" s="57">
        <v>0</v>
      </c>
      <c r="H369" s="58">
        <v>0</v>
      </c>
      <c r="J369"/>
    </row>
    <row r="370" spans="1:10" x14ac:dyDescent="0.35">
      <c r="A370" s="49" t="s">
        <v>118</v>
      </c>
      <c r="B370" s="50">
        <v>45901</v>
      </c>
      <c r="C370" s="51" t="s">
        <v>22</v>
      </c>
      <c r="D370" s="51" t="s">
        <v>11</v>
      </c>
      <c r="E370" s="51" t="s">
        <v>209</v>
      </c>
      <c r="F370" s="51" t="s">
        <v>7</v>
      </c>
      <c r="G370" s="52">
        <v>0</v>
      </c>
      <c r="H370" s="53">
        <v>0</v>
      </c>
      <c r="J370"/>
    </row>
    <row r="371" spans="1:10" x14ac:dyDescent="0.35">
      <c r="A371" s="54" t="s">
        <v>118</v>
      </c>
      <c r="B371" s="55">
        <v>45901</v>
      </c>
      <c r="C371" s="56" t="s">
        <v>22</v>
      </c>
      <c r="D371" s="56" t="s">
        <v>11</v>
      </c>
      <c r="E371" s="51" t="s">
        <v>209</v>
      </c>
      <c r="F371" s="56" t="s">
        <v>8</v>
      </c>
      <c r="G371" s="57">
        <v>0</v>
      </c>
      <c r="H371" s="58">
        <v>0</v>
      </c>
      <c r="J371"/>
    </row>
    <row r="372" spans="1:10" x14ac:dyDescent="0.35">
      <c r="A372" s="49" t="s">
        <v>190</v>
      </c>
      <c r="B372" s="50">
        <v>45901</v>
      </c>
      <c r="C372" s="51" t="s">
        <v>22</v>
      </c>
      <c r="D372" s="51" t="s">
        <v>11</v>
      </c>
      <c r="E372" s="51" t="s">
        <v>116</v>
      </c>
      <c r="F372" s="51" t="s">
        <v>15</v>
      </c>
      <c r="G372" s="52">
        <v>59115.789473684214</v>
      </c>
      <c r="H372" s="53">
        <v>2000</v>
      </c>
      <c r="J372" s="12">
        <f>SUMIFS(Receitas!L:L,Receitas!B:B,'BaseRelatório vOrçamento'!B372,Receitas!G:G,'BaseRelatório vOrçamento'!D372,Receitas!H:H,'BaseRelatório vOrçamento'!E372)</f>
        <v>0</v>
      </c>
    </row>
    <row r="373" spans="1:10" x14ac:dyDescent="0.35">
      <c r="A373" s="54" t="s">
        <v>118</v>
      </c>
      <c r="B373" s="55">
        <v>45901</v>
      </c>
      <c r="C373" s="56" t="s">
        <v>22</v>
      </c>
      <c r="D373" s="56" t="s">
        <v>11</v>
      </c>
      <c r="E373" s="51" t="s">
        <v>209</v>
      </c>
      <c r="F373" s="56" t="s">
        <v>65</v>
      </c>
      <c r="G373" s="57">
        <v>0</v>
      </c>
      <c r="H373" s="58">
        <v>0</v>
      </c>
      <c r="J373"/>
    </row>
    <row r="374" spans="1:10" x14ac:dyDescent="0.35">
      <c r="A374" s="49" t="s">
        <v>172</v>
      </c>
      <c r="B374" s="50">
        <v>45901</v>
      </c>
      <c r="C374" s="51" t="s">
        <v>22</v>
      </c>
      <c r="D374" s="51" t="s">
        <v>11</v>
      </c>
      <c r="E374" s="51" t="s">
        <v>13</v>
      </c>
      <c r="F374" s="51" t="s">
        <v>7</v>
      </c>
      <c r="G374" s="52">
        <v>0</v>
      </c>
      <c r="H374" s="53">
        <v>0</v>
      </c>
      <c r="J374"/>
    </row>
    <row r="375" spans="1:10" x14ac:dyDescent="0.35">
      <c r="A375" s="54" t="s">
        <v>172</v>
      </c>
      <c r="B375" s="55">
        <v>45901</v>
      </c>
      <c r="C375" s="56" t="s">
        <v>22</v>
      </c>
      <c r="D375" s="56" t="s">
        <v>11</v>
      </c>
      <c r="E375" s="51" t="s">
        <v>13</v>
      </c>
      <c r="F375" s="56" t="s">
        <v>8</v>
      </c>
      <c r="G375" s="57">
        <v>0</v>
      </c>
      <c r="H375" s="58">
        <v>0</v>
      </c>
      <c r="J375"/>
    </row>
    <row r="376" spans="1:10" x14ac:dyDescent="0.35">
      <c r="A376" s="49" t="s">
        <v>172</v>
      </c>
      <c r="B376" s="50">
        <v>45901</v>
      </c>
      <c r="C376" s="51" t="s">
        <v>22</v>
      </c>
      <c r="D376" s="51" t="s">
        <v>11</v>
      </c>
      <c r="E376" s="51" t="s">
        <v>13</v>
      </c>
      <c r="F376" s="51" t="s">
        <v>15</v>
      </c>
      <c r="G376" s="52">
        <v>0</v>
      </c>
      <c r="H376" s="53">
        <v>0</v>
      </c>
      <c r="J376" s="12">
        <f>SUMIFS(Receitas!L:L,Receitas!B:B,'BaseRelatório vOrçamento'!B376,Receitas!G:G,'BaseRelatório vOrçamento'!D376,Receitas!H:H,'BaseRelatório vOrçamento'!E376)</f>
        <v>23379.24</v>
      </c>
    </row>
    <row r="377" spans="1:10" x14ac:dyDescent="0.35">
      <c r="A377" s="54" t="s">
        <v>172</v>
      </c>
      <c r="B377" s="55">
        <v>45901</v>
      </c>
      <c r="C377" s="56" t="s">
        <v>22</v>
      </c>
      <c r="D377" s="56" t="s">
        <v>11</v>
      </c>
      <c r="E377" s="51" t="s">
        <v>13</v>
      </c>
      <c r="F377" s="56" t="s">
        <v>65</v>
      </c>
      <c r="G377" s="57">
        <v>0</v>
      </c>
      <c r="H377" s="58">
        <v>0</v>
      </c>
      <c r="J377"/>
    </row>
    <row r="378" spans="1:10" x14ac:dyDescent="0.35">
      <c r="A378" s="49" t="s">
        <v>149</v>
      </c>
      <c r="B378" s="50">
        <v>45901</v>
      </c>
      <c r="C378" s="51" t="s">
        <v>23</v>
      </c>
      <c r="D378" s="51" t="s">
        <v>112</v>
      </c>
      <c r="E378" s="51" t="s">
        <v>113</v>
      </c>
      <c r="F378" s="51" t="s">
        <v>7</v>
      </c>
      <c r="G378" s="52">
        <v>0</v>
      </c>
      <c r="H378" s="53">
        <v>0</v>
      </c>
      <c r="J378"/>
    </row>
    <row r="379" spans="1:10" x14ac:dyDescent="0.35">
      <c r="A379" s="54" t="s">
        <v>149</v>
      </c>
      <c r="B379" s="55">
        <v>45901</v>
      </c>
      <c r="C379" s="56" t="s">
        <v>23</v>
      </c>
      <c r="D379" s="56" t="s">
        <v>112</v>
      </c>
      <c r="E379" s="51" t="s">
        <v>113</v>
      </c>
      <c r="F379" s="56" t="s">
        <v>8</v>
      </c>
      <c r="G379" s="57">
        <v>0</v>
      </c>
      <c r="H379" s="58">
        <v>0</v>
      </c>
      <c r="J379"/>
    </row>
    <row r="380" spans="1:10" x14ac:dyDescent="0.35">
      <c r="A380" s="49" t="s">
        <v>149</v>
      </c>
      <c r="B380" s="50">
        <v>45901</v>
      </c>
      <c r="C380" s="51" t="s">
        <v>23</v>
      </c>
      <c r="D380" s="51" t="s">
        <v>112</v>
      </c>
      <c r="E380" s="51" t="s">
        <v>113</v>
      </c>
      <c r="F380" s="51" t="s">
        <v>15</v>
      </c>
      <c r="G380" s="52">
        <v>89658.947368421053</v>
      </c>
      <c r="H380" s="53">
        <v>4200</v>
      </c>
      <c r="J380" s="12">
        <f>SUMIFS(Receitas!L:L,Receitas!B:B,'BaseRelatório vOrçamento'!B380,Receitas!G:G,'BaseRelatório vOrçamento'!D380,Receitas!H:H,'BaseRelatório vOrçamento'!E380)</f>
        <v>0</v>
      </c>
    </row>
    <row r="381" spans="1:10" x14ac:dyDescent="0.35">
      <c r="A381" s="54" t="s">
        <v>149</v>
      </c>
      <c r="B381" s="55">
        <v>45901</v>
      </c>
      <c r="C381" s="56" t="s">
        <v>23</v>
      </c>
      <c r="D381" s="56" t="s">
        <v>112</v>
      </c>
      <c r="E381" s="51" t="s">
        <v>113</v>
      </c>
      <c r="F381" s="56" t="s">
        <v>65</v>
      </c>
      <c r="G381" s="57">
        <v>0</v>
      </c>
      <c r="H381" s="58">
        <v>0</v>
      </c>
      <c r="J381"/>
    </row>
    <row r="382" spans="1:10" x14ac:dyDescent="0.35">
      <c r="A382" s="49" t="s">
        <v>177</v>
      </c>
      <c r="B382" s="50">
        <v>45901</v>
      </c>
      <c r="C382" s="51" t="s">
        <v>46</v>
      </c>
      <c r="D382" s="51" t="s">
        <v>87</v>
      </c>
      <c r="E382" s="51" t="s">
        <v>9</v>
      </c>
      <c r="F382" s="51" t="s">
        <v>7</v>
      </c>
      <c r="G382" s="52">
        <v>0</v>
      </c>
      <c r="H382" s="53">
        <v>0</v>
      </c>
      <c r="J382"/>
    </row>
    <row r="383" spans="1:10" x14ac:dyDescent="0.35">
      <c r="A383" s="54" t="s">
        <v>177</v>
      </c>
      <c r="B383" s="55">
        <v>45901</v>
      </c>
      <c r="C383" s="56" t="s">
        <v>46</v>
      </c>
      <c r="D383" s="56" t="s">
        <v>87</v>
      </c>
      <c r="E383" s="51" t="s">
        <v>9</v>
      </c>
      <c r="F383" s="56" t="s">
        <v>8</v>
      </c>
      <c r="G383" s="57">
        <v>0</v>
      </c>
      <c r="H383" s="58">
        <v>0</v>
      </c>
      <c r="J383"/>
    </row>
    <row r="384" spans="1:10" x14ac:dyDescent="0.35">
      <c r="A384" s="49" t="s">
        <v>177</v>
      </c>
      <c r="B384" s="50">
        <v>45901</v>
      </c>
      <c r="C384" s="51" t="s">
        <v>46</v>
      </c>
      <c r="D384" s="51" t="s">
        <v>87</v>
      </c>
      <c r="E384" s="51" t="s">
        <v>9</v>
      </c>
      <c r="F384" s="51" t="s">
        <v>15</v>
      </c>
      <c r="G384" s="52">
        <v>142504.12724210526</v>
      </c>
      <c r="H384" s="53">
        <v>4200</v>
      </c>
      <c r="J384" s="12">
        <f>SUMIFS(Receitas!L:L,Receitas!B:B,'BaseRelatório vOrçamento'!B384,Receitas!G:G,'BaseRelatório vOrçamento'!D384,Receitas!H:H,'BaseRelatório vOrçamento'!E384)</f>
        <v>68343.725999999995</v>
      </c>
    </row>
    <row r="385" spans="1:10" x14ac:dyDescent="0.35">
      <c r="A385" s="54" t="s">
        <v>177</v>
      </c>
      <c r="B385" s="55">
        <v>45901</v>
      </c>
      <c r="C385" s="56" t="s">
        <v>46</v>
      </c>
      <c r="D385" s="56" t="s">
        <v>87</v>
      </c>
      <c r="E385" s="51" t="s">
        <v>9</v>
      </c>
      <c r="F385" s="56" t="s">
        <v>65</v>
      </c>
      <c r="G385" s="57">
        <v>0</v>
      </c>
      <c r="H385" s="58">
        <v>0</v>
      </c>
      <c r="J385"/>
    </row>
    <row r="386" spans="1:10" x14ac:dyDescent="0.35">
      <c r="A386" s="49" t="s">
        <v>194</v>
      </c>
      <c r="B386" s="50">
        <v>45778</v>
      </c>
      <c r="C386" s="51" t="s">
        <v>25</v>
      </c>
      <c r="D386" s="51" t="s">
        <v>12</v>
      </c>
      <c r="E386" s="51" t="s">
        <v>9</v>
      </c>
      <c r="F386" s="51" t="s">
        <v>65</v>
      </c>
      <c r="G386" s="52">
        <v>0</v>
      </c>
      <c r="H386" s="53">
        <v>0</v>
      </c>
      <c r="J386"/>
    </row>
    <row r="387" spans="1:10" x14ac:dyDescent="0.35">
      <c r="A387" s="54" t="s">
        <v>169</v>
      </c>
      <c r="B387" s="55">
        <v>45778</v>
      </c>
      <c r="C387" s="56" t="s">
        <v>25</v>
      </c>
      <c r="D387" s="56" t="s">
        <v>12</v>
      </c>
      <c r="E387" s="51" t="s">
        <v>170</v>
      </c>
      <c r="F387" s="56" t="s">
        <v>7</v>
      </c>
      <c r="G387" s="57">
        <v>0</v>
      </c>
      <c r="H387" s="62">
        <v>0</v>
      </c>
      <c r="J387"/>
    </row>
    <row r="388" spans="1:10" x14ac:dyDescent="0.35">
      <c r="A388" s="49" t="s">
        <v>169</v>
      </c>
      <c r="B388" s="50">
        <v>45778</v>
      </c>
      <c r="C388" s="51" t="s">
        <v>25</v>
      </c>
      <c r="D388" s="51" t="s">
        <v>12</v>
      </c>
      <c r="E388" s="51" t="s">
        <v>170</v>
      </c>
      <c r="F388" s="51" t="s">
        <v>8</v>
      </c>
      <c r="G388" s="52">
        <v>0</v>
      </c>
      <c r="H388" s="61">
        <v>0</v>
      </c>
      <c r="J388"/>
    </row>
    <row r="389" spans="1:10" x14ac:dyDescent="0.35">
      <c r="A389" s="54" t="s">
        <v>169</v>
      </c>
      <c r="B389" s="55">
        <v>45778</v>
      </c>
      <c r="C389" s="56" t="s">
        <v>25</v>
      </c>
      <c r="D389" s="56" t="s">
        <v>12</v>
      </c>
      <c r="E389" s="51" t="s">
        <v>170</v>
      </c>
      <c r="F389" s="56" t="s">
        <v>15</v>
      </c>
      <c r="G389" s="57">
        <v>0</v>
      </c>
      <c r="H389" s="62">
        <v>0</v>
      </c>
      <c r="J389" s="12">
        <f>SUMIFS(Receitas!L:L,Receitas!B:B,'BaseRelatório vOrçamento'!B389,Receitas!G:G,'BaseRelatório vOrçamento'!D389,Receitas!H:H,'BaseRelatório vOrçamento'!E389)</f>
        <v>118310.39999999999</v>
      </c>
    </row>
    <row r="390" spans="1:10" x14ac:dyDescent="0.35">
      <c r="A390" s="49" t="s">
        <v>134</v>
      </c>
      <c r="B390" s="50">
        <v>45901</v>
      </c>
      <c r="C390" s="51" t="s">
        <v>57</v>
      </c>
      <c r="D390" s="51" t="s">
        <v>58</v>
      </c>
      <c r="E390" s="51" t="s">
        <v>10</v>
      </c>
      <c r="F390" s="51" t="s">
        <v>7</v>
      </c>
      <c r="G390" s="52">
        <v>0</v>
      </c>
      <c r="H390" s="53">
        <v>0</v>
      </c>
      <c r="J390"/>
    </row>
    <row r="391" spans="1:10" x14ac:dyDescent="0.35">
      <c r="A391" s="54" t="s">
        <v>134</v>
      </c>
      <c r="B391" s="55">
        <v>45901</v>
      </c>
      <c r="C391" s="56" t="s">
        <v>57</v>
      </c>
      <c r="D391" s="56" t="s">
        <v>58</v>
      </c>
      <c r="E391" s="51" t="s">
        <v>10</v>
      </c>
      <c r="F391" s="56" t="s">
        <v>8</v>
      </c>
      <c r="G391" s="57">
        <v>0</v>
      </c>
      <c r="H391" s="58">
        <v>0</v>
      </c>
      <c r="J391"/>
    </row>
    <row r="392" spans="1:10" x14ac:dyDescent="0.35">
      <c r="A392" s="49" t="s">
        <v>134</v>
      </c>
      <c r="B392" s="50">
        <v>45901</v>
      </c>
      <c r="C392" s="51" t="s">
        <v>57</v>
      </c>
      <c r="D392" s="51" t="s">
        <v>58</v>
      </c>
      <c r="E392" s="51" t="s">
        <v>10</v>
      </c>
      <c r="F392" s="51" t="s">
        <v>15</v>
      </c>
      <c r="G392" s="52">
        <v>17311.068923076924</v>
      </c>
      <c r="H392" s="53">
        <v>550</v>
      </c>
      <c r="J392" s="12">
        <f>SUMIFS(Receitas!L:L,Receitas!B:B,'BaseRelatório vOrçamento'!B392,Receitas!G:G,'BaseRelatório vOrçamento'!D392,Receitas!H:H,'BaseRelatório vOrçamento'!E392)</f>
        <v>16583.57</v>
      </c>
    </row>
    <row r="393" spans="1:10" x14ac:dyDescent="0.35">
      <c r="A393" s="54" t="s">
        <v>134</v>
      </c>
      <c r="B393" s="55">
        <v>45901</v>
      </c>
      <c r="C393" s="56" t="s">
        <v>57</v>
      </c>
      <c r="D393" s="56" t="s">
        <v>58</v>
      </c>
      <c r="E393" s="51" t="s">
        <v>10</v>
      </c>
      <c r="F393" s="56" t="s">
        <v>65</v>
      </c>
      <c r="G393" s="57">
        <v>0</v>
      </c>
      <c r="H393" s="58">
        <v>0</v>
      </c>
      <c r="J393"/>
    </row>
    <row r="394" spans="1:10" x14ac:dyDescent="0.35">
      <c r="A394" s="59">
        <v>20105</v>
      </c>
      <c r="B394" s="50">
        <v>45901</v>
      </c>
      <c r="C394" s="51" t="s">
        <v>26</v>
      </c>
      <c r="D394" s="51" t="s">
        <v>19</v>
      </c>
      <c r="E394" s="51" t="s">
        <v>209</v>
      </c>
      <c r="F394" s="51" t="s">
        <v>7</v>
      </c>
      <c r="G394" s="52">
        <v>0</v>
      </c>
      <c r="H394" s="53">
        <v>0</v>
      </c>
      <c r="J394"/>
    </row>
    <row r="395" spans="1:10" x14ac:dyDescent="0.35">
      <c r="A395" s="60">
        <v>20105</v>
      </c>
      <c r="B395" s="55">
        <v>45901</v>
      </c>
      <c r="C395" s="56" t="s">
        <v>26</v>
      </c>
      <c r="D395" s="56" t="s">
        <v>19</v>
      </c>
      <c r="E395" s="51" t="s">
        <v>209</v>
      </c>
      <c r="F395" s="56" t="s">
        <v>8</v>
      </c>
      <c r="G395" s="57">
        <v>0</v>
      </c>
      <c r="H395" s="58">
        <v>0</v>
      </c>
      <c r="J395"/>
    </row>
    <row r="396" spans="1:10" x14ac:dyDescent="0.35">
      <c r="A396" s="59">
        <v>20105</v>
      </c>
      <c r="B396" s="50">
        <v>45901</v>
      </c>
      <c r="C396" s="51" t="s">
        <v>26</v>
      </c>
      <c r="D396" s="51" t="s">
        <v>19</v>
      </c>
      <c r="E396" s="51" t="s">
        <v>13</v>
      </c>
      <c r="F396" s="51" t="s">
        <v>15</v>
      </c>
      <c r="G396" s="52">
        <v>16933.880412371134</v>
      </c>
      <c r="H396" s="53">
        <v>545</v>
      </c>
      <c r="J396" s="12">
        <f>SUMIFS(Receitas!L:L,Receitas!B:B,'BaseRelatório vOrçamento'!B396,Receitas!G:G,'BaseRelatório vOrçamento'!D396,Receitas!H:H,'BaseRelatório vOrçamento'!E396)</f>
        <v>14280</v>
      </c>
    </row>
    <row r="397" spans="1:10" x14ac:dyDescent="0.35">
      <c r="A397" s="60">
        <v>20105</v>
      </c>
      <c r="B397" s="55">
        <v>45901</v>
      </c>
      <c r="C397" s="56" t="s">
        <v>26</v>
      </c>
      <c r="D397" s="56" t="s">
        <v>19</v>
      </c>
      <c r="E397" s="51" t="s">
        <v>209</v>
      </c>
      <c r="F397" s="56" t="s">
        <v>65</v>
      </c>
      <c r="G397" s="57">
        <v>0</v>
      </c>
      <c r="H397" s="58">
        <v>0</v>
      </c>
      <c r="J397"/>
    </row>
    <row r="398" spans="1:10" x14ac:dyDescent="0.35">
      <c r="A398" s="49" t="s">
        <v>142</v>
      </c>
      <c r="B398" s="50">
        <v>45931</v>
      </c>
      <c r="C398" s="51" t="s">
        <v>48</v>
      </c>
      <c r="D398" s="51" t="s">
        <v>49</v>
      </c>
      <c r="E398" s="51" t="s">
        <v>52</v>
      </c>
      <c r="F398" s="51" t="s">
        <v>7</v>
      </c>
      <c r="G398" s="52">
        <v>0</v>
      </c>
      <c r="H398" s="53">
        <v>0</v>
      </c>
      <c r="J398"/>
    </row>
    <row r="399" spans="1:10" x14ac:dyDescent="0.35">
      <c r="A399" s="54" t="s">
        <v>142</v>
      </c>
      <c r="B399" s="55">
        <v>45931</v>
      </c>
      <c r="C399" s="56" t="s">
        <v>48</v>
      </c>
      <c r="D399" s="56" t="s">
        <v>49</v>
      </c>
      <c r="E399" s="51" t="s">
        <v>52</v>
      </c>
      <c r="F399" s="56" t="s">
        <v>8</v>
      </c>
      <c r="G399" s="57">
        <v>0</v>
      </c>
      <c r="H399" s="58">
        <v>0</v>
      </c>
      <c r="J399"/>
    </row>
    <row r="400" spans="1:10" x14ac:dyDescent="0.35">
      <c r="A400" s="49" t="s">
        <v>142</v>
      </c>
      <c r="B400" s="50">
        <v>45931</v>
      </c>
      <c r="C400" s="51" t="s">
        <v>48</v>
      </c>
      <c r="D400" s="51" t="s">
        <v>49</v>
      </c>
      <c r="E400" s="51" t="s">
        <v>52</v>
      </c>
      <c r="F400" s="51" t="s">
        <v>15</v>
      </c>
      <c r="G400" s="52">
        <v>93380.944864864854</v>
      </c>
      <c r="H400" s="53">
        <v>2040</v>
      </c>
      <c r="J400" s="12">
        <f>SUMIFS(Receitas!L:L,Receitas!B:B,'BaseRelatório vOrçamento'!B400,Receitas!G:G,'BaseRelatório vOrçamento'!D400,Receitas!H:H,'BaseRelatório vOrçamento'!E400)</f>
        <v>89596.800000000003</v>
      </c>
    </row>
    <row r="401" spans="1:10" x14ac:dyDescent="0.35">
      <c r="A401" s="54" t="s">
        <v>142</v>
      </c>
      <c r="B401" s="55">
        <v>45931</v>
      </c>
      <c r="C401" s="56" t="s">
        <v>48</v>
      </c>
      <c r="D401" s="56" t="s">
        <v>49</v>
      </c>
      <c r="E401" s="51" t="s">
        <v>52</v>
      </c>
      <c r="F401" s="56" t="s">
        <v>65</v>
      </c>
      <c r="G401" s="57">
        <v>0</v>
      </c>
      <c r="H401" s="58">
        <v>0</v>
      </c>
      <c r="J401"/>
    </row>
    <row r="402" spans="1:10" x14ac:dyDescent="0.35">
      <c r="A402" s="49" t="s">
        <v>139</v>
      </c>
      <c r="B402" s="50">
        <v>45931</v>
      </c>
      <c r="C402" s="51" t="s">
        <v>48</v>
      </c>
      <c r="D402" s="51" t="s">
        <v>49</v>
      </c>
      <c r="E402" s="51" t="s">
        <v>14</v>
      </c>
      <c r="F402" s="51" t="s">
        <v>7</v>
      </c>
      <c r="G402" s="52">
        <v>0</v>
      </c>
      <c r="H402" s="53">
        <v>0</v>
      </c>
      <c r="J402"/>
    </row>
    <row r="403" spans="1:10" x14ac:dyDescent="0.35">
      <c r="A403" s="54" t="s">
        <v>139</v>
      </c>
      <c r="B403" s="55">
        <v>45931</v>
      </c>
      <c r="C403" s="56" t="s">
        <v>48</v>
      </c>
      <c r="D403" s="56" t="s">
        <v>49</v>
      </c>
      <c r="E403" s="51" t="s">
        <v>14</v>
      </c>
      <c r="F403" s="56" t="s">
        <v>8</v>
      </c>
      <c r="G403" s="57">
        <v>0</v>
      </c>
      <c r="H403" s="58">
        <v>0</v>
      </c>
      <c r="J403"/>
    </row>
    <row r="404" spans="1:10" x14ac:dyDescent="0.35">
      <c r="A404" s="49" t="s">
        <v>139</v>
      </c>
      <c r="B404" s="50">
        <v>45931</v>
      </c>
      <c r="C404" s="51" t="s">
        <v>48</v>
      </c>
      <c r="D404" s="51" t="s">
        <v>49</v>
      </c>
      <c r="E404" s="51" t="s">
        <v>14</v>
      </c>
      <c r="F404" s="51" t="s">
        <v>15</v>
      </c>
      <c r="G404" s="52">
        <v>28839.059251559258</v>
      </c>
      <c r="H404" s="53">
        <v>1500</v>
      </c>
      <c r="J404" s="12">
        <f>SUMIFS(Receitas!L:L,Receitas!B:B,'BaseRelatório vOrçamento'!B404,Receitas!G:G,'BaseRelatório vOrçamento'!D404,Receitas!H:H,'BaseRelatório vOrçamento'!E404)</f>
        <v>16726.32</v>
      </c>
    </row>
    <row r="405" spans="1:10" x14ac:dyDescent="0.35">
      <c r="A405" s="54" t="s">
        <v>139</v>
      </c>
      <c r="B405" s="55">
        <v>45931</v>
      </c>
      <c r="C405" s="56" t="s">
        <v>48</v>
      </c>
      <c r="D405" s="56" t="s">
        <v>49</v>
      </c>
      <c r="E405" s="51" t="s">
        <v>14</v>
      </c>
      <c r="F405" s="56" t="s">
        <v>65</v>
      </c>
      <c r="G405" s="57">
        <v>0</v>
      </c>
      <c r="H405" s="58">
        <v>0</v>
      </c>
      <c r="J405"/>
    </row>
    <row r="406" spans="1:10" x14ac:dyDescent="0.35">
      <c r="A406" s="49" t="s">
        <v>25</v>
      </c>
      <c r="B406" s="50">
        <v>45931</v>
      </c>
      <c r="C406" s="51" t="s">
        <v>48</v>
      </c>
      <c r="D406" s="51" t="s">
        <v>49</v>
      </c>
      <c r="E406" s="51" t="s">
        <v>116</v>
      </c>
      <c r="F406" s="51" t="s">
        <v>7</v>
      </c>
      <c r="G406" s="52">
        <v>0</v>
      </c>
      <c r="H406" s="53">
        <v>0</v>
      </c>
      <c r="J406"/>
    </row>
    <row r="407" spans="1:10" x14ac:dyDescent="0.35">
      <c r="A407" s="54" t="s">
        <v>25</v>
      </c>
      <c r="B407" s="55">
        <v>45931</v>
      </c>
      <c r="C407" s="56" t="s">
        <v>48</v>
      </c>
      <c r="D407" s="56" t="s">
        <v>49</v>
      </c>
      <c r="E407" s="51" t="s">
        <v>116</v>
      </c>
      <c r="F407" s="56" t="s">
        <v>8</v>
      </c>
      <c r="G407" s="57">
        <v>0</v>
      </c>
      <c r="H407" s="58">
        <v>0</v>
      </c>
      <c r="J407"/>
    </row>
    <row r="408" spans="1:10" x14ac:dyDescent="0.35">
      <c r="A408" s="49" t="s">
        <v>25</v>
      </c>
      <c r="B408" s="50">
        <v>45931</v>
      </c>
      <c r="C408" s="51" t="s">
        <v>48</v>
      </c>
      <c r="D408" s="51" t="s">
        <v>49</v>
      </c>
      <c r="E408" s="51" t="s">
        <v>116</v>
      </c>
      <c r="F408" s="51" t="s">
        <v>15</v>
      </c>
      <c r="G408" s="52">
        <v>9729.72972972973</v>
      </c>
      <c r="H408" s="53">
        <v>300</v>
      </c>
      <c r="J408" s="12">
        <f>SUMIFS(Receitas!L:L,Receitas!B:B,'BaseRelatório vOrçamento'!B408,Receitas!G:G,'BaseRelatório vOrçamento'!D408,Receitas!H:H,'BaseRelatório vOrçamento'!E408)</f>
        <v>0</v>
      </c>
    </row>
    <row r="409" spans="1:10" x14ac:dyDescent="0.35">
      <c r="A409" s="54" t="s">
        <v>25</v>
      </c>
      <c r="B409" s="55">
        <v>45931</v>
      </c>
      <c r="C409" s="56" t="s">
        <v>48</v>
      </c>
      <c r="D409" s="56" t="s">
        <v>49</v>
      </c>
      <c r="E409" s="51" t="s">
        <v>116</v>
      </c>
      <c r="F409" s="56" t="s">
        <v>65</v>
      </c>
      <c r="G409" s="57">
        <v>0</v>
      </c>
      <c r="H409" s="58">
        <v>0</v>
      </c>
      <c r="J409"/>
    </row>
    <row r="410" spans="1:10" x14ac:dyDescent="0.35">
      <c r="A410" s="49" t="s">
        <v>102</v>
      </c>
      <c r="B410" s="50">
        <v>45931</v>
      </c>
      <c r="C410" s="51" t="s">
        <v>48</v>
      </c>
      <c r="D410" s="51" t="s">
        <v>49</v>
      </c>
      <c r="E410" s="51" t="s">
        <v>51</v>
      </c>
      <c r="F410" s="51" t="s">
        <v>7</v>
      </c>
      <c r="G410" s="52">
        <v>0</v>
      </c>
      <c r="H410" s="53">
        <v>0</v>
      </c>
      <c r="J410"/>
    </row>
    <row r="411" spans="1:10" x14ac:dyDescent="0.35">
      <c r="A411" s="54" t="s">
        <v>102</v>
      </c>
      <c r="B411" s="55">
        <v>45931</v>
      </c>
      <c r="C411" s="56" t="s">
        <v>48</v>
      </c>
      <c r="D411" s="56" t="s">
        <v>49</v>
      </c>
      <c r="E411" s="51" t="s">
        <v>51</v>
      </c>
      <c r="F411" s="56" t="s">
        <v>8</v>
      </c>
      <c r="G411" s="57">
        <v>0</v>
      </c>
      <c r="H411" s="58">
        <v>0</v>
      </c>
      <c r="J411"/>
    </row>
    <row r="412" spans="1:10" x14ac:dyDescent="0.35">
      <c r="A412" s="49" t="s">
        <v>102</v>
      </c>
      <c r="B412" s="50">
        <v>45931</v>
      </c>
      <c r="C412" s="51" t="s">
        <v>48</v>
      </c>
      <c r="D412" s="51" t="s">
        <v>49</v>
      </c>
      <c r="E412" s="51" t="s">
        <v>51</v>
      </c>
      <c r="F412" s="51" t="s">
        <v>15</v>
      </c>
      <c r="G412" s="52">
        <v>235789.78378378376</v>
      </c>
      <c r="H412" s="53">
        <v>6500</v>
      </c>
      <c r="J412" s="12">
        <f>SUMIFS(Receitas!L:L,Receitas!B:B,'BaseRelatório vOrçamento'!B412,Receitas!G:G,'BaseRelatório vOrçamento'!D412,Receitas!H:H,'BaseRelatório vOrçamento'!E412)</f>
        <v>0</v>
      </c>
    </row>
    <row r="413" spans="1:10" x14ac:dyDescent="0.35">
      <c r="A413" s="54" t="s">
        <v>102</v>
      </c>
      <c r="B413" s="55">
        <v>45931</v>
      </c>
      <c r="C413" s="56" t="s">
        <v>48</v>
      </c>
      <c r="D413" s="56" t="s">
        <v>49</v>
      </c>
      <c r="E413" s="51" t="s">
        <v>51</v>
      </c>
      <c r="F413" s="56" t="s">
        <v>65</v>
      </c>
      <c r="G413" s="57">
        <v>0</v>
      </c>
      <c r="H413" s="58">
        <v>0</v>
      </c>
      <c r="J413"/>
    </row>
    <row r="414" spans="1:10" x14ac:dyDescent="0.35">
      <c r="A414" s="49" t="s">
        <v>118</v>
      </c>
      <c r="B414" s="50">
        <v>45931</v>
      </c>
      <c r="C414" s="51" t="s">
        <v>22</v>
      </c>
      <c r="D414" s="51" t="s">
        <v>11</v>
      </c>
      <c r="E414" s="51" t="s">
        <v>209</v>
      </c>
      <c r="F414" s="51" t="s">
        <v>7</v>
      </c>
      <c r="G414" s="52">
        <v>0</v>
      </c>
      <c r="H414" s="53">
        <v>0</v>
      </c>
      <c r="J414"/>
    </row>
    <row r="415" spans="1:10" x14ac:dyDescent="0.35">
      <c r="A415" s="54" t="s">
        <v>118</v>
      </c>
      <c r="B415" s="55">
        <v>45931</v>
      </c>
      <c r="C415" s="56" t="s">
        <v>22</v>
      </c>
      <c r="D415" s="56" t="s">
        <v>11</v>
      </c>
      <c r="E415" s="51" t="s">
        <v>209</v>
      </c>
      <c r="F415" s="56" t="s">
        <v>8</v>
      </c>
      <c r="G415" s="57">
        <v>0</v>
      </c>
      <c r="H415" s="58">
        <v>0</v>
      </c>
      <c r="J415"/>
    </row>
    <row r="416" spans="1:10" x14ac:dyDescent="0.35">
      <c r="A416" s="49" t="s">
        <v>190</v>
      </c>
      <c r="B416" s="50">
        <v>45931</v>
      </c>
      <c r="C416" s="51" t="s">
        <v>22</v>
      </c>
      <c r="D416" s="51" t="s">
        <v>11</v>
      </c>
      <c r="E416" s="51" t="s">
        <v>116</v>
      </c>
      <c r="F416" s="51" t="s">
        <v>15</v>
      </c>
      <c r="G416" s="52">
        <v>59115.789473684214</v>
      </c>
      <c r="H416" s="53">
        <v>2000</v>
      </c>
      <c r="J416" s="12">
        <f>SUMIFS(Receitas!L:L,Receitas!B:B,'BaseRelatório vOrçamento'!B416,Receitas!G:G,'BaseRelatório vOrçamento'!D416,Receitas!H:H,'BaseRelatório vOrçamento'!E416)</f>
        <v>0</v>
      </c>
    </row>
    <row r="417" spans="1:10" x14ac:dyDescent="0.35">
      <c r="A417" s="54" t="s">
        <v>118</v>
      </c>
      <c r="B417" s="55">
        <v>45931</v>
      </c>
      <c r="C417" s="56" t="s">
        <v>22</v>
      </c>
      <c r="D417" s="56" t="s">
        <v>11</v>
      </c>
      <c r="E417" s="51" t="s">
        <v>209</v>
      </c>
      <c r="F417" s="56" t="s">
        <v>65</v>
      </c>
      <c r="G417" s="57">
        <v>0</v>
      </c>
      <c r="H417" s="58">
        <v>0</v>
      </c>
      <c r="J417"/>
    </row>
    <row r="418" spans="1:10" x14ac:dyDescent="0.35">
      <c r="A418" s="49" t="s">
        <v>172</v>
      </c>
      <c r="B418" s="50">
        <v>45931</v>
      </c>
      <c r="C418" s="51" t="s">
        <v>22</v>
      </c>
      <c r="D418" s="51" t="s">
        <v>11</v>
      </c>
      <c r="E418" s="51" t="s">
        <v>13</v>
      </c>
      <c r="F418" s="51" t="s">
        <v>7</v>
      </c>
      <c r="G418" s="52">
        <v>0</v>
      </c>
      <c r="H418" s="53">
        <v>0</v>
      </c>
      <c r="J418"/>
    </row>
    <row r="419" spans="1:10" x14ac:dyDescent="0.35">
      <c r="A419" s="54" t="s">
        <v>172</v>
      </c>
      <c r="B419" s="55">
        <v>45931</v>
      </c>
      <c r="C419" s="56" t="s">
        <v>22</v>
      </c>
      <c r="D419" s="56" t="s">
        <v>11</v>
      </c>
      <c r="E419" s="51" t="s">
        <v>13</v>
      </c>
      <c r="F419" s="56" t="s">
        <v>8</v>
      </c>
      <c r="G419" s="57">
        <v>0</v>
      </c>
      <c r="H419" s="58">
        <v>0</v>
      </c>
      <c r="J419"/>
    </row>
    <row r="420" spans="1:10" x14ac:dyDescent="0.35">
      <c r="A420" s="49" t="s">
        <v>172</v>
      </c>
      <c r="B420" s="50">
        <v>45931</v>
      </c>
      <c r="C420" s="51" t="s">
        <v>22</v>
      </c>
      <c r="D420" s="51" t="s">
        <v>11</v>
      </c>
      <c r="E420" s="51" t="s">
        <v>13</v>
      </c>
      <c r="F420" s="51" t="s">
        <v>15</v>
      </c>
      <c r="G420" s="52">
        <v>0</v>
      </c>
      <c r="H420" s="53">
        <v>0</v>
      </c>
      <c r="J420" s="12">
        <f>SUMIFS(Receitas!L:L,Receitas!B:B,'BaseRelatório vOrçamento'!B420,Receitas!G:G,'BaseRelatório vOrçamento'!D420,Receitas!H:H,'BaseRelatório vOrçamento'!E420)</f>
        <v>18396.645500000002</v>
      </c>
    </row>
    <row r="421" spans="1:10" x14ac:dyDescent="0.35">
      <c r="A421" s="54" t="s">
        <v>172</v>
      </c>
      <c r="B421" s="55">
        <v>45931</v>
      </c>
      <c r="C421" s="56" t="s">
        <v>22</v>
      </c>
      <c r="D421" s="56" t="s">
        <v>11</v>
      </c>
      <c r="E421" s="51" t="s">
        <v>13</v>
      </c>
      <c r="F421" s="56" t="s">
        <v>65</v>
      </c>
      <c r="G421" s="57">
        <v>0</v>
      </c>
      <c r="H421" s="58">
        <v>0</v>
      </c>
      <c r="J421"/>
    </row>
    <row r="422" spans="1:10" x14ac:dyDescent="0.35">
      <c r="A422" s="49" t="s">
        <v>149</v>
      </c>
      <c r="B422" s="50">
        <v>45931</v>
      </c>
      <c r="C422" s="51" t="s">
        <v>23</v>
      </c>
      <c r="D422" s="51" t="s">
        <v>112</v>
      </c>
      <c r="E422" s="51" t="s">
        <v>113</v>
      </c>
      <c r="F422" s="51" t="s">
        <v>7</v>
      </c>
      <c r="G422" s="52">
        <v>0</v>
      </c>
      <c r="H422" s="53">
        <v>0</v>
      </c>
      <c r="J422"/>
    </row>
    <row r="423" spans="1:10" x14ac:dyDescent="0.35">
      <c r="A423" s="54" t="s">
        <v>149</v>
      </c>
      <c r="B423" s="55">
        <v>45931</v>
      </c>
      <c r="C423" s="56" t="s">
        <v>23</v>
      </c>
      <c r="D423" s="56" t="s">
        <v>112</v>
      </c>
      <c r="E423" s="51" t="s">
        <v>113</v>
      </c>
      <c r="F423" s="56" t="s">
        <v>8</v>
      </c>
      <c r="G423" s="57">
        <v>0</v>
      </c>
      <c r="H423" s="58">
        <v>0</v>
      </c>
      <c r="J423"/>
    </row>
    <row r="424" spans="1:10" x14ac:dyDescent="0.35">
      <c r="A424" s="49" t="s">
        <v>149</v>
      </c>
      <c r="B424" s="50">
        <v>45931</v>
      </c>
      <c r="C424" s="51" t="s">
        <v>23</v>
      </c>
      <c r="D424" s="51" t="s">
        <v>112</v>
      </c>
      <c r="E424" s="51" t="s">
        <v>113</v>
      </c>
      <c r="F424" s="51" t="s">
        <v>15</v>
      </c>
      <c r="G424" s="52">
        <v>89658.947368421053</v>
      </c>
      <c r="H424" s="53">
        <v>4200</v>
      </c>
      <c r="J424" s="12">
        <f>SUMIFS(Receitas!L:L,Receitas!B:B,'BaseRelatório vOrçamento'!B424,Receitas!G:G,'BaseRelatório vOrçamento'!D424,Receitas!H:H,'BaseRelatório vOrçamento'!E424)</f>
        <v>0</v>
      </c>
    </row>
    <row r="425" spans="1:10" x14ac:dyDescent="0.35">
      <c r="A425" s="54" t="s">
        <v>149</v>
      </c>
      <c r="B425" s="55">
        <v>45931</v>
      </c>
      <c r="C425" s="56" t="s">
        <v>23</v>
      </c>
      <c r="D425" s="56" t="s">
        <v>112</v>
      </c>
      <c r="E425" s="51" t="s">
        <v>113</v>
      </c>
      <c r="F425" s="56" t="s">
        <v>65</v>
      </c>
      <c r="G425" s="57">
        <v>0</v>
      </c>
      <c r="H425" s="58">
        <v>0</v>
      </c>
      <c r="J425"/>
    </row>
    <row r="426" spans="1:10" x14ac:dyDescent="0.35">
      <c r="A426" s="49" t="s">
        <v>177</v>
      </c>
      <c r="B426" s="50">
        <v>45931</v>
      </c>
      <c r="C426" s="51" t="s">
        <v>46</v>
      </c>
      <c r="D426" s="51" t="s">
        <v>87</v>
      </c>
      <c r="E426" s="51" t="s">
        <v>9</v>
      </c>
      <c r="F426" s="51" t="s">
        <v>7</v>
      </c>
      <c r="G426" s="52">
        <v>0</v>
      </c>
      <c r="H426" s="53">
        <v>0</v>
      </c>
      <c r="J426"/>
    </row>
    <row r="427" spans="1:10" x14ac:dyDescent="0.35">
      <c r="A427" s="54" t="s">
        <v>177</v>
      </c>
      <c r="B427" s="55">
        <v>45931</v>
      </c>
      <c r="C427" s="56" t="s">
        <v>46</v>
      </c>
      <c r="D427" s="56" t="s">
        <v>87</v>
      </c>
      <c r="E427" s="51" t="s">
        <v>9</v>
      </c>
      <c r="F427" s="56" t="s">
        <v>8</v>
      </c>
      <c r="G427" s="57">
        <v>0</v>
      </c>
      <c r="H427" s="58">
        <v>0</v>
      </c>
      <c r="J427"/>
    </row>
    <row r="428" spans="1:10" x14ac:dyDescent="0.35">
      <c r="A428" s="49" t="s">
        <v>177</v>
      </c>
      <c r="B428" s="50">
        <v>45931</v>
      </c>
      <c r="C428" s="51" t="s">
        <v>46</v>
      </c>
      <c r="D428" s="51" t="s">
        <v>87</v>
      </c>
      <c r="E428" s="51" t="s">
        <v>9</v>
      </c>
      <c r="F428" s="51" t="s">
        <v>15</v>
      </c>
      <c r="G428" s="52">
        <v>142504.12724210526</v>
      </c>
      <c r="H428" s="53">
        <v>4200</v>
      </c>
      <c r="J428" s="12">
        <f>SUMIFS(Receitas!L:L,Receitas!B:B,'BaseRelatório vOrçamento'!B428,Receitas!G:G,'BaseRelatório vOrçamento'!D428,Receitas!H:H,'BaseRelatório vOrçamento'!E428)</f>
        <v>68451.474000000002</v>
      </c>
    </row>
    <row r="429" spans="1:10" x14ac:dyDescent="0.35">
      <c r="A429" s="54" t="s">
        <v>177</v>
      </c>
      <c r="B429" s="55">
        <v>45931</v>
      </c>
      <c r="C429" s="56" t="s">
        <v>46</v>
      </c>
      <c r="D429" s="56" t="s">
        <v>87</v>
      </c>
      <c r="E429" s="51" t="s">
        <v>9</v>
      </c>
      <c r="F429" s="56" t="s">
        <v>65</v>
      </c>
      <c r="G429" s="57">
        <v>0</v>
      </c>
      <c r="H429" s="58">
        <v>0</v>
      </c>
      <c r="J429"/>
    </row>
    <row r="430" spans="1:10" x14ac:dyDescent="0.35">
      <c r="A430" s="49" t="s">
        <v>169</v>
      </c>
      <c r="B430" s="50">
        <v>45778</v>
      </c>
      <c r="C430" s="51" t="s">
        <v>25</v>
      </c>
      <c r="D430" s="51" t="s">
        <v>12</v>
      </c>
      <c r="E430" s="51" t="s">
        <v>170</v>
      </c>
      <c r="F430" s="51" t="s">
        <v>65</v>
      </c>
      <c r="G430" s="52">
        <v>0</v>
      </c>
      <c r="H430" s="61">
        <v>0</v>
      </c>
      <c r="J430"/>
    </row>
    <row r="431" spans="1:10" x14ac:dyDescent="0.35">
      <c r="A431" s="54" t="s">
        <v>194</v>
      </c>
      <c r="B431" s="55">
        <v>45809</v>
      </c>
      <c r="C431" s="56" t="s">
        <v>25</v>
      </c>
      <c r="D431" s="56" t="s">
        <v>12</v>
      </c>
      <c r="E431" s="51" t="s">
        <v>9</v>
      </c>
      <c r="F431" s="56" t="s">
        <v>7</v>
      </c>
      <c r="G431" s="57">
        <v>0</v>
      </c>
      <c r="H431" s="58">
        <v>0</v>
      </c>
      <c r="J431"/>
    </row>
    <row r="432" spans="1:10" x14ac:dyDescent="0.35">
      <c r="A432" s="49" t="s">
        <v>194</v>
      </c>
      <c r="B432" s="50">
        <v>45809</v>
      </c>
      <c r="C432" s="51" t="s">
        <v>25</v>
      </c>
      <c r="D432" s="51" t="s">
        <v>12</v>
      </c>
      <c r="E432" s="51" t="s">
        <v>9</v>
      </c>
      <c r="F432" s="51" t="s">
        <v>8</v>
      </c>
      <c r="G432" s="52">
        <v>0</v>
      </c>
      <c r="H432" s="53">
        <v>0</v>
      </c>
      <c r="J432"/>
    </row>
    <row r="433" spans="1:10" x14ac:dyDescent="0.35">
      <c r="A433" s="54" t="s">
        <v>194</v>
      </c>
      <c r="B433" s="55">
        <v>45809</v>
      </c>
      <c r="C433" s="56" t="s">
        <v>25</v>
      </c>
      <c r="D433" s="56" t="s">
        <v>12</v>
      </c>
      <c r="E433" s="51" t="s">
        <v>9</v>
      </c>
      <c r="F433" s="56" t="s">
        <v>15</v>
      </c>
      <c r="G433" s="57">
        <v>170951.70214033333</v>
      </c>
      <c r="H433" s="58">
        <v>6100</v>
      </c>
      <c r="J433" s="12">
        <f>SUMIFS(Receitas!L:L,Receitas!B:B,'BaseRelatório vOrçamento'!B433,Receitas!G:G,'BaseRelatório vOrçamento'!D433,Receitas!H:H,'BaseRelatório vOrçamento'!E433)</f>
        <v>497577</v>
      </c>
    </row>
    <row r="434" spans="1:10" x14ac:dyDescent="0.35">
      <c r="A434" s="49" t="s">
        <v>134</v>
      </c>
      <c r="B434" s="50">
        <v>45931</v>
      </c>
      <c r="C434" s="51" t="s">
        <v>57</v>
      </c>
      <c r="D434" s="51" t="s">
        <v>58</v>
      </c>
      <c r="E434" s="51" t="s">
        <v>10</v>
      </c>
      <c r="F434" s="51" t="s">
        <v>7</v>
      </c>
      <c r="G434" s="52">
        <v>0</v>
      </c>
      <c r="H434" s="53">
        <v>0</v>
      </c>
      <c r="J434"/>
    </row>
    <row r="435" spans="1:10" x14ac:dyDescent="0.35">
      <c r="A435" s="54" t="s">
        <v>134</v>
      </c>
      <c r="B435" s="55">
        <v>45931</v>
      </c>
      <c r="C435" s="56" t="s">
        <v>57</v>
      </c>
      <c r="D435" s="56" t="s">
        <v>58</v>
      </c>
      <c r="E435" s="51" t="s">
        <v>10</v>
      </c>
      <c r="F435" s="56" t="s">
        <v>8</v>
      </c>
      <c r="G435" s="57">
        <v>0</v>
      </c>
      <c r="H435" s="58">
        <v>0</v>
      </c>
      <c r="J435"/>
    </row>
    <row r="436" spans="1:10" x14ac:dyDescent="0.35">
      <c r="A436" s="49" t="s">
        <v>134</v>
      </c>
      <c r="B436" s="50">
        <v>45931</v>
      </c>
      <c r="C436" s="51" t="s">
        <v>57</v>
      </c>
      <c r="D436" s="51" t="s">
        <v>58</v>
      </c>
      <c r="E436" s="51" t="s">
        <v>10</v>
      </c>
      <c r="F436" s="51" t="s">
        <v>15</v>
      </c>
      <c r="G436" s="52">
        <v>17311.068923076924</v>
      </c>
      <c r="H436" s="53">
        <v>550</v>
      </c>
      <c r="J436" s="12">
        <f>SUMIFS(Receitas!L:L,Receitas!B:B,'BaseRelatório vOrçamento'!B436,Receitas!G:G,'BaseRelatório vOrçamento'!D436,Receitas!H:H,'BaseRelatório vOrçamento'!E436)</f>
        <v>41850.639999999999</v>
      </c>
    </row>
    <row r="437" spans="1:10" x14ac:dyDescent="0.35">
      <c r="A437" s="54" t="s">
        <v>134</v>
      </c>
      <c r="B437" s="55">
        <v>45931</v>
      </c>
      <c r="C437" s="56" t="s">
        <v>57</v>
      </c>
      <c r="D437" s="56" t="s">
        <v>58</v>
      </c>
      <c r="E437" s="51" t="s">
        <v>10</v>
      </c>
      <c r="F437" s="56" t="s">
        <v>65</v>
      </c>
      <c r="G437" s="57">
        <v>0</v>
      </c>
      <c r="H437" s="58">
        <v>0</v>
      </c>
      <c r="J437"/>
    </row>
    <row r="438" spans="1:10" x14ac:dyDescent="0.35">
      <c r="A438" s="59">
        <v>20105</v>
      </c>
      <c r="B438" s="50">
        <v>45931</v>
      </c>
      <c r="C438" s="51" t="s">
        <v>26</v>
      </c>
      <c r="D438" s="51" t="s">
        <v>19</v>
      </c>
      <c r="E438" s="51" t="s">
        <v>209</v>
      </c>
      <c r="F438" s="51" t="s">
        <v>7</v>
      </c>
      <c r="G438" s="52">
        <v>0</v>
      </c>
      <c r="H438" s="53">
        <v>0</v>
      </c>
      <c r="J438"/>
    </row>
    <row r="439" spans="1:10" x14ac:dyDescent="0.35">
      <c r="A439" s="60">
        <v>20105</v>
      </c>
      <c r="B439" s="55">
        <v>45931</v>
      </c>
      <c r="C439" s="56" t="s">
        <v>26</v>
      </c>
      <c r="D439" s="56" t="s">
        <v>19</v>
      </c>
      <c r="E439" s="51" t="s">
        <v>209</v>
      </c>
      <c r="F439" s="56" t="s">
        <v>8</v>
      </c>
      <c r="G439" s="57">
        <v>0</v>
      </c>
      <c r="H439" s="58">
        <v>0</v>
      </c>
      <c r="J439"/>
    </row>
    <row r="440" spans="1:10" x14ac:dyDescent="0.35">
      <c r="A440" s="59">
        <v>20105</v>
      </c>
      <c r="B440" s="50">
        <v>45931</v>
      </c>
      <c r="C440" s="51" t="s">
        <v>26</v>
      </c>
      <c r="D440" s="51" t="s">
        <v>19</v>
      </c>
      <c r="E440" s="51" t="s">
        <v>13</v>
      </c>
      <c r="F440" s="51" t="s">
        <v>15</v>
      </c>
      <c r="G440" s="52">
        <v>16933.880412371134</v>
      </c>
      <c r="H440" s="53">
        <v>545</v>
      </c>
      <c r="J440" s="12">
        <f>SUMIFS(Receitas!L:L,Receitas!B:B,'BaseRelatório vOrçamento'!B440,Receitas!G:G,'BaseRelatório vOrçamento'!D440,Receitas!H:H,'BaseRelatório vOrçamento'!E440)</f>
        <v>14280</v>
      </c>
    </row>
    <row r="441" spans="1:10" x14ac:dyDescent="0.35">
      <c r="A441" s="60">
        <v>20105</v>
      </c>
      <c r="B441" s="55">
        <v>45931</v>
      </c>
      <c r="C441" s="56" t="s">
        <v>26</v>
      </c>
      <c r="D441" s="56" t="s">
        <v>19</v>
      </c>
      <c r="E441" s="51" t="s">
        <v>209</v>
      </c>
      <c r="F441" s="56" t="s">
        <v>65</v>
      </c>
      <c r="G441" s="57">
        <v>0</v>
      </c>
      <c r="H441" s="58">
        <v>0</v>
      </c>
      <c r="J441"/>
    </row>
    <row r="442" spans="1:10" x14ac:dyDescent="0.35">
      <c r="A442" s="49" t="s">
        <v>142</v>
      </c>
      <c r="B442" s="50">
        <v>45962</v>
      </c>
      <c r="C442" s="51" t="s">
        <v>48</v>
      </c>
      <c r="D442" s="51" t="s">
        <v>49</v>
      </c>
      <c r="E442" s="51" t="s">
        <v>52</v>
      </c>
      <c r="F442" s="51" t="s">
        <v>7</v>
      </c>
      <c r="G442" s="52">
        <v>0</v>
      </c>
      <c r="H442" s="53">
        <v>0</v>
      </c>
      <c r="J442"/>
    </row>
    <row r="443" spans="1:10" x14ac:dyDescent="0.35">
      <c r="A443" s="54" t="s">
        <v>142</v>
      </c>
      <c r="B443" s="55">
        <v>45962</v>
      </c>
      <c r="C443" s="56" t="s">
        <v>48</v>
      </c>
      <c r="D443" s="56" t="s">
        <v>49</v>
      </c>
      <c r="E443" s="51" t="s">
        <v>52</v>
      </c>
      <c r="F443" s="56" t="s">
        <v>8</v>
      </c>
      <c r="G443" s="57">
        <v>0</v>
      </c>
      <c r="H443" s="58">
        <v>0</v>
      </c>
      <c r="J443"/>
    </row>
    <row r="444" spans="1:10" x14ac:dyDescent="0.35">
      <c r="A444" s="49" t="s">
        <v>142</v>
      </c>
      <c r="B444" s="50">
        <v>45962</v>
      </c>
      <c r="C444" s="51" t="s">
        <v>48</v>
      </c>
      <c r="D444" s="51" t="s">
        <v>49</v>
      </c>
      <c r="E444" s="51" t="s">
        <v>52</v>
      </c>
      <c r="F444" s="51" t="s">
        <v>15</v>
      </c>
      <c r="G444" s="52">
        <v>93380.944864864854</v>
      </c>
      <c r="H444" s="53">
        <v>2040</v>
      </c>
      <c r="J444" s="12">
        <f>SUMIFS(Receitas!L:L,Receitas!B:B,'BaseRelatório vOrçamento'!B444,Receitas!G:G,'BaseRelatório vOrçamento'!D444,Receitas!H:H,'BaseRelatório vOrçamento'!E444)</f>
        <v>93135.97</v>
      </c>
    </row>
    <row r="445" spans="1:10" x14ac:dyDescent="0.35">
      <c r="A445" s="54" t="s">
        <v>142</v>
      </c>
      <c r="B445" s="55">
        <v>45962</v>
      </c>
      <c r="C445" s="56" t="s">
        <v>48</v>
      </c>
      <c r="D445" s="56" t="s">
        <v>49</v>
      </c>
      <c r="E445" s="51" t="s">
        <v>52</v>
      </c>
      <c r="F445" s="56" t="s">
        <v>65</v>
      </c>
      <c r="G445" s="57">
        <v>0</v>
      </c>
      <c r="H445" s="58">
        <v>0</v>
      </c>
      <c r="J445"/>
    </row>
    <row r="446" spans="1:10" x14ac:dyDescent="0.35">
      <c r="A446" s="49" t="s">
        <v>139</v>
      </c>
      <c r="B446" s="50">
        <v>45962</v>
      </c>
      <c r="C446" s="51" t="s">
        <v>48</v>
      </c>
      <c r="D446" s="51" t="s">
        <v>49</v>
      </c>
      <c r="E446" s="51" t="s">
        <v>14</v>
      </c>
      <c r="F446" s="51" t="s">
        <v>7</v>
      </c>
      <c r="G446" s="52">
        <v>0</v>
      </c>
      <c r="H446" s="53">
        <v>0</v>
      </c>
      <c r="J446"/>
    </row>
    <row r="447" spans="1:10" x14ac:dyDescent="0.35">
      <c r="A447" s="54" t="s">
        <v>139</v>
      </c>
      <c r="B447" s="55">
        <v>45962</v>
      </c>
      <c r="C447" s="56" t="s">
        <v>48</v>
      </c>
      <c r="D447" s="56" t="s">
        <v>49</v>
      </c>
      <c r="E447" s="51" t="s">
        <v>14</v>
      </c>
      <c r="F447" s="56" t="s">
        <v>8</v>
      </c>
      <c r="G447" s="57">
        <v>0</v>
      </c>
      <c r="H447" s="58">
        <v>0</v>
      </c>
      <c r="J447"/>
    </row>
    <row r="448" spans="1:10" x14ac:dyDescent="0.35">
      <c r="A448" s="49" t="s">
        <v>139</v>
      </c>
      <c r="B448" s="50">
        <v>45962</v>
      </c>
      <c r="C448" s="51" t="s">
        <v>48</v>
      </c>
      <c r="D448" s="51" t="s">
        <v>49</v>
      </c>
      <c r="E448" s="51" t="s">
        <v>14</v>
      </c>
      <c r="F448" s="51" t="s">
        <v>15</v>
      </c>
      <c r="G448" s="52">
        <v>29992.621621621623</v>
      </c>
      <c r="H448" s="53">
        <v>1500</v>
      </c>
      <c r="J448" s="12">
        <f>SUMIFS(Receitas!L:L,Receitas!B:B,'BaseRelatório vOrçamento'!B448,Receitas!G:G,'BaseRelatório vOrçamento'!D448,Receitas!H:H,'BaseRelatório vOrçamento'!E448)</f>
        <v>17387.03</v>
      </c>
    </row>
    <row r="449" spans="1:10" x14ac:dyDescent="0.35">
      <c r="A449" s="54" t="s">
        <v>139</v>
      </c>
      <c r="B449" s="55">
        <v>45962</v>
      </c>
      <c r="C449" s="56" t="s">
        <v>48</v>
      </c>
      <c r="D449" s="56" t="s">
        <v>49</v>
      </c>
      <c r="E449" s="51" t="s">
        <v>14</v>
      </c>
      <c r="F449" s="56" t="s">
        <v>65</v>
      </c>
      <c r="G449" s="57">
        <v>0</v>
      </c>
      <c r="H449" s="58">
        <v>0</v>
      </c>
      <c r="J449"/>
    </row>
    <row r="450" spans="1:10" x14ac:dyDescent="0.35">
      <c r="A450" s="49" t="s">
        <v>25</v>
      </c>
      <c r="B450" s="50">
        <v>45962</v>
      </c>
      <c r="C450" s="51" t="s">
        <v>48</v>
      </c>
      <c r="D450" s="51" t="s">
        <v>49</v>
      </c>
      <c r="E450" s="51" t="s">
        <v>116</v>
      </c>
      <c r="F450" s="51" t="s">
        <v>7</v>
      </c>
      <c r="G450" s="52">
        <v>0</v>
      </c>
      <c r="H450" s="53">
        <v>0</v>
      </c>
      <c r="J450"/>
    </row>
    <row r="451" spans="1:10" x14ac:dyDescent="0.35">
      <c r="A451" s="54" t="s">
        <v>25</v>
      </c>
      <c r="B451" s="55">
        <v>45962</v>
      </c>
      <c r="C451" s="56" t="s">
        <v>48</v>
      </c>
      <c r="D451" s="56" t="s">
        <v>49</v>
      </c>
      <c r="E451" s="51" t="s">
        <v>116</v>
      </c>
      <c r="F451" s="56" t="s">
        <v>8</v>
      </c>
      <c r="G451" s="57">
        <v>0</v>
      </c>
      <c r="H451" s="58">
        <v>0</v>
      </c>
      <c r="J451"/>
    </row>
    <row r="452" spans="1:10" x14ac:dyDescent="0.35">
      <c r="A452" s="49" t="s">
        <v>25</v>
      </c>
      <c r="B452" s="50">
        <v>45962</v>
      </c>
      <c r="C452" s="51" t="s">
        <v>48</v>
      </c>
      <c r="D452" s="51" t="s">
        <v>49</v>
      </c>
      <c r="E452" s="51" t="s">
        <v>116</v>
      </c>
      <c r="F452" s="51" t="s">
        <v>15</v>
      </c>
      <c r="G452" s="52">
        <v>9729.72972972973</v>
      </c>
      <c r="H452" s="53">
        <v>300</v>
      </c>
      <c r="J452" s="12">
        <f>SUMIFS(Receitas!L:L,Receitas!B:B,'BaseRelatório vOrçamento'!B452,Receitas!G:G,'BaseRelatório vOrçamento'!D452,Receitas!H:H,'BaseRelatório vOrçamento'!E452)</f>
        <v>0</v>
      </c>
    </row>
    <row r="453" spans="1:10" x14ac:dyDescent="0.35">
      <c r="A453" s="54" t="s">
        <v>25</v>
      </c>
      <c r="B453" s="55">
        <v>45962</v>
      </c>
      <c r="C453" s="56" t="s">
        <v>48</v>
      </c>
      <c r="D453" s="56" t="s">
        <v>49</v>
      </c>
      <c r="E453" s="51" t="s">
        <v>116</v>
      </c>
      <c r="F453" s="56" t="s">
        <v>65</v>
      </c>
      <c r="G453" s="57">
        <v>0</v>
      </c>
      <c r="H453" s="58">
        <v>0</v>
      </c>
      <c r="J453"/>
    </row>
    <row r="454" spans="1:10" x14ac:dyDescent="0.35">
      <c r="A454" s="49" t="s">
        <v>102</v>
      </c>
      <c r="B454" s="50">
        <v>45962</v>
      </c>
      <c r="C454" s="51" t="s">
        <v>48</v>
      </c>
      <c r="D454" s="51" t="s">
        <v>49</v>
      </c>
      <c r="E454" s="51" t="s">
        <v>51</v>
      </c>
      <c r="F454" s="51" t="s">
        <v>7</v>
      </c>
      <c r="G454" s="52">
        <v>0</v>
      </c>
      <c r="H454" s="53">
        <v>0</v>
      </c>
      <c r="J454"/>
    </row>
    <row r="455" spans="1:10" x14ac:dyDescent="0.35">
      <c r="A455" s="54" t="s">
        <v>102</v>
      </c>
      <c r="B455" s="55">
        <v>45962</v>
      </c>
      <c r="C455" s="56" t="s">
        <v>48</v>
      </c>
      <c r="D455" s="56" t="s">
        <v>49</v>
      </c>
      <c r="E455" s="51" t="s">
        <v>51</v>
      </c>
      <c r="F455" s="56" t="s">
        <v>8</v>
      </c>
      <c r="G455" s="57">
        <v>0</v>
      </c>
      <c r="H455" s="58">
        <v>0</v>
      </c>
      <c r="J455"/>
    </row>
    <row r="456" spans="1:10" x14ac:dyDescent="0.35">
      <c r="A456" s="49" t="s">
        <v>102</v>
      </c>
      <c r="B456" s="50">
        <v>45962</v>
      </c>
      <c r="C456" s="51" t="s">
        <v>48</v>
      </c>
      <c r="D456" s="51" t="s">
        <v>49</v>
      </c>
      <c r="E456" s="51" t="s">
        <v>51</v>
      </c>
      <c r="F456" s="51" t="s">
        <v>15</v>
      </c>
      <c r="G456" s="52">
        <v>235789.78378378376</v>
      </c>
      <c r="H456" s="53">
        <v>6500</v>
      </c>
      <c r="J456" s="12">
        <f>SUMIFS(Receitas!L:L,Receitas!B:B,'BaseRelatório vOrçamento'!B456,Receitas!G:G,'BaseRelatório vOrçamento'!D456,Receitas!H:H,'BaseRelatório vOrçamento'!E456)</f>
        <v>0</v>
      </c>
    </row>
    <row r="457" spans="1:10" x14ac:dyDescent="0.35">
      <c r="A457" s="54" t="s">
        <v>102</v>
      </c>
      <c r="B457" s="55">
        <v>45962</v>
      </c>
      <c r="C457" s="56" t="s">
        <v>48</v>
      </c>
      <c r="D457" s="56" t="s">
        <v>49</v>
      </c>
      <c r="E457" s="51" t="s">
        <v>51</v>
      </c>
      <c r="F457" s="56" t="s">
        <v>65</v>
      </c>
      <c r="G457" s="57">
        <v>0</v>
      </c>
      <c r="H457" s="58">
        <v>0</v>
      </c>
      <c r="J457"/>
    </row>
    <row r="458" spans="1:10" x14ac:dyDescent="0.35">
      <c r="A458" s="49" t="s">
        <v>118</v>
      </c>
      <c r="B458" s="50">
        <v>45962</v>
      </c>
      <c r="C458" s="51" t="s">
        <v>22</v>
      </c>
      <c r="D458" s="51" t="s">
        <v>11</v>
      </c>
      <c r="E458" s="51" t="s">
        <v>209</v>
      </c>
      <c r="F458" s="51" t="s">
        <v>7</v>
      </c>
      <c r="G458" s="52">
        <v>0</v>
      </c>
      <c r="H458" s="53">
        <v>0</v>
      </c>
      <c r="J458"/>
    </row>
    <row r="459" spans="1:10" x14ac:dyDescent="0.35">
      <c r="A459" s="54" t="s">
        <v>118</v>
      </c>
      <c r="B459" s="55">
        <v>45962</v>
      </c>
      <c r="C459" s="56" t="s">
        <v>22</v>
      </c>
      <c r="D459" s="56" t="s">
        <v>11</v>
      </c>
      <c r="E459" s="51" t="s">
        <v>209</v>
      </c>
      <c r="F459" s="56" t="s">
        <v>8</v>
      </c>
      <c r="G459" s="57">
        <v>0</v>
      </c>
      <c r="H459" s="58">
        <v>0</v>
      </c>
      <c r="J459"/>
    </row>
    <row r="460" spans="1:10" x14ac:dyDescent="0.35">
      <c r="A460" s="49" t="s">
        <v>190</v>
      </c>
      <c r="B460" s="50">
        <v>45962</v>
      </c>
      <c r="C460" s="51" t="s">
        <v>22</v>
      </c>
      <c r="D460" s="51" t="s">
        <v>11</v>
      </c>
      <c r="E460" s="51" t="s">
        <v>116</v>
      </c>
      <c r="F460" s="51" t="s">
        <v>15</v>
      </c>
      <c r="G460" s="52">
        <v>59115.789473684214</v>
      </c>
      <c r="H460" s="53">
        <v>2000</v>
      </c>
      <c r="J460" s="12">
        <f>SUMIFS(Receitas!L:L,Receitas!B:B,'BaseRelatório vOrçamento'!B460,Receitas!G:G,'BaseRelatório vOrçamento'!D460,Receitas!H:H,'BaseRelatório vOrçamento'!E460)</f>
        <v>0</v>
      </c>
    </row>
    <row r="461" spans="1:10" x14ac:dyDescent="0.35">
      <c r="A461" s="54" t="s">
        <v>118</v>
      </c>
      <c r="B461" s="55">
        <v>45962</v>
      </c>
      <c r="C461" s="56" t="s">
        <v>22</v>
      </c>
      <c r="D461" s="56" t="s">
        <v>11</v>
      </c>
      <c r="E461" s="51" t="s">
        <v>209</v>
      </c>
      <c r="F461" s="56" t="s">
        <v>65</v>
      </c>
      <c r="G461" s="57">
        <v>0</v>
      </c>
      <c r="H461" s="58">
        <v>0</v>
      </c>
      <c r="J461"/>
    </row>
    <row r="462" spans="1:10" x14ac:dyDescent="0.35">
      <c r="A462" s="49" t="s">
        <v>172</v>
      </c>
      <c r="B462" s="50">
        <v>45962</v>
      </c>
      <c r="C462" s="51" t="s">
        <v>22</v>
      </c>
      <c r="D462" s="51" t="s">
        <v>11</v>
      </c>
      <c r="E462" s="51" t="s">
        <v>13</v>
      </c>
      <c r="F462" s="51" t="s">
        <v>7</v>
      </c>
      <c r="G462" s="52">
        <v>0</v>
      </c>
      <c r="H462" s="53">
        <v>0</v>
      </c>
      <c r="J462"/>
    </row>
    <row r="463" spans="1:10" x14ac:dyDescent="0.35">
      <c r="A463" s="54" t="s">
        <v>172</v>
      </c>
      <c r="B463" s="55">
        <v>45962</v>
      </c>
      <c r="C463" s="56" t="s">
        <v>22</v>
      </c>
      <c r="D463" s="56" t="s">
        <v>11</v>
      </c>
      <c r="E463" s="51" t="s">
        <v>13</v>
      </c>
      <c r="F463" s="56" t="s">
        <v>8</v>
      </c>
      <c r="G463" s="57">
        <v>0</v>
      </c>
      <c r="H463" s="58">
        <v>0</v>
      </c>
      <c r="J463"/>
    </row>
    <row r="464" spans="1:10" x14ac:dyDescent="0.35">
      <c r="A464" s="49" t="s">
        <v>172</v>
      </c>
      <c r="B464" s="50">
        <v>45962</v>
      </c>
      <c r="C464" s="51" t="s">
        <v>22</v>
      </c>
      <c r="D464" s="51" t="s">
        <v>11</v>
      </c>
      <c r="E464" s="51" t="s">
        <v>13</v>
      </c>
      <c r="F464" s="51" t="s">
        <v>15</v>
      </c>
      <c r="G464" s="52">
        <v>0</v>
      </c>
      <c r="H464" s="53">
        <v>0</v>
      </c>
      <c r="J464" s="12">
        <f>SUMIFS(Receitas!L:L,Receitas!B:B,'BaseRelatório vOrçamento'!B464,Receitas!G:G,'BaseRelatório vOrçamento'!D464,Receitas!H:H,'BaseRelatório vOrçamento'!E464)</f>
        <v>45813.398500000003</v>
      </c>
    </row>
    <row r="465" spans="1:10" x14ac:dyDescent="0.35">
      <c r="A465" s="54" t="s">
        <v>172</v>
      </c>
      <c r="B465" s="55">
        <v>45962</v>
      </c>
      <c r="C465" s="56" t="s">
        <v>22</v>
      </c>
      <c r="D465" s="56" t="s">
        <v>11</v>
      </c>
      <c r="E465" s="51" t="s">
        <v>13</v>
      </c>
      <c r="F465" s="56" t="s">
        <v>65</v>
      </c>
      <c r="G465" s="57">
        <v>0</v>
      </c>
      <c r="H465" s="58">
        <v>0</v>
      </c>
      <c r="J465"/>
    </row>
    <row r="466" spans="1:10" x14ac:dyDescent="0.35">
      <c r="A466" s="49" t="s">
        <v>149</v>
      </c>
      <c r="B466" s="50">
        <v>45962</v>
      </c>
      <c r="C466" s="51" t="s">
        <v>23</v>
      </c>
      <c r="D466" s="51" t="s">
        <v>112</v>
      </c>
      <c r="E466" s="51" t="s">
        <v>113</v>
      </c>
      <c r="F466" s="51" t="s">
        <v>7</v>
      </c>
      <c r="G466" s="52">
        <v>0</v>
      </c>
      <c r="H466" s="53">
        <v>0</v>
      </c>
      <c r="J466"/>
    </row>
    <row r="467" spans="1:10" x14ac:dyDescent="0.35">
      <c r="A467" s="54" t="s">
        <v>149</v>
      </c>
      <c r="B467" s="55">
        <v>45962</v>
      </c>
      <c r="C467" s="56" t="s">
        <v>23</v>
      </c>
      <c r="D467" s="56" t="s">
        <v>112</v>
      </c>
      <c r="E467" s="51" t="s">
        <v>113</v>
      </c>
      <c r="F467" s="56" t="s">
        <v>8</v>
      </c>
      <c r="G467" s="57">
        <v>0</v>
      </c>
      <c r="H467" s="58">
        <v>0</v>
      </c>
      <c r="J467"/>
    </row>
    <row r="468" spans="1:10" x14ac:dyDescent="0.35">
      <c r="A468" s="49" t="s">
        <v>149</v>
      </c>
      <c r="B468" s="50">
        <v>45962</v>
      </c>
      <c r="C468" s="51" t="s">
        <v>23</v>
      </c>
      <c r="D468" s="51" t="s">
        <v>112</v>
      </c>
      <c r="E468" s="51" t="s">
        <v>113</v>
      </c>
      <c r="F468" s="51" t="s">
        <v>15</v>
      </c>
      <c r="G468" s="52">
        <v>89658.947368421053</v>
      </c>
      <c r="H468" s="53">
        <v>4200</v>
      </c>
      <c r="J468" s="12">
        <f>SUMIFS(Receitas!L:L,Receitas!B:B,'BaseRelatório vOrçamento'!B468,Receitas!G:G,'BaseRelatório vOrçamento'!D468,Receitas!H:H,'BaseRelatório vOrçamento'!E468)</f>
        <v>0</v>
      </c>
    </row>
    <row r="469" spans="1:10" x14ac:dyDescent="0.35">
      <c r="A469" s="54" t="s">
        <v>149</v>
      </c>
      <c r="B469" s="55">
        <v>45962</v>
      </c>
      <c r="C469" s="56" t="s">
        <v>23</v>
      </c>
      <c r="D469" s="56" t="s">
        <v>112</v>
      </c>
      <c r="E469" s="51" t="s">
        <v>113</v>
      </c>
      <c r="F469" s="56" t="s">
        <v>65</v>
      </c>
      <c r="G469" s="57">
        <v>0</v>
      </c>
      <c r="H469" s="58">
        <v>0</v>
      </c>
      <c r="J469"/>
    </row>
    <row r="470" spans="1:10" x14ac:dyDescent="0.35">
      <c r="A470" s="49" t="s">
        <v>177</v>
      </c>
      <c r="B470" s="50">
        <v>45962</v>
      </c>
      <c r="C470" s="51" t="s">
        <v>46</v>
      </c>
      <c r="D470" s="51" t="s">
        <v>87</v>
      </c>
      <c r="E470" s="51" t="s">
        <v>9</v>
      </c>
      <c r="F470" s="51" t="s">
        <v>7</v>
      </c>
      <c r="G470" s="52">
        <v>0</v>
      </c>
      <c r="H470" s="53">
        <v>0</v>
      </c>
      <c r="J470"/>
    </row>
    <row r="471" spans="1:10" x14ac:dyDescent="0.35">
      <c r="A471" s="54" t="s">
        <v>177</v>
      </c>
      <c r="B471" s="55">
        <v>45962</v>
      </c>
      <c r="C471" s="56" t="s">
        <v>46</v>
      </c>
      <c r="D471" s="56" t="s">
        <v>87</v>
      </c>
      <c r="E471" s="51" t="s">
        <v>9</v>
      </c>
      <c r="F471" s="56" t="s">
        <v>8</v>
      </c>
      <c r="G471" s="57">
        <v>0</v>
      </c>
      <c r="H471" s="58">
        <v>0</v>
      </c>
      <c r="J471"/>
    </row>
    <row r="472" spans="1:10" x14ac:dyDescent="0.35">
      <c r="A472" s="49" t="s">
        <v>177</v>
      </c>
      <c r="B472" s="50">
        <v>45962</v>
      </c>
      <c r="C472" s="51" t="s">
        <v>46</v>
      </c>
      <c r="D472" s="51" t="s">
        <v>87</v>
      </c>
      <c r="E472" s="51" t="s">
        <v>9</v>
      </c>
      <c r="F472" s="51" t="s">
        <v>15</v>
      </c>
      <c r="G472" s="52">
        <v>142504.12724210526</v>
      </c>
      <c r="H472" s="53">
        <v>4200</v>
      </c>
      <c r="J472" s="12">
        <f>SUMIFS(Receitas!L:L,Receitas!B:B,'BaseRelatório vOrçamento'!B472,Receitas!G:G,'BaseRelatório vOrçamento'!D472,Receitas!H:H,'BaseRelatório vOrçamento'!E472)</f>
        <v>69273.33</v>
      </c>
    </row>
    <row r="473" spans="1:10" x14ac:dyDescent="0.35">
      <c r="A473" s="54" t="s">
        <v>177</v>
      </c>
      <c r="B473" s="55">
        <v>45962</v>
      </c>
      <c r="C473" s="56" t="s">
        <v>46</v>
      </c>
      <c r="D473" s="56" t="s">
        <v>87</v>
      </c>
      <c r="E473" s="51" t="s">
        <v>9</v>
      </c>
      <c r="F473" s="56" t="s">
        <v>65</v>
      </c>
      <c r="G473" s="57">
        <v>0</v>
      </c>
      <c r="H473" s="58">
        <v>0</v>
      </c>
      <c r="J473"/>
    </row>
    <row r="474" spans="1:10" x14ac:dyDescent="0.35">
      <c r="A474" s="49" t="s">
        <v>194</v>
      </c>
      <c r="B474" s="50">
        <v>45809</v>
      </c>
      <c r="C474" s="51" t="s">
        <v>25</v>
      </c>
      <c r="D474" s="51" t="s">
        <v>12</v>
      </c>
      <c r="E474" s="51" t="s">
        <v>9</v>
      </c>
      <c r="F474" s="51" t="s">
        <v>65</v>
      </c>
      <c r="G474" s="52">
        <v>0</v>
      </c>
      <c r="H474" s="53">
        <v>0</v>
      </c>
      <c r="J474"/>
    </row>
    <row r="475" spans="1:10" x14ac:dyDescent="0.35">
      <c r="A475" s="54" t="s">
        <v>169</v>
      </c>
      <c r="B475" s="55">
        <v>45809</v>
      </c>
      <c r="C475" s="56" t="s">
        <v>25</v>
      </c>
      <c r="D475" s="56" t="s">
        <v>12</v>
      </c>
      <c r="E475" s="51" t="s">
        <v>170</v>
      </c>
      <c r="F475" s="56" t="s">
        <v>7</v>
      </c>
      <c r="G475" s="57">
        <v>0</v>
      </c>
      <c r="H475" s="62">
        <v>0</v>
      </c>
      <c r="J475"/>
    </row>
    <row r="476" spans="1:10" x14ac:dyDescent="0.35">
      <c r="A476" s="49" t="s">
        <v>169</v>
      </c>
      <c r="B476" s="50">
        <v>45809</v>
      </c>
      <c r="C476" s="51" t="s">
        <v>25</v>
      </c>
      <c r="D476" s="51" t="s">
        <v>12</v>
      </c>
      <c r="E476" s="51" t="s">
        <v>170</v>
      </c>
      <c r="F476" s="51" t="s">
        <v>8</v>
      </c>
      <c r="G476" s="52">
        <v>0</v>
      </c>
      <c r="H476" s="61">
        <v>0</v>
      </c>
      <c r="J476"/>
    </row>
    <row r="477" spans="1:10" x14ac:dyDescent="0.35">
      <c r="A477" s="54" t="s">
        <v>169</v>
      </c>
      <c r="B477" s="55">
        <v>45809</v>
      </c>
      <c r="C477" s="56" t="s">
        <v>25</v>
      </c>
      <c r="D477" s="56" t="s">
        <v>12</v>
      </c>
      <c r="E477" s="51" t="s">
        <v>170</v>
      </c>
      <c r="F477" s="56" t="s">
        <v>15</v>
      </c>
      <c r="G477" s="57">
        <v>0</v>
      </c>
      <c r="H477" s="62">
        <v>0</v>
      </c>
      <c r="J477" s="12">
        <f>SUMIFS(Receitas!L:L,Receitas!B:B,'BaseRelatório vOrçamento'!B477,Receitas!G:G,'BaseRelatório vOrçamento'!D477,Receitas!H:H,'BaseRelatório vOrçamento'!E477)</f>
        <v>118310.39999999999</v>
      </c>
    </row>
    <row r="478" spans="1:10" x14ac:dyDescent="0.35">
      <c r="A478" s="49" t="s">
        <v>134</v>
      </c>
      <c r="B478" s="50">
        <v>45962</v>
      </c>
      <c r="C478" s="51" t="s">
        <v>57</v>
      </c>
      <c r="D478" s="51" t="s">
        <v>58</v>
      </c>
      <c r="E478" s="51" t="s">
        <v>10</v>
      </c>
      <c r="F478" s="51" t="s">
        <v>7</v>
      </c>
      <c r="G478" s="52">
        <v>0</v>
      </c>
      <c r="H478" s="53">
        <v>0</v>
      </c>
      <c r="J478"/>
    </row>
    <row r="479" spans="1:10" x14ac:dyDescent="0.35">
      <c r="A479" s="54" t="s">
        <v>134</v>
      </c>
      <c r="B479" s="55">
        <v>45962</v>
      </c>
      <c r="C479" s="56" t="s">
        <v>57</v>
      </c>
      <c r="D479" s="56" t="s">
        <v>58</v>
      </c>
      <c r="E479" s="51" t="s">
        <v>10</v>
      </c>
      <c r="F479" s="56" t="s">
        <v>8</v>
      </c>
      <c r="G479" s="57">
        <v>0</v>
      </c>
      <c r="H479" s="58">
        <v>0</v>
      </c>
      <c r="J479"/>
    </row>
    <row r="480" spans="1:10" x14ac:dyDescent="0.35">
      <c r="A480" s="49" t="s">
        <v>134</v>
      </c>
      <c r="B480" s="50">
        <v>45962</v>
      </c>
      <c r="C480" s="51" t="s">
        <v>57</v>
      </c>
      <c r="D480" s="51" t="s">
        <v>58</v>
      </c>
      <c r="E480" s="51" t="s">
        <v>10</v>
      </c>
      <c r="F480" s="51" t="s">
        <v>15</v>
      </c>
      <c r="G480" s="52">
        <v>17311.068923076924</v>
      </c>
      <c r="H480" s="53">
        <v>550</v>
      </c>
      <c r="J480" s="12">
        <f>SUMIFS(Receitas!L:L,Receitas!B:B,'BaseRelatório vOrçamento'!B480,Receitas!G:G,'BaseRelatório vOrçamento'!D480,Receitas!H:H,'BaseRelatório vOrçamento'!E480)</f>
        <v>34144</v>
      </c>
    </row>
    <row r="481" spans="1:10" x14ac:dyDescent="0.35">
      <c r="A481" s="54" t="s">
        <v>134</v>
      </c>
      <c r="B481" s="55">
        <v>45962</v>
      </c>
      <c r="C481" s="56" t="s">
        <v>57</v>
      </c>
      <c r="D481" s="56" t="s">
        <v>58</v>
      </c>
      <c r="E481" s="51" t="s">
        <v>10</v>
      </c>
      <c r="F481" s="56" t="s">
        <v>65</v>
      </c>
      <c r="G481" s="57">
        <v>0</v>
      </c>
      <c r="H481" s="58">
        <v>0</v>
      </c>
      <c r="J481"/>
    </row>
    <row r="482" spans="1:10" x14ac:dyDescent="0.35">
      <c r="A482" s="59">
        <v>20105</v>
      </c>
      <c r="B482" s="50">
        <v>45962</v>
      </c>
      <c r="C482" s="51" t="s">
        <v>26</v>
      </c>
      <c r="D482" s="51" t="s">
        <v>19</v>
      </c>
      <c r="E482" s="51" t="s">
        <v>209</v>
      </c>
      <c r="F482" s="51" t="s">
        <v>7</v>
      </c>
      <c r="G482" s="52">
        <v>0</v>
      </c>
      <c r="H482" s="53">
        <v>0</v>
      </c>
      <c r="J482"/>
    </row>
    <row r="483" spans="1:10" x14ac:dyDescent="0.35">
      <c r="A483" s="60">
        <v>20105</v>
      </c>
      <c r="B483" s="55">
        <v>45962</v>
      </c>
      <c r="C483" s="56" t="s">
        <v>26</v>
      </c>
      <c r="D483" s="56" t="s">
        <v>19</v>
      </c>
      <c r="E483" s="51" t="s">
        <v>209</v>
      </c>
      <c r="F483" s="56" t="s">
        <v>8</v>
      </c>
      <c r="G483" s="57">
        <v>0</v>
      </c>
      <c r="H483" s="58">
        <v>0</v>
      </c>
      <c r="J483"/>
    </row>
    <row r="484" spans="1:10" x14ac:dyDescent="0.35">
      <c r="A484" s="59">
        <v>20105</v>
      </c>
      <c r="B484" s="50">
        <v>45962</v>
      </c>
      <c r="C484" s="51" t="s">
        <v>26</v>
      </c>
      <c r="D484" s="51" t="s">
        <v>19</v>
      </c>
      <c r="E484" s="51" t="s">
        <v>13</v>
      </c>
      <c r="F484" s="51" t="s">
        <v>15</v>
      </c>
      <c r="G484" s="52">
        <v>16933.880412371134</v>
      </c>
      <c r="H484" s="53">
        <v>545</v>
      </c>
      <c r="J484" s="12">
        <f>SUMIFS(Receitas!L:L,Receitas!B:B,'BaseRelatório vOrçamento'!B484,Receitas!G:G,'BaseRelatório vOrçamento'!D484,Receitas!H:H,'BaseRelatório vOrçamento'!E484)</f>
        <v>14280</v>
      </c>
    </row>
    <row r="485" spans="1:10" x14ac:dyDescent="0.35">
      <c r="A485" s="60">
        <v>20105</v>
      </c>
      <c r="B485" s="55">
        <v>45962</v>
      </c>
      <c r="C485" s="56" t="s">
        <v>26</v>
      </c>
      <c r="D485" s="56" t="s">
        <v>19</v>
      </c>
      <c r="E485" s="51" t="s">
        <v>209</v>
      </c>
      <c r="F485" s="56" t="s">
        <v>65</v>
      </c>
      <c r="G485" s="57">
        <v>0</v>
      </c>
      <c r="H485" s="58">
        <v>0</v>
      </c>
      <c r="J485"/>
    </row>
    <row r="486" spans="1:10" x14ac:dyDescent="0.35">
      <c r="A486" s="49" t="s">
        <v>142</v>
      </c>
      <c r="B486" s="50">
        <v>45992</v>
      </c>
      <c r="C486" s="51" t="s">
        <v>48</v>
      </c>
      <c r="D486" s="51" t="s">
        <v>49</v>
      </c>
      <c r="E486" s="51" t="s">
        <v>52</v>
      </c>
      <c r="F486" s="51" t="s">
        <v>7</v>
      </c>
      <c r="G486" s="52">
        <v>0</v>
      </c>
      <c r="H486" s="53">
        <v>0</v>
      </c>
      <c r="J486"/>
    </row>
    <row r="487" spans="1:10" x14ac:dyDescent="0.35">
      <c r="A487" s="54" t="s">
        <v>142</v>
      </c>
      <c r="B487" s="55">
        <v>45992</v>
      </c>
      <c r="C487" s="56" t="s">
        <v>48</v>
      </c>
      <c r="D487" s="56" t="s">
        <v>49</v>
      </c>
      <c r="E487" s="51" t="s">
        <v>52</v>
      </c>
      <c r="F487" s="56" t="s">
        <v>8</v>
      </c>
      <c r="G487" s="57">
        <v>0</v>
      </c>
      <c r="H487" s="58">
        <v>0</v>
      </c>
      <c r="J487"/>
    </row>
    <row r="488" spans="1:10" x14ac:dyDescent="0.35">
      <c r="A488" s="49" t="s">
        <v>142</v>
      </c>
      <c r="B488" s="50">
        <v>45992</v>
      </c>
      <c r="C488" s="51" t="s">
        <v>48</v>
      </c>
      <c r="D488" s="51" t="s">
        <v>49</v>
      </c>
      <c r="E488" s="51" t="s">
        <v>52</v>
      </c>
      <c r="F488" s="51" t="s">
        <v>15</v>
      </c>
      <c r="G488" s="52">
        <v>93380.944864864854</v>
      </c>
      <c r="H488" s="53">
        <v>2040</v>
      </c>
      <c r="J488" s="12">
        <f>SUMIFS(Receitas!L:L,Receitas!B:B,'BaseRelatório vOrçamento'!B488,Receitas!G:G,'BaseRelatório vOrçamento'!D488,Receitas!H:H,'BaseRelatório vOrçamento'!E488)</f>
        <v>93135.97</v>
      </c>
    </row>
    <row r="489" spans="1:10" x14ac:dyDescent="0.35">
      <c r="A489" s="54" t="s">
        <v>142</v>
      </c>
      <c r="B489" s="55">
        <v>45992</v>
      </c>
      <c r="C489" s="56" t="s">
        <v>48</v>
      </c>
      <c r="D489" s="56" t="s">
        <v>49</v>
      </c>
      <c r="E489" s="51" t="s">
        <v>52</v>
      </c>
      <c r="F489" s="56" t="s">
        <v>65</v>
      </c>
      <c r="G489" s="57">
        <v>0</v>
      </c>
      <c r="H489" s="58">
        <v>0</v>
      </c>
      <c r="J489"/>
    </row>
    <row r="490" spans="1:10" x14ac:dyDescent="0.35">
      <c r="A490" s="49" t="s">
        <v>139</v>
      </c>
      <c r="B490" s="50">
        <v>45992</v>
      </c>
      <c r="C490" s="51" t="s">
        <v>48</v>
      </c>
      <c r="D490" s="51" t="s">
        <v>49</v>
      </c>
      <c r="E490" s="51" t="s">
        <v>14</v>
      </c>
      <c r="F490" s="51" t="s">
        <v>7</v>
      </c>
      <c r="G490" s="52">
        <v>0</v>
      </c>
      <c r="H490" s="53">
        <v>0</v>
      </c>
      <c r="J490"/>
    </row>
    <row r="491" spans="1:10" x14ac:dyDescent="0.35">
      <c r="A491" s="54" t="s">
        <v>139</v>
      </c>
      <c r="B491" s="55">
        <v>45992</v>
      </c>
      <c r="C491" s="56" t="s">
        <v>48</v>
      </c>
      <c r="D491" s="56" t="s">
        <v>49</v>
      </c>
      <c r="E491" s="51" t="s">
        <v>14</v>
      </c>
      <c r="F491" s="56" t="s">
        <v>8</v>
      </c>
      <c r="G491" s="57">
        <v>0</v>
      </c>
      <c r="H491" s="58">
        <v>0</v>
      </c>
      <c r="J491"/>
    </row>
    <row r="492" spans="1:10" x14ac:dyDescent="0.35">
      <c r="A492" s="49" t="s">
        <v>139</v>
      </c>
      <c r="B492" s="50">
        <v>45992</v>
      </c>
      <c r="C492" s="51" t="s">
        <v>48</v>
      </c>
      <c r="D492" s="51" t="s">
        <v>49</v>
      </c>
      <c r="E492" s="51" t="s">
        <v>14</v>
      </c>
      <c r="F492" s="51" t="s">
        <v>15</v>
      </c>
      <c r="G492" s="52">
        <v>29992.621621621623</v>
      </c>
      <c r="H492" s="53">
        <v>1500</v>
      </c>
      <c r="J492" s="12">
        <f>SUMIFS(Receitas!L:L,Receitas!B:B,'BaseRelatório vOrçamento'!B492,Receitas!G:G,'BaseRelatório vOrçamento'!D492,Receitas!H:H,'BaseRelatório vOrçamento'!E492)</f>
        <v>18418.38</v>
      </c>
    </row>
    <row r="493" spans="1:10" x14ac:dyDescent="0.35">
      <c r="A493" s="54" t="s">
        <v>139</v>
      </c>
      <c r="B493" s="55">
        <v>45992</v>
      </c>
      <c r="C493" s="56" t="s">
        <v>48</v>
      </c>
      <c r="D493" s="56" t="s">
        <v>49</v>
      </c>
      <c r="E493" s="51" t="s">
        <v>14</v>
      </c>
      <c r="F493" s="56" t="s">
        <v>65</v>
      </c>
      <c r="G493" s="57">
        <v>0</v>
      </c>
      <c r="H493" s="58">
        <v>0</v>
      </c>
      <c r="J493"/>
    </row>
    <row r="494" spans="1:10" x14ac:dyDescent="0.35">
      <c r="A494" s="49" t="s">
        <v>25</v>
      </c>
      <c r="B494" s="50">
        <v>45992</v>
      </c>
      <c r="C494" s="51" t="s">
        <v>48</v>
      </c>
      <c r="D494" s="51" t="s">
        <v>49</v>
      </c>
      <c r="E494" s="51" t="s">
        <v>116</v>
      </c>
      <c r="F494" s="51" t="s">
        <v>7</v>
      </c>
      <c r="G494" s="52">
        <v>0</v>
      </c>
      <c r="H494" s="53">
        <v>0</v>
      </c>
      <c r="J494"/>
    </row>
    <row r="495" spans="1:10" x14ac:dyDescent="0.35">
      <c r="A495" s="54" t="s">
        <v>25</v>
      </c>
      <c r="B495" s="55">
        <v>45992</v>
      </c>
      <c r="C495" s="56" t="s">
        <v>48</v>
      </c>
      <c r="D495" s="56" t="s">
        <v>49</v>
      </c>
      <c r="E495" s="51" t="s">
        <v>116</v>
      </c>
      <c r="F495" s="56" t="s">
        <v>8</v>
      </c>
      <c r="G495" s="57">
        <v>0</v>
      </c>
      <c r="H495" s="58">
        <v>0</v>
      </c>
      <c r="J495"/>
    </row>
    <row r="496" spans="1:10" x14ac:dyDescent="0.35">
      <c r="A496" s="49" t="s">
        <v>25</v>
      </c>
      <c r="B496" s="50">
        <v>45992</v>
      </c>
      <c r="C496" s="51" t="s">
        <v>48</v>
      </c>
      <c r="D496" s="51" t="s">
        <v>49</v>
      </c>
      <c r="E496" s="51" t="s">
        <v>116</v>
      </c>
      <c r="F496" s="51" t="s">
        <v>15</v>
      </c>
      <c r="G496" s="52">
        <v>9729.72972972973</v>
      </c>
      <c r="H496" s="53">
        <v>300</v>
      </c>
      <c r="J496" s="12">
        <f>SUMIFS(Receitas!L:L,Receitas!B:B,'BaseRelatório vOrçamento'!B496,Receitas!G:G,'BaseRelatório vOrçamento'!D496,Receitas!H:H,'BaseRelatório vOrçamento'!E496)</f>
        <v>0</v>
      </c>
    </row>
    <row r="497" spans="1:10" x14ac:dyDescent="0.35">
      <c r="A497" s="54" t="s">
        <v>25</v>
      </c>
      <c r="B497" s="55">
        <v>45992</v>
      </c>
      <c r="C497" s="56" t="s">
        <v>48</v>
      </c>
      <c r="D497" s="56" t="s">
        <v>49</v>
      </c>
      <c r="E497" s="51" t="s">
        <v>116</v>
      </c>
      <c r="F497" s="56" t="s">
        <v>65</v>
      </c>
      <c r="G497" s="57">
        <v>0</v>
      </c>
      <c r="H497" s="58">
        <v>0</v>
      </c>
      <c r="J497"/>
    </row>
    <row r="498" spans="1:10" x14ac:dyDescent="0.35">
      <c r="A498" s="49" t="s">
        <v>102</v>
      </c>
      <c r="B498" s="50">
        <v>45992</v>
      </c>
      <c r="C498" s="51" t="s">
        <v>48</v>
      </c>
      <c r="D498" s="51" t="s">
        <v>49</v>
      </c>
      <c r="E498" s="51" t="s">
        <v>51</v>
      </c>
      <c r="F498" s="51" t="s">
        <v>7</v>
      </c>
      <c r="G498" s="52">
        <v>0</v>
      </c>
      <c r="H498" s="53">
        <v>0</v>
      </c>
      <c r="J498"/>
    </row>
    <row r="499" spans="1:10" x14ac:dyDescent="0.35">
      <c r="A499" s="54" t="s">
        <v>102</v>
      </c>
      <c r="B499" s="55">
        <v>45992</v>
      </c>
      <c r="C499" s="56" t="s">
        <v>48</v>
      </c>
      <c r="D499" s="56" t="s">
        <v>49</v>
      </c>
      <c r="E499" s="51" t="s">
        <v>51</v>
      </c>
      <c r="F499" s="56" t="s">
        <v>8</v>
      </c>
      <c r="G499" s="57">
        <v>0</v>
      </c>
      <c r="H499" s="58">
        <v>0</v>
      </c>
      <c r="J499"/>
    </row>
    <row r="500" spans="1:10" x14ac:dyDescent="0.35">
      <c r="A500" s="49" t="s">
        <v>102</v>
      </c>
      <c r="B500" s="50">
        <v>45992</v>
      </c>
      <c r="C500" s="51" t="s">
        <v>48</v>
      </c>
      <c r="D500" s="51" t="s">
        <v>49</v>
      </c>
      <c r="E500" s="51" t="s">
        <v>51</v>
      </c>
      <c r="F500" s="51" t="s">
        <v>15</v>
      </c>
      <c r="G500" s="52">
        <v>235789.78378378376</v>
      </c>
      <c r="H500" s="53">
        <v>6500</v>
      </c>
      <c r="J500" s="12">
        <f>SUMIFS(Receitas!L:L,Receitas!B:B,'BaseRelatório vOrçamento'!B500,Receitas!G:G,'BaseRelatório vOrçamento'!D500,Receitas!H:H,'BaseRelatório vOrçamento'!E500)</f>
        <v>0</v>
      </c>
    </row>
    <row r="501" spans="1:10" x14ac:dyDescent="0.35">
      <c r="A501" s="54" t="s">
        <v>102</v>
      </c>
      <c r="B501" s="55">
        <v>45992</v>
      </c>
      <c r="C501" s="56" t="s">
        <v>48</v>
      </c>
      <c r="D501" s="56" t="s">
        <v>49</v>
      </c>
      <c r="E501" s="51" t="s">
        <v>51</v>
      </c>
      <c r="F501" s="56" t="s">
        <v>65</v>
      </c>
      <c r="G501" s="57">
        <v>0</v>
      </c>
      <c r="H501" s="58">
        <v>0</v>
      </c>
      <c r="J501"/>
    </row>
    <row r="502" spans="1:10" x14ac:dyDescent="0.35">
      <c r="A502" s="49" t="s">
        <v>118</v>
      </c>
      <c r="B502" s="50">
        <v>45992</v>
      </c>
      <c r="C502" s="51" t="s">
        <v>22</v>
      </c>
      <c r="D502" s="51" t="s">
        <v>11</v>
      </c>
      <c r="E502" s="51" t="s">
        <v>209</v>
      </c>
      <c r="F502" s="51" t="s">
        <v>7</v>
      </c>
      <c r="G502" s="52">
        <v>0</v>
      </c>
      <c r="H502" s="53">
        <v>0</v>
      </c>
      <c r="J502"/>
    </row>
    <row r="503" spans="1:10" x14ac:dyDescent="0.35">
      <c r="A503" s="54" t="s">
        <v>118</v>
      </c>
      <c r="B503" s="55">
        <v>45992</v>
      </c>
      <c r="C503" s="56" t="s">
        <v>22</v>
      </c>
      <c r="D503" s="56" t="s">
        <v>11</v>
      </c>
      <c r="E503" s="51" t="s">
        <v>209</v>
      </c>
      <c r="F503" s="56" t="s">
        <v>8</v>
      </c>
      <c r="G503" s="57">
        <v>0</v>
      </c>
      <c r="H503" s="58">
        <v>0</v>
      </c>
      <c r="J503"/>
    </row>
    <row r="504" spans="1:10" x14ac:dyDescent="0.35">
      <c r="A504" s="49" t="s">
        <v>190</v>
      </c>
      <c r="B504" s="50">
        <v>45992</v>
      </c>
      <c r="C504" s="51" t="s">
        <v>22</v>
      </c>
      <c r="D504" s="51" t="s">
        <v>11</v>
      </c>
      <c r="E504" s="51" t="s">
        <v>116</v>
      </c>
      <c r="F504" s="51" t="s">
        <v>15</v>
      </c>
      <c r="G504" s="52">
        <v>59115.789473684214</v>
      </c>
      <c r="H504" s="53">
        <v>2000</v>
      </c>
      <c r="J504" s="12">
        <f>SUMIFS(Receitas!L:L,Receitas!B:B,'BaseRelatório vOrçamento'!B504,Receitas!G:G,'BaseRelatório vOrçamento'!D504,Receitas!H:H,'BaseRelatório vOrçamento'!E504)</f>
        <v>0</v>
      </c>
    </row>
    <row r="505" spans="1:10" x14ac:dyDescent="0.35">
      <c r="A505" s="54" t="s">
        <v>118</v>
      </c>
      <c r="B505" s="55">
        <v>45992</v>
      </c>
      <c r="C505" s="56" t="s">
        <v>22</v>
      </c>
      <c r="D505" s="56" t="s">
        <v>11</v>
      </c>
      <c r="E505" s="51" t="s">
        <v>209</v>
      </c>
      <c r="F505" s="56" t="s">
        <v>65</v>
      </c>
      <c r="G505" s="57">
        <v>0</v>
      </c>
      <c r="H505" s="58">
        <v>0</v>
      </c>
      <c r="J505"/>
    </row>
    <row r="506" spans="1:10" x14ac:dyDescent="0.35">
      <c r="A506" s="49" t="s">
        <v>172</v>
      </c>
      <c r="B506" s="50">
        <v>45992</v>
      </c>
      <c r="C506" s="51" t="s">
        <v>22</v>
      </c>
      <c r="D506" s="51" t="s">
        <v>11</v>
      </c>
      <c r="E506" s="51" t="s">
        <v>13</v>
      </c>
      <c r="F506" s="51" t="s">
        <v>7</v>
      </c>
      <c r="G506" s="52">
        <v>0</v>
      </c>
      <c r="H506" s="53">
        <v>0</v>
      </c>
      <c r="J506"/>
    </row>
    <row r="507" spans="1:10" x14ac:dyDescent="0.35">
      <c r="A507" s="54" t="s">
        <v>172</v>
      </c>
      <c r="B507" s="55">
        <v>45992</v>
      </c>
      <c r="C507" s="56" t="s">
        <v>22</v>
      </c>
      <c r="D507" s="56" t="s">
        <v>11</v>
      </c>
      <c r="E507" s="51" t="s">
        <v>13</v>
      </c>
      <c r="F507" s="56" t="s">
        <v>8</v>
      </c>
      <c r="G507" s="57">
        <v>0</v>
      </c>
      <c r="H507" s="58">
        <v>0</v>
      </c>
      <c r="J507"/>
    </row>
    <row r="508" spans="1:10" x14ac:dyDescent="0.35">
      <c r="A508" s="49" t="s">
        <v>172</v>
      </c>
      <c r="B508" s="50">
        <v>45992</v>
      </c>
      <c r="C508" s="51" t="s">
        <v>22</v>
      </c>
      <c r="D508" s="51" t="s">
        <v>11</v>
      </c>
      <c r="E508" s="51" t="s">
        <v>13</v>
      </c>
      <c r="F508" s="51" t="s">
        <v>15</v>
      </c>
      <c r="G508" s="52">
        <v>0</v>
      </c>
      <c r="H508" s="53">
        <v>0</v>
      </c>
      <c r="J508" s="12">
        <f>SUMIFS(Receitas!L:L,Receitas!B:B,'BaseRelatório vOrçamento'!B508,Receitas!G:G,'BaseRelatório vOrçamento'!D508,Receitas!H:H,'BaseRelatório vOrçamento'!E508)</f>
        <v>30129.645499999999</v>
      </c>
    </row>
    <row r="509" spans="1:10" x14ac:dyDescent="0.35">
      <c r="A509" s="54" t="s">
        <v>172</v>
      </c>
      <c r="B509" s="55">
        <v>45992</v>
      </c>
      <c r="C509" s="56" t="s">
        <v>22</v>
      </c>
      <c r="D509" s="56" t="s">
        <v>11</v>
      </c>
      <c r="E509" s="51" t="s">
        <v>13</v>
      </c>
      <c r="F509" s="56" t="s">
        <v>65</v>
      </c>
      <c r="G509" s="57">
        <v>0</v>
      </c>
      <c r="H509" s="58">
        <v>0</v>
      </c>
      <c r="J509"/>
    </row>
    <row r="510" spans="1:10" x14ac:dyDescent="0.35">
      <c r="A510" s="49" t="s">
        <v>149</v>
      </c>
      <c r="B510" s="50">
        <v>45992</v>
      </c>
      <c r="C510" s="51" t="s">
        <v>23</v>
      </c>
      <c r="D510" s="51" t="s">
        <v>112</v>
      </c>
      <c r="E510" s="51" t="s">
        <v>113</v>
      </c>
      <c r="F510" s="51" t="s">
        <v>7</v>
      </c>
      <c r="G510" s="52">
        <v>0</v>
      </c>
      <c r="H510" s="53">
        <v>0</v>
      </c>
      <c r="J510"/>
    </row>
    <row r="511" spans="1:10" x14ac:dyDescent="0.35">
      <c r="A511" s="54" t="s">
        <v>149</v>
      </c>
      <c r="B511" s="55">
        <v>45992</v>
      </c>
      <c r="C511" s="56" t="s">
        <v>23</v>
      </c>
      <c r="D511" s="56" t="s">
        <v>112</v>
      </c>
      <c r="E511" s="51" t="s">
        <v>113</v>
      </c>
      <c r="F511" s="56" t="s">
        <v>8</v>
      </c>
      <c r="G511" s="57">
        <v>0</v>
      </c>
      <c r="H511" s="58">
        <v>0</v>
      </c>
      <c r="J511"/>
    </row>
    <row r="512" spans="1:10" x14ac:dyDescent="0.35">
      <c r="A512" s="49" t="s">
        <v>149</v>
      </c>
      <c r="B512" s="50">
        <v>45992</v>
      </c>
      <c r="C512" s="51" t="s">
        <v>23</v>
      </c>
      <c r="D512" s="51" t="s">
        <v>112</v>
      </c>
      <c r="E512" s="51" t="s">
        <v>113</v>
      </c>
      <c r="F512" s="51" t="s">
        <v>15</v>
      </c>
      <c r="G512" s="52">
        <v>89658.947368421053</v>
      </c>
      <c r="H512" s="53">
        <v>4200</v>
      </c>
      <c r="J512" s="12">
        <f>SUMIFS(Receitas!L:L,Receitas!B:B,'BaseRelatório vOrçamento'!B512,Receitas!G:G,'BaseRelatório vOrçamento'!D512,Receitas!H:H,'BaseRelatório vOrçamento'!E512)</f>
        <v>0</v>
      </c>
    </row>
    <row r="513" spans="1:10" x14ac:dyDescent="0.35">
      <c r="A513" s="54" t="s">
        <v>149</v>
      </c>
      <c r="B513" s="55">
        <v>45992</v>
      </c>
      <c r="C513" s="56" t="s">
        <v>23</v>
      </c>
      <c r="D513" s="56" t="s">
        <v>112</v>
      </c>
      <c r="E513" s="51" t="s">
        <v>113</v>
      </c>
      <c r="F513" s="56" t="s">
        <v>65</v>
      </c>
      <c r="G513" s="57">
        <v>0</v>
      </c>
      <c r="H513" s="58">
        <v>0</v>
      </c>
      <c r="J513"/>
    </row>
    <row r="514" spans="1:10" x14ac:dyDescent="0.35">
      <c r="A514" s="49" t="s">
        <v>177</v>
      </c>
      <c r="B514" s="50">
        <v>45992</v>
      </c>
      <c r="C514" s="51" t="s">
        <v>46</v>
      </c>
      <c r="D514" s="51" t="s">
        <v>87</v>
      </c>
      <c r="E514" s="51" t="s">
        <v>9</v>
      </c>
      <c r="F514" s="51" t="s">
        <v>7</v>
      </c>
      <c r="G514" s="52">
        <v>0</v>
      </c>
      <c r="H514" s="53">
        <v>0</v>
      </c>
      <c r="J514"/>
    </row>
    <row r="515" spans="1:10" x14ac:dyDescent="0.35">
      <c r="A515" s="54" t="s">
        <v>177</v>
      </c>
      <c r="B515" s="55">
        <v>45992</v>
      </c>
      <c r="C515" s="56" t="s">
        <v>46</v>
      </c>
      <c r="D515" s="56" t="s">
        <v>87</v>
      </c>
      <c r="E515" s="51" t="s">
        <v>9</v>
      </c>
      <c r="F515" s="56" t="s">
        <v>8</v>
      </c>
      <c r="G515" s="57">
        <v>0</v>
      </c>
      <c r="H515" s="58">
        <v>0</v>
      </c>
      <c r="J515"/>
    </row>
    <row r="516" spans="1:10" x14ac:dyDescent="0.35">
      <c r="A516" s="49" t="s">
        <v>177</v>
      </c>
      <c r="B516" s="50">
        <v>45992</v>
      </c>
      <c r="C516" s="51" t="s">
        <v>46</v>
      </c>
      <c r="D516" s="51" t="s">
        <v>87</v>
      </c>
      <c r="E516" s="51" t="s">
        <v>9</v>
      </c>
      <c r="F516" s="51" t="s">
        <v>15</v>
      </c>
      <c r="G516" s="52">
        <v>142504.12724210526</v>
      </c>
      <c r="H516" s="53">
        <v>4200</v>
      </c>
      <c r="J516" s="12">
        <f>SUMIFS(Receitas!L:L,Receitas!B:B,'BaseRelatório vOrçamento'!B516,Receitas!G:G,'BaseRelatório vOrçamento'!D516,Receitas!H:H,'BaseRelatório vOrçamento'!E516)</f>
        <v>65440.853999999999</v>
      </c>
    </row>
    <row r="517" spans="1:10" x14ac:dyDescent="0.35">
      <c r="A517" s="54" t="s">
        <v>177</v>
      </c>
      <c r="B517" s="55">
        <v>45992</v>
      </c>
      <c r="C517" s="56" t="s">
        <v>46</v>
      </c>
      <c r="D517" s="56" t="s">
        <v>87</v>
      </c>
      <c r="E517" s="51" t="s">
        <v>9</v>
      </c>
      <c r="F517" s="56" t="s">
        <v>65</v>
      </c>
      <c r="G517" s="57">
        <v>0</v>
      </c>
      <c r="H517" s="58">
        <v>0</v>
      </c>
      <c r="J517"/>
    </row>
    <row r="518" spans="1:10" x14ac:dyDescent="0.35">
      <c r="A518" s="49" t="s">
        <v>169</v>
      </c>
      <c r="B518" s="50">
        <v>45809</v>
      </c>
      <c r="C518" s="51" t="s">
        <v>25</v>
      </c>
      <c r="D518" s="51" t="s">
        <v>12</v>
      </c>
      <c r="E518" s="51" t="s">
        <v>170</v>
      </c>
      <c r="F518" s="51" t="s">
        <v>65</v>
      </c>
      <c r="G518" s="52">
        <v>0</v>
      </c>
      <c r="H518" s="61">
        <v>0</v>
      </c>
      <c r="J518"/>
    </row>
    <row r="519" spans="1:10" x14ac:dyDescent="0.35">
      <c r="A519" s="54" t="s">
        <v>194</v>
      </c>
      <c r="B519" s="55">
        <v>45839</v>
      </c>
      <c r="C519" s="56" t="s">
        <v>25</v>
      </c>
      <c r="D519" s="56" t="s">
        <v>12</v>
      </c>
      <c r="E519" s="51" t="s">
        <v>9</v>
      </c>
      <c r="F519" s="56" t="s">
        <v>7</v>
      </c>
      <c r="G519" s="57">
        <v>0</v>
      </c>
      <c r="H519" s="58">
        <v>0</v>
      </c>
      <c r="J519"/>
    </row>
    <row r="520" spans="1:10" x14ac:dyDescent="0.35">
      <c r="A520" s="49" t="s">
        <v>194</v>
      </c>
      <c r="B520" s="50">
        <v>45839</v>
      </c>
      <c r="C520" s="51" t="s">
        <v>25</v>
      </c>
      <c r="D520" s="51" t="s">
        <v>12</v>
      </c>
      <c r="E520" s="51" t="s">
        <v>9</v>
      </c>
      <c r="F520" s="51" t="s">
        <v>8</v>
      </c>
      <c r="G520" s="52">
        <v>0</v>
      </c>
      <c r="H520" s="53">
        <v>0</v>
      </c>
      <c r="J520"/>
    </row>
    <row r="521" spans="1:10" x14ac:dyDescent="0.35">
      <c r="A521" s="54" t="s">
        <v>194</v>
      </c>
      <c r="B521" s="55">
        <v>45839</v>
      </c>
      <c r="C521" s="56" t="s">
        <v>25</v>
      </c>
      <c r="D521" s="56" t="s">
        <v>12</v>
      </c>
      <c r="E521" s="51" t="s">
        <v>9</v>
      </c>
      <c r="F521" s="56" t="s">
        <v>15</v>
      </c>
      <c r="G521" s="57">
        <v>170951.70214033333</v>
      </c>
      <c r="H521" s="58">
        <v>6100</v>
      </c>
      <c r="J521" s="12">
        <f>SUMIFS(Receitas!L:L,Receitas!B:B,'BaseRelatório vOrçamento'!B521,Receitas!G:G,'BaseRelatório vOrçamento'!D521,Receitas!H:H,'BaseRelatório vOrçamento'!E521)</f>
        <v>498854.478</v>
      </c>
    </row>
    <row r="522" spans="1:10" x14ac:dyDescent="0.35">
      <c r="A522" s="49" t="s">
        <v>134</v>
      </c>
      <c r="B522" s="50">
        <v>45992</v>
      </c>
      <c r="C522" s="51" t="s">
        <v>57</v>
      </c>
      <c r="D522" s="51" t="s">
        <v>58</v>
      </c>
      <c r="E522" s="51" t="s">
        <v>10</v>
      </c>
      <c r="F522" s="51" t="s">
        <v>7</v>
      </c>
      <c r="G522" s="52">
        <v>0</v>
      </c>
      <c r="H522" s="53">
        <v>0</v>
      </c>
      <c r="J522"/>
    </row>
    <row r="523" spans="1:10" x14ac:dyDescent="0.35">
      <c r="A523" s="54" t="s">
        <v>134</v>
      </c>
      <c r="B523" s="55">
        <v>45992</v>
      </c>
      <c r="C523" s="56" t="s">
        <v>57</v>
      </c>
      <c r="D523" s="56" t="s">
        <v>58</v>
      </c>
      <c r="E523" s="51" t="s">
        <v>10</v>
      </c>
      <c r="F523" s="56" t="s">
        <v>8</v>
      </c>
      <c r="G523" s="57">
        <v>0</v>
      </c>
      <c r="H523" s="58">
        <v>0</v>
      </c>
      <c r="J523"/>
    </row>
    <row r="524" spans="1:10" x14ac:dyDescent="0.35">
      <c r="A524" s="49" t="s">
        <v>134</v>
      </c>
      <c r="B524" s="50">
        <v>45992</v>
      </c>
      <c r="C524" s="51" t="s">
        <v>57</v>
      </c>
      <c r="D524" s="51" t="s">
        <v>58</v>
      </c>
      <c r="E524" s="51" t="s">
        <v>10</v>
      </c>
      <c r="F524" s="51" t="s">
        <v>15</v>
      </c>
      <c r="G524" s="52">
        <v>17311.068923076924</v>
      </c>
      <c r="H524" s="53">
        <v>550</v>
      </c>
      <c r="J524" s="12">
        <f>SUMIFS(Receitas!L:L,Receitas!B:B,'BaseRelatório vOrçamento'!B524,Receitas!G:G,'BaseRelatório vOrçamento'!D524,Receitas!H:H,'BaseRelatório vOrçamento'!E524)</f>
        <v>35019.49</v>
      </c>
    </row>
    <row r="525" spans="1:10" x14ac:dyDescent="0.35">
      <c r="A525" s="54" t="s">
        <v>134</v>
      </c>
      <c r="B525" s="55">
        <v>45992</v>
      </c>
      <c r="C525" s="56" t="s">
        <v>57</v>
      </c>
      <c r="D525" s="56" t="s">
        <v>58</v>
      </c>
      <c r="E525" s="51" t="s">
        <v>10</v>
      </c>
      <c r="F525" s="56" t="s">
        <v>65</v>
      </c>
      <c r="G525" s="57">
        <v>0</v>
      </c>
      <c r="H525" s="58">
        <v>0</v>
      </c>
      <c r="J525"/>
    </row>
    <row r="526" spans="1:10" x14ac:dyDescent="0.35">
      <c r="A526" s="59">
        <v>20105</v>
      </c>
      <c r="B526" s="50">
        <v>45992</v>
      </c>
      <c r="C526" s="51" t="s">
        <v>26</v>
      </c>
      <c r="D526" s="51" t="s">
        <v>19</v>
      </c>
      <c r="E526" s="51" t="s">
        <v>209</v>
      </c>
      <c r="F526" s="51" t="s">
        <v>7</v>
      </c>
      <c r="G526" s="52">
        <v>0</v>
      </c>
      <c r="H526" s="53">
        <v>0</v>
      </c>
      <c r="J526"/>
    </row>
    <row r="527" spans="1:10" x14ac:dyDescent="0.35">
      <c r="A527" s="60">
        <v>20105</v>
      </c>
      <c r="B527" s="55">
        <v>45992</v>
      </c>
      <c r="C527" s="56" t="s">
        <v>26</v>
      </c>
      <c r="D527" s="56" t="s">
        <v>19</v>
      </c>
      <c r="E527" s="51" t="s">
        <v>209</v>
      </c>
      <c r="F527" s="56" t="s">
        <v>8</v>
      </c>
      <c r="G527" s="57">
        <v>0</v>
      </c>
      <c r="H527" s="58">
        <v>0</v>
      </c>
      <c r="J527"/>
    </row>
    <row r="528" spans="1:10" x14ac:dyDescent="0.35">
      <c r="A528" s="59">
        <v>20105</v>
      </c>
      <c r="B528" s="50">
        <v>45992</v>
      </c>
      <c r="C528" s="51" t="s">
        <v>26</v>
      </c>
      <c r="D528" s="51" t="s">
        <v>19</v>
      </c>
      <c r="E528" s="51" t="s">
        <v>13</v>
      </c>
      <c r="F528" s="51" t="s">
        <v>15</v>
      </c>
      <c r="G528" s="52">
        <v>16933.880412371134</v>
      </c>
      <c r="H528" s="53">
        <v>545</v>
      </c>
      <c r="J528" s="12">
        <f>SUMIFS(Receitas!L:L,Receitas!B:B,'BaseRelatório vOrçamento'!B528,Receitas!G:G,'BaseRelatório vOrçamento'!D528,Receitas!H:H,'BaseRelatório vOrçamento'!E528)</f>
        <v>14280</v>
      </c>
    </row>
    <row r="529" spans="1:10" x14ac:dyDescent="0.35">
      <c r="A529" s="60">
        <v>20105</v>
      </c>
      <c r="B529" s="55">
        <v>45992</v>
      </c>
      <c r="C529" s="56" t="s">
        <v>26</v>
      </c>
      <c r="D529" s="56" t="s">
        <v>19</v>
      </c>
      <c r="E529" s="51" t="s">
        <v>209</v>
      </c>
      <c r="F529" s="56" t="s">
        <v>65</v>
      </c>
      <c r="G529" s="57">
        <v>0</v>
      </c>
      <c r="H529" s="58">
        <v>0</v>
      </c>
      <c r="J529"/>
    </row>
    <row r="530" spans="1:10" x14ac:dyDescent="0.35">
      <c r="A530" s="59">
        <v>49206</v>
      </c>
      <c r="B530" s="50">
        <v>45658</v>
      </c>
      <c r="C530" s="51" t="s">
        <v>57</v>
      </c>
      <c r="D530" s="51" t="s">
        <v>58</v>
      </c>
      <c r="E530" s="51" t="s">
        <v>209</v>
      </c>
      <c r="F530" s="51" t="s">
        <v>7</v>
      </c>
      <c r="G530" s="52">
        <v>0</v>
      </c>
      <c r="H530" s="53">
        <v>0</v>
      </c>
      <c r="J530"/>
    </row>
    <row r="531" spans="1:10" x14ac:dyDescent="0.35">
      <c r="A531" s="60">
        <v>49206</v>
      </c>
      <c r="B531" s="55">
        <v>45658</v>
      </c>
      <c r="C531" s="56" t="s">
        <v>57</v>
      </c>
      <c r="D531" s="56" t="s">
        <v>58</v>
      </c>
      <c r="E531" s="51" t="s">
        <v>209</v>
      </c>
      <c r="F531" s="56" t="s">
        <v>8</v>
      </c>
      <c r="G531" s="57">
        <v>0</v>
      </c>
      <c r="H531" s="58">
        <v>0</v>
      </c>
      <c r="J531"/>
    </row>
    <row r="532" spans="1:10" x14ac:dyDescent="0.35">
      <c r="A532" s="59">
        <v>49206</v>
      </c>
      <c r="B532" s="50">
        <v>45658</v>
      </c>
      <c r="C532" s="51" t="s">
        <v>57</v>
      </c>
      <c r="D532" s="51" t="s">
        <v>58</v>
      </c>
      <c r="E532" s="51" t="s">
        <v>6</v>
      </c>
      <c r="F532" s="51" t="s">
        <v>15</v>
      </c>
      <c r="G532" s="52">
        <v>0</v>
      </c>
      <c r="H532" s="53">
        <v>0</v>
      </c>
      <c r="J532" s="12">
        <f>SUMIFS(Receitas!L:L,Receitas!B:B,'BaseRelatório vOrçamento'!B532,Receitas!G:G,'BaseRelatório vOrçamento'!D532,Receitas!H:H,'BaseRelatório vOrçamento'!E532)</f>
        <v>89616.88</v>
      </c>
    </row>
    <row r="533" spans="1:10" x14ac:dyDescent="0.35">
      <c r="A533" s="60">
        <v>49206</v>
      </c>
      <c r="B533" s="55">
        <v>45658</v>
      </c>
      <c r="C533" s="56" t="s">
        <v>57</v>
      </c>
      <c r="D533" s="56" t="s">
        <v>58</v>
      </c>
      <c r="E533" s="51" t="s">
        <v>209</v>
      </c>
      <c r="F533" s="56" t="s">
        <v>65</v>
      </c>
      <c r="G533" s="57">
        <v>0</v>
      </c>
      <c r="H533" s="58">
        <v>0</v>
      </c>
      <c r="J533"/>
    </row>
    <row r="534" spans="1:10" x14ac:dyDescent="0.35">
      <c r="A534" s="59">
        <v>49206</v>
      </c>
      <c r="B534" s="50">
        <v>45689</v>
      </c>
      <c r="C534" s="51" t="s">
        <v>57</v>
      </c>
      <c r="D534" s="51" t="s">
        <v>58</v>
      </c>
      <c r="E534" s="51" t="s">
        <v>209</v>
      </c>
      <c r="F534" s="51" t="s">
        <v>7</v>
      </c>
      <c r="G534" s="52">
        <v>0</v>
      </c>
      <c r="H534" s="53">
        <v>0</v>
      </c>
      <c r="J534"/>
    </row>
    <row r="535" spans="1:10" x14ac:dyDescent="0.35">
      <c r="A535" s="60">
        <v>49206</v>
      </c>
      <c r="B535" s="55">
        <v>45689</v>
      </c>
      <c r="C535" s="56" t="s">
        <v>57</v>
      </c>
      <c r="D535" s="56" t="s">
        <v>58</v>
      </c>
      <c r="E535" s="51" t="s">
        <v>209</v>
      </c>
      <c r="F535" s="56" t="s">
        <v>8</v>
      </c>
      <c r="G535" s="57">
        <v>0</v>
      </c>
      <c r="H535" s="58">
        <v>0</v>
      </c>
      <c r="J535"/>
    </row>
    <row r="536" spans="1:10" x14ac:dyDescent="0.35">
      <c r="A536" s="59">
        <v>49206</v>
      </c>
      <c r="B536" s="50">
        <v>45689</v>
      </c>
      <c r="C536" s="51" t="s">
        <v>57</v>
      </c>
      <c r="D536" s="51" t="s">
        <v>58</v>
      </c>
      <c r="E536" s="51" t="s">
        <v>6</v>
      </c>
      <c r="F536" s="51" t="s">
        <v>15</v>
      </c>
      <c r="G536" s="52">
        <v>0</v>
      </c>
      <c r="H536" s="53">
        <v>0</v>
      </c>
      <c r="J536" s="12">
        <f>SUMIFS(Receitas!L:L,Receitas!B:B,'BaseRelatório vOrçamento'!B536,Receitas!G:G,'BaseRelatório vOrçamento'!D536,Receitas!H:H,'BaseRelatório vOrçamento'!E536)</f>
        <v>74184</v>
      </c>
    </row>
    <row r="537" spans="1:10" x14ac:dyDescent="0.35">
      <c r="A537" s="60">
        <v>49206</v>
      </c>
      <c r="B537" s="55">
        <v>45689</v>
      </c>
      <c r="C537" s="56" t="s">
        <v>57</v>
      </c>
      <c r="D537" s="56" t="s">
        <v>58</v>
      </c>
      <c r="E537" s="51" t="s">
        <v>209</v>
      </c>
      <c r="F537" s="56" t="s">
        <v>65</v>
      </c>
      <c r="G537" s="57">
        <v>0</v>
      </c>
      <c r="H537" s="58">
        <v>0</v>
      </c>
      <c r="J537"/>
    </row>
    <row r="538" spans="1:10" x14ac:dyDescent="0.35">
      <c r="A538" s="59">
        <v>49206</v>
      </c>
      <c r="B538" s="50">
        <v>45717</v>
      </c>
      <c r="C538" s="51" t="s">
        <v>57</v>
      </c>
      <c r="D538" s="51" t="s">
        <v>58</v>
      </c>
      <c r="E538" s="51" t="s">
        <v>209</v>
      </c>
      <c r="F538" s="51" t="s">
        <v>7</v>
      </c>
      <c r="G538" s="52">
        <v>0</v>
      </c>
      <c r="H538" s="53">
        <v>0</v>
      </c>
      <c r="J538"/>
    </row>
    <row r="539" spans="1:10" x14ac:dyDescent="0.35">
      <c r="A539" s="60">
        <v>49206</v>
      </c>
      <c r="B539" s="55">
        <v>45717</v>
      </c>
      <c r="C539" s="56" t="s">
        <v>57</v>
      </c>
      <c r="D539" s="56" t="s">
        <v>58</v>
      </c>
      <c r="E539" s="51" t="s">
        <v>209</v>
      </c>
      <c r="F539" s="56" t="s">
        <v>8</v>
      </c>
      <c r="G539" s="57">
        <v>0</v>
      </c>
      <c r="H539" s="58">
        <v>0</v>
      </c>
      <c r="J539"/>
    </row>
    <row r="540" spans="1:10" x14ac:dyDescent="0.35">
      <c r="A540" s="59">
        <v>49206</v>
      </c>
      <c r="B540" s="50">
        <v>45717</v>
      </c>
      <c r="C540" s="51" t="s">
        <v>57</v>
      </c>
      <c r="D540" s="51" t="s">
        <v>58</v>
      </c>
      <c r="E540" s="51" t="s">
        <v>6</v>
      </c>
      <c r="F540" s="51" t="s">
        <v>15</v>
      </c>
      <c r="G540" s="52">
        <v>0</v>
      </c>
      <c r="H540" s="53">
        <v>0</v>
      </c>
      <c r="J540" s="12">
        <f>SUMIFS(Receitas!L:L,Receitas!B:B,'BaseRelatório vOrçamento'!B540,Receitas!G:G,'BaseRelatório vOrçamento'!D540,Receitas!H:H,'BaseRelatório vOrçamento'!E540)</f>
        <v>88733.7</v>
      </c>
    </row>
    <row r="541" spans="1:10" x14ac:dyDescent="0.35">
      <c r="A541" s="60">
        <v>49206</v>
      </c>
      <c r="B541" s="55">
        <v>45717</v>
      </c>
      <c r="C541" s="56" t="s">
        <v>57</v>
      </c>
      <c r="D541" s="56" t="s">
        <v>58</v>
      </c>
      <c r="E541" s="51" t="s">
        <v>209</v>
      </c>
      <c r="F541" s="56" t="s">
        <v>65</v>
      </c>
      <c r="G541" s="57">
        <v>0</v>
      </c>
      <c r="H541" s="58">
        <v>0</v>
      </c>
      <c r="J541"/>
    </row>
    <row r="542" spans="1:10" x14ac:dyDescent="0.35">
      <c r="A542" s="59">
        <v>49206</v>
      </c>
      <c r="B542" s="50">
        <v>45748</v>
      </c>
      <c r="C542" s="51" t="s">
        <v>57</v>
      </c>
      <c r="D542" s="51" t="s">
        <v>58</v>
      </c>
      <c r="E542" s="51" t="s">
        <v>209</v>
      </c>
      <c r="F542" s="51" t="s">
        <v>7</v>
      </c>
      <c r="G542" s="52">
        <v>0</v>
      </c>
      <c r="H542" s="53">
        <v>0</v>
      </c>
      <c r="J542"/>
    </row>
    <row r="543" spans="1:10" x14ac:dyDescent="0.35">
      <c r="A543" s="60">
        <v>49206</v>
      </c>
      <c r="B543" s="55">
        <v>45748</v>
      </c>
      <c r="C543" s="56" t="s">
        <v>57</v>
      </c>
      <c r="D543" s="56" t="s">
        <v>58</v>
      </c>
      <c r="E543" s="51" t="s">
        <v>209</v>
      </c>
      <c r="F543" s="56" t="s">
        <v>8</v>
      </c>
      <c r="G543" s="57">
        <v>0</v>
      </c>
      <c r="H543" s="58">
        <v>0</v>
      </c>
      <c r="J543"/>
    </row>
    <row r="544" spans="1:10" x14ac:dyDescent="0.35">
      <c r="A544" s="59">
        <v>49206</v>
      </c>
      <c r="B544" s="50">
        <v>45748</v>
      </c>
      <c r="C544" s="51" t="s">
        <v>57</v>
      </c>
      <c r="D544" s="51" t="s">
        <v>58</v>
      </c>
      <c r="E544" s="51" t="s">
        <v>6</v>
      </c>
      <c r="F544" s="51" t="s">
        <v>15</v>
      </c>
      <c r="G544" s="52">
        <v>0</v>
      </c>
      <c r="H544" s="53">
        <v>0</v>
      </c>
      <c r="J544" s="12">
        <f>SUMIFS(Receitas!L:L,Receitas!B:B,'BaseRelatório vOrçamento'!B544,Receitas!G:G,'BaseRelatório vOrçamento'!D544,Receitas!H:H,'BaseRelatório vOrçamento'!E544)</f>
        <v>193241.3</v>
      </c>
    </row>
    <row r="545" spans="1:10" x14ac:dyDescent="0.35">
      <c r="A545" s="60">
        <v>49206</v>
      </c>
      <c r="B545" s="55">
        <v>45748</v>
      </c>
      <c r="C545" s="56" t="s">
        <v>57</v>
      </c>
      <c r="D545" s="56" t="s">
        <v>58</v>
      </c>
      <c r="E545" s="51" t="s">
        <v>209</v>
      </c>
      <c r="F545" s="56" t="s">
        <v>65</v>
      </c>
      <c r="G545" s="57">
        <v>0</v>
      </c>
      <c r="H545" s="58">
        <v>0</v>
      </c>
      <c r="J545"/>
    </row>
    <row r="546" spans="1:10" x14ac:dyDescent="0.35">
      <c r="A546" s="59">
        <v>49206</v>
      </c>
      <c r="B546" s="50">
        <v>45778</v>
      </c>
      <c r="C546" s="51" t="s">
        <v>57</v>
      </c>
      <c r="D546" s="51" t="s">
        <v>58</v>
      </c>
      <c r="E546" s="51" t="s">
        <v>209</v>
      </c>
      <c r="F546" s="51" t="s">
        <v>7</v>
      </c>
      <c r="G546" s="52">
        <v>0</v>
      </c>
      <c r="H546" s="53">
        <v>0</v>
      </c>
      <c r="J546"/>
    </row>
    <row r="547" spans="1:10" x14ac:dyDescent="0.35">
      <c r="A547" s="60">
        <v>49206</v>
      </c>
      <c r="B547" s="55">
        <v>45778</v>
      </c>
      <c r="C547" s="56" t="s">
        <v>57</v>
      </c>
      <c r="D547" s="56" t="s">
        <v>58</v>
      </c>
      <c r="E547" s="51" t="s">
        <v>209</v>
      </c>
      <c r="F547" s="56" t="s">
        <v>8</v>
      </c>
      <c r="G547" s="57">
        <v>0</v>
      </c>
      <c r="H547" s="58">
        <v>0</v>
      </c>
      <c r="J547"/>
    </row>
    <row r="548" spans="1:10" x14ac:dyDescent="0.35">
      <c r="A548" s="59">
        <v>49206</v>
      </c>
      <c r="B548" s="50">
        <v>45778</v>
      </c>
      <c r="C548" s="51" t="s">
        <v>57</v>
      </c>
      <c r="D548" s="51" t="s">
        <v>58</v>
      </c>
      <c r="E548" s="51" t="s">
        <v>6</v>
      </c>
      <c r="F548" s="51" t="s">
        <v>15</v>
      </c>
      <c r="G548" s="52">
        <v>0</v>
      </c>
      <c r="H548" s="53">
        <v>0</v>
      </c>
      <c r="J548" s="12">
        <f>SUMIFS(Receitas!L:L,Receitas!B:B,'BaseRelatório vOrçamento'!B548,Receitas!G:G,'BaseRelatório vOrçamento'!D548,Receitas!H:H,'BaseRelatório vOrçamento'!E548)</f>
        <v>136331.17000000001</v>
      </c>
    </row>
    <row r="549" spans="1:10" x14ac:dyDescent="0.35">
      <c r="A549" s="60">
        <v>49206</v>
      </c>
      <c r="B549" s="55">
        <v>45778</v>
      </c>
      <c r="C549" s="56" t="s">
        <v>57</v>
      </c>
      <c r="D549" s="56" t="s">
        <v>58</v>
      </c>
      <c r="E549" s="51" t="s">
        <v>209</v>
      </c>
      <c r="F549" s="56" t="s">
        <v>65</v>
      </c>
      <c r="G549" s="57">
        <v>0</v>
      </c>
      <c r="H549" s="58">
        <v>0</v>
      </c>
      <c r="J549"/>
    </row>
    <row r="550" spans="1:10" x14ac:dyDescent="0.35">
      <c r="A550" s="59">
        <v>49206</v>
      </c>
      <c r="B550" s="50">
        <v>45809</v>
      </c>
      <c r="C550" s="51" t="s">
        <v>57</v>
      </c>
      <c r="D550" s="51" t="s">
        <v>58</v>
      </c>
      <c r="E550" s="51" t="s">
        <v>209</v>
      </c>
      <c r="F550" s="51" t="s">
        <v>7</v>
      </c>
      <c r="G550" s="52">
        <v>0</v>
      </c>
      <c r="H550" s="53">
        <v>0</v>
      </c>
      <c r="J550"/>
    </row>
    <row r="551" spans="1:10" x14ac:dyDescent="0.35">
      <c r="A551" s="60">
        <v>49206</v>
      </c>
      <c r="B551" s="55">
        <v>45809</v>
      </c>
      <c r="C551" s="56" t="s">
        <v>57</v>
      </c>
      <c r="D551" s="56" t="s">
        <v>58</v>
      </c>
      <c r="E551" s="51" t="s">
        <v>209</v>
      </c>
      <c r="F551" s="56" t="s">
        <v>8</v>
      </c>
      <c r="G551" s="57">
        <v>0</v>
      </c>
      <c r="H551" s="58">
        <v>0</v>
      </c>
      <c r="J551"/>
    </row>
    <row r="552" spans="1:10" x14ac:dyDescent="0.35">
      <c r="A552" s="59">
        <v>49206</v>
      </c>
      <c r="B552" s="50">
        <v>45809</v>
      </c>
      <c r="C552" s="51" t="s">
        <v>57</v>
      </c>
      <c r="D552" s="51" t="s">
        <v>58</v>
      </c>
      <c r="E552" s="51" t="s">
        <v>6</v>
      </c>
      <c r="F552" s="51" t="s">
        <v>15</v>
      </c>
      <c r="G552" s="52">
        <v>0</v>
      </c>
      <c r="H552" s="53">
        <v>0</v>
      </c>
      <c r="J552" s="12">
        <f>SUMIFS(Receitas!L:L,Receitas!B:B,'BaseRelatório vOrçamento'!B552,Receitas!G:G,'BaseRelatório vOrçamento'!D552,Receitas!H:H,'BaseRelatório vOrçamento'!E552)</f>
        <v>123635.43</v>
      </c>
    </row>
    <row r="553" spans="1:10" x14ac:dyDescent="0.35">
      <c r="A553" s="60">
        <v>49206</v>
      </c>
      <c r="B553" s="55">
        <v>45809</v>
      </c>
      <c r="C553" s="56" t="s">
        <v>57</v>
      </c>
      <c r="D553" s="56" t="s">
        <v>58</v>
      </c>
      <c r="E553" s="51" t="s">
        <v>209</v>
      </c>
      <c r="F553" s="56" t="s">
        <v>65</v>
      </c>
      <c r="G553" s="57">
        <v>0</v>
      </c>
      <c r="H553" s="58">
        <v>0</v>
      </c>
      <c r="J553"/>
    </row>
    <row r="554" spans="1:10" x14ac:dyDescent="0.35">
      <c r="A554" s="59">
        <v>49206</v>
      </c>
      <c r="B554" s="50">
        <v>45839</v>
      </c>
      <c r="C554" s="51" t="s">
        <v>57</v>
      </c>
      <c r="D554" s="51" t="s">
        <v>58</v>
      </c>
      <c r="E554" s="51" t="s">
        <v>209</v>
      </c>
      <c r="F554" s="51" t="s">
        <v>7</v>
      </c>
      <c r="G554" s="52">
        <v>0</v>
      </c>
      <c r="H554" s="53">
        <v>0</v>
      </c>
      <c r="J554"/>
    </row>
    <row r="555" spans="1:10" x14ac:dyDescent="0.35">
      <c r="A555" s="60">
        <v>49206</v>
      </c>
      <c r="B555" s="55">
        <v>45839</v>
      </c>
      <c r="C555" s="56" t="s">
        <v>57</v>
      </c>
      <c r="D555" s="56" t="s">
        <v>58</v>
      </c>
      <c r="E555" s="51" t="s">
        <v>209</v>
      </c>
      <c r="F555" s="56" t="s">
        <v>8</v>
      </c>
      <c r="G555" s="57">
        <v>0</v>
      </c>
      <c r="H555" s="58">
        <v>0</v>
      </c>
      <c r="J555"/>
    </row>
    <row r="556" spans="1:10" x14ac:dyDescent="0.35">
      <c r="A556" s="59">
        <v>49206</v>
      </c>
      <c r="B556" s="50">
        <v>45839</v>
      </c>
      <c r="C556" s="51" t="s">
        <v>57</v>
      </c>
      <c r="D556" s="51" t="s">
        <v>58</v>
      </c>
      <c r="E556" s="51" t="s">
        <v>6</v>
      </c>
      <c r="F556" s="51" t="s">
        <v>15</v>
      </c>
      <c r="G556" s="52">
        <v>0</v>
      </c>
      <c r="H556" s="53">
        <v>0</v>
      </c>
      <c r="J556" s="12">
        <f>SUMIFS(Receitas!L:L,Receitas!B:B,'BaseRelatório vOrçamento'!B556,Receitas!G:G,'BaseRelatório vOrçamento'!D556,Receitas!H:H,'BaseRelatório vOrçamento'!E556)</f>
        <v>159732.26999999999</v>
      </c>
    </row>
    <row r="557" spans="1:10" x14ac:dyDescent="0.35">
      <c r="A557" s="60">
        <v>49206</v>
      </c>
      <c r="B557" s="55">
        <v>45839</v>
      </c>
      <c r="C557" s="56" t="s">
        <v>57</v>
      </c>
      <c r="D557" s="56" t="s">
        <v>58</v>
      </c>
      <c r="E557" s="51" t="s">
        <v>209</v>
      </c>
      <c r="F557" s="56" t="s">
        <v>65</v>
      </c>
      <c r="G557" s="57">
        <v>0</v>
      </c>
      <c r="H557" s="58">
        <v>0</v>
      </c>
      <c r="J557"/>
    </row>
    <row r="558" spans="1:10" x14ac:dyDescent="0.35">
      <c r="A558" s="59">
        <v>49206</v>
      </c>
      <c r="B558" s="50">
        <v>45870</v>
      </c>
      <c r="C558" s="51" t="s">
        <v>57</v>
      </c>
      <c r="D558" s="51" t="s">
        <v>58</v>
      </c>
      <c r="E558" s="51" t="s">
        <v>209</v>
      </c>
      <c r="F558" s="51" t="s">
        <v>7</v>
      </c>
      <c r="G558" s="52">
        <v>0</v>
      </c>
      <c r="H558" s="53">
        <v>0</v>
      </c>
      <c r="J558"/>
    </row>
    <row r="559" spans="1:10" x14ac:dyDescent="0.35">
      <c r="A559" s="60">
        <v>49206</v>
      </c>
      <c r="B559" s="55">
        <v>45870</v>
      </c>
      <c r="C559" s="56" t="s">
        <v>57</v>
      </c>
      <c r="D559" s="56" t="s">
        <v>58</v>
      </c>
      <c r="E559" s="51" t="s">
        <v>209</v>
      </c>
      <c r="F559" s="56" t="s">
        <v>8</v>
      </c>
      <c r="G559" s="57">
        <v>0</v>
      </c>
      <c r="H559" s="58">
        <v>0</v>
      </c>
      <c r="J559"/>
    </row>
    <row r="560" spans="1:10" x14ac:dyDescent="0.35">
      <c r="A560" s="59">
        <v>49206</v>
      </c>
      <c r="B560" s="50">
        <v>45870</v>
      </c>
      <c r="C560" s="51" t="s">
        <v>57</v>
      </c>
      <c r="D560" s="51" t="s">
        <v>58</v>
      </c>
      <c r="E560" s="51" t="s">
        <v>6</v>
      </c>
      <c r="F560" s="51" t="s">
        <v>15</v>
      </c>
      <c r="G560" s="52">
        <v>0</v>
      </c>
      <c r="H560" s="53">
        <v>0</v>
      </c>
      <c r="J560" s="12">
        <f>SUMIFS(Receitas!L:L,Receitas!B:B,'BaseRelatório vOrçamento'!B560,Receitas!G:G,'BaseRelatório vOrçamento'!D560,Receitas!H:H,'BaseRelatório vOrçamento'!E560)</f>
        <v>146385.38</v>
      </c>
    </row>
    <row r="561" spans="1:10" x14ac:dyDescent="0.35">
      <c r="A561" s="60">
        <v>49206</v>
      </c>
      <c r="B561" s="55">
        <v>45870</v>
      </c>
      <c r="C561" s="56" t="s">
        <v>57</v>
      </c>
      <c r="D561" s="56" t="s">
        <v>58</v>
      </c>
      <c r="E561" s="51" t="s">
        <v>209</v>
      </c>
      <c r="F561" s="56" t="s">
        <v>65</v>
      </c>
      <c r="G561" s="57">
        <v>0</v>
      </c>
      <c r="H561" s="58">
        <v>0</v>
      </c>
      <c r="J561"/>
    </row>
    <row r="562" spans="1:10" x14ac:dyDescent="0.35">
      <c r="A562" s="59">
        <v>49206</v>
      </c>
      <c r="B562" s="50">
        <v>45901</v>
      </c>
      <c r="C562" s="51" t="s">
        <v>57</v>
      </c>
      <c r="D562" s="51" t="s">
        <v>58</v>
      </c>
      <c r="E562" s="51" t="s">
        <v>209</v>
      </c>
      <c r="F562" s="51" t="s">
        <v>7</v>
      </c>
      <c r="G562" s="52">
        <v>0</v>
      </c>
      <c r="H562" s="53">
        <v>0</v>
      </c>
      <c r="J562"/>
    </row>
    <row r="563" spans="1:10" x14ac:dyDescent="0.35">
      <c r="A563" s="60">
        <v>49206</v>
      </c>
      <c r="B563" s="55">
        <v>45901</v>
      </c>
      <c r="C563" s="56" t="s">
        <v>57</v>
      </c>
      <c r="D563" s="56" t="s">
        <v>58</v>
      </c>
      <c r="E563" s="51" t="s">
        <v>209</v>
      </c>
      <c r="F563" s="56" t="s">
        <v>8</v>
      </c>
      <c r="G563" s="57">
        <v>0</v>
      </c>
      <c r="H563" s="58">
        <v>0</v>
      </c>
      <c r="J563"/>
    </row>
    <row r="564" spans="1:10" x14ac:dyDescent="0.35">
      <c r="A564" s="59">
        <v>49206</v>
      </c>
      <c r="B564" s="50">
        <v>45901</v>
      </c>
      <c r="C564" s="51" t="s">
        <v>57</v>
      </c>
      <c r="D564" s="51" t="s">
        <v>58</v>
      </c>
      <c r="E564" s="51" t="s">
        <v>6</v>
      </c>
      <c r="F564" s="51" t="s">
        <v>15</v>
      </c>
      <c r="G564" s="52">
        <v>0</v>
      </c>
      <c r="H564" s="53">
        <v>0</v>
      </c>
      <c r="J564" s="12">
        <f>SUMIFS(Receitas!L:L,Receitas!B:B,'BaseRelatório vOrçamento'!B564,Receitas!G:G,'BaseRelatório vOrçamento'!D564,Receitas!H:H,'BaseRelatório vOrçamento'!E564)</f>
        <v>101987.31</v>
      </c>
    </row>
    <row r="565" spans="1:10" x14ac:dyDescent="0.35">
      <c r="A565" s="60">
        <v>49206</v>
      </c>
      <c r="B565" s="55">
        <v>45901</v>
      </c>
      <c r="C565" s="56" t="s">
        <v>57</v>
      </c>
      <c r="D565" s="56" t="s">
        <v>58</v>
      </c>
      <c r="E565" s="51" t="s">
        <v>209</v>
      </c>
      <c r="F565" s="56" t="s">
        <v>65</v>
      </c>
      <c r="G565" s="57">
        <v>0</v>
      </c>
      <c r="H565" s="58">
        <v>0</v>
      </c>
      <c r="J565"/>
    </row>
    <row r="566" spans="1:10" x14ac:dyDescent="0.35">
      <c r="A566" s="59">
        <v>49206</v>
      </c>
      <c r="B566" s="50">
        <v>45931</v>
      </c>
      <c r="C566" s="51" t="s">
        <v>57</v>
      </c>
      <c r="D566" s="51" t="s">
        <v>58</v>
      </c>
      <c r="E566" s="51" t="s">
        <v>209</v>
      </c>
      <c r="F566" s="51" t="s">
        <v>7</v>
      </c>
      <c r="G566" s="52">
        <v>0</v>
      </c>
      <c r="H566" s="53">
        <v>0</v>
      </c>
      <c r="J566"/>
    </row>
    <row r="567" spans="1:10" x14ac:dyDescent="0.35">
      <c r="A567" s="60">
        <v>49206</v>
      </c>
      <c r="B567" s="55">
        <v>45931</v>
      </c>
      <c r="C567" s="56" t="s">
        <v>57</v>
      </c>
      <c r="D567" s="56" t="s">
        <v>58</v>
      </c>
      <c r="E567" s="51" t="s">
        <v>209</v>
      </c>
      <c r="F567" s="56" t="s">
        <v>8</v>
      </c>
      <c r="G567" s="57">
        <v>0</v>
      </c>
      <c r="H567" s="58">
        <v>0</v>
      </c>
      <c r="J567"/>
    </row>
    <row r="568" spans="1:10" x14ac:dyDescent="0.35">
      <c r="A568" s="59">
        <v>49206</v>
      </c>
      <c r="B568" s="50">
        <v>45931</v>
      </c>
      <c r="C568" s="51" t="s">
        <v>57</v>
      </c>
      <c r="D568" s="51" t="s">
        <v>58</v>
      </c>
      <c r="E568" s="51" t="s">
        <v>6</v>
      </c>
      <c r="F568" s="51" t="s">
        <v>15</v>
      </c>
      <c r="G568" s="52">
        <v>0</v>
      </c>
      <c r="H568" s="53">
        <v>0</v>
      </c>
      <c r="J568" s="12">
        <f>SUMIFS(Receitas!L:L,Receitas!B:B,'BaseRelatório vOrçamento'!B568,Receitas!G:G,'BaseRelatório vOrçamento'!D568,Receitas!H:H,'BaseRelatório vOrçamento'!E568)</f>
        <v>79323.59</v>
      </c>
    </row>
    <row r="569" spans="1:10" x14ac:dyDescent="0.35">
      <c r="A569" s="60">
        <v>49206</v>
      </c>
      <c r="B569" s="55">
        <v>45931</v>
      </c>
      <c r="C569" s="56" t="s">
        <v>57</v>
      </c>
      <c r="D569" s="56" t="s">
        <v>58</v>
      </c>
      <c r="E569" s="51" t="s">
        <v>209</v>
      </c>
      <c r="F569" s="56" t="s">
        <v>65</v>
      </c>
      <c r="G569" s="57">
        <v>0</v>
      </c>
      <c r="H569" s="58">
        <v>0</v>
      </c>
      <c r="J569"/>
    </row>
    <row r="570" spans="1:10" x14ac:dyDescent="0.35">
      <c r="A570" s="59">
        <v>49206</v>
      </c>
      <c r="B570" s="50">
        <v>45962</v>
      </c>
      <c r="C570" s="51" t="s">
        <v>57</v>
      </c>
      <c r="D570" s="51" t="s">
        <v>58</v>
      </c>
      <c r="E570" s="51" t="s">
        <v>209</v>
      </c>
      <c r="F570" s="51" t="s">
        <v>7</v>
      </c>
      <c r="G570" s="52">
        <v>0</v>
      </c>
      <c r="H570" s="53">
        <v>0</v>
      </c>
      <c r="J570"/>
    </row>
    <row r="571" spans="1:10" x14ac:dyDescent="0.35">
      <c r="A571" s="60">
        <v>49206</v>
      </c>
      <c r="B571" s="55">
        <v>45962</v>
      </c>
      <c r="C571" s="56" t="s">
        <v>57</v>
      </c>
      <c r="D571" s="56" t="s">
        <v>58</v>
      </c>
      <c r="E571" s="51" t="s">
        <v>209</v>
      </c>
      <c r="F571" s="56" t="s">
        <v>8</v>
      </c>
      <c r="G571" s="57">
        <v>0</v>
      </c>
      <c r="H571" s="58">
        <v>0</v>
      </c>
      <c r="J571"/>
    </row>
    <row r="572" spans="1:10" x14ac:dyDescent="0.35">
      <c r="A572" s="59">
        <v>49206</v>
      </c>
      <c r="B572" s="50">
        <v>45962</v>
      </c>
      <c r="C572" s="51" t="s">
        <v>57</v>
      </c>
      <c r="D572" s="51" t="s">
        <v>58</v>
      </c>
      <c r="E572" s="51" t="s">
        <v>6</v>
      </c>
      <c r="F572" s="51" t="s">
        <v>15</v>
      </c>
      <c r="G572" s="52">
        <v>0</v>
      </c>
      <c r="H572" s="53">
        <v>0</v>
      </c>
      <c r="J572" s="12">
        <f>SUMIFS(Receitas!L:L,Receitas!B:B,'BaseRelatório vOrçamento'!B572,Receitas!G:G,'BaseRelatório vOrçamento'!D572,Receitas!H:H,'BaseRelatório vOrçamento'!E572)</f>
        <v>91740.61</v>
      </c>
    </row>
    <row r="573" spans="1:10" x14ac:dyDescent="0.35">
      <c r="A573" s="60">
        <v>49206</v>
      </c>
      <c r="B573" s="55">
        <v>45962</v>
      </c>
      <c r="C573" s="56" t="s">
        <v>57</v>
      </c>
      <c r="D573" s="56" t="s">
        <v>58</v>
      </c>
      <c r="E573" s="51" t="s">
        <v>209</v>
      </c>
      <c r="F573" s="56" t="s">
        <v>65</v>
      </c>
      <c r="G573" s="57">
        <v>0</v>
      </c>
      <c r="H573" s="58">
        <v>0</v>
      </c>
      <c r="J573"/>
    </row>
    <row r="574" spans="1:10" x14ac:dyDescent="0.35">
      <c r="A574" s="59">
        <v>49206</v>
      </c>
      <c r="B574" s="50">
        <v>45992</v>
      </c>
      <c r="C574" s="51" t="s">
        <v>57</v>
      </c>
      <c r="D574" s="51" t="s">
        <v>58</v>
      </c>
      <c r="E574" s="51" t="s">
        <v>209</v>
      </c>
      <c r="F574" s="51" t="s">
        <v>7</v>
      </c>
      <c r="G574" s="52">
        <v>0</v>
      </c>
      <c r="H574" s="53">
        <v>0</v>
      </c>
      <c r="J574"/>
    </row>
    <row r="575" spans="1:10" x14ac:dyDescent="0.35">
      <c r="A575" s="60">
        <v>49206</v>
      </c>
      <c r="B575" s="55">
        <v>45992</v>
      </c>
      <c r="C575" s="56" t="s">
        <v>57</v>
      </c>
      <c r="D575" s="56" t="s">
        <v>58</v>
      </c>
      <c r="E575" s="51" t="s">
        <v>209</v>
      </c>
      <c r="F575" s="56" t="s">
        <v>8</v>
      </c>
      <c r="G575" s="57">
        <v>0</v>
      </c>
      <c r="H575" s="58">
        <v>0</v>
      </c>
      <c r="J575"/>
    </row>
    <row r="576" spans="1:10" x14ac:dyDescent="0.35">
      <c r="A576" s="59">
        <v>49206</v>
      </c>
      <c r="B576" s="50">
        <v>45992</v>
      </c>
      <c r="C576" s="51" t="s">
        <v>57</v>
      </c>
      <c r="D576" s="51" t="s">
        <v>58</v>
      </c>
      <c r="E576" s="51" t="s">
        <v>6</v>
      </c>
      <c r="F576" s="51" t="s">
        <v>15</v>
      </c>
      <c r="G576" s="52">
        <v>0</v>
      </c>
      <c r="H576" s="53">
        <v>0</v>
      </c>
      <c r="J576" s="12">
        <f>SUMIFS(Receitas!L:L,Receitas!B:B,'BaseRelatório vOrçamento'!B576,Receitas!G:G,'BaseRelatório vOrçamento'!D576,Receitas!H:H,'BaseRelatório vOrçamento'!E576)</f>
        <v>83110.64</v>
      </c>
    </row>
    <row r="577" spans="1:10" x14ac:dyDescent="0.35">
      <c r="A577" s="60">
        <v>49206</v>
      </c>
      <c r="B577" s="55">
        <v>45992</v>
      </c>
      <c r="C577" s="56" t="s">
        <v>57</v>
      </c>
      <c r="D577" s="56" t="s">
        <v>58</v>
      </c>
      <c r="E577" s="51" t="s">
        <v>209</v>
      </c>
      <c r="F577" s="56" t="s">
        <v>65</v>
      </c>
      <c r="G577" s="57">
        <v>0</v>
      </c>
      <c r="H577" s="58">
        <v>0</v>
      </c>
      <c r="J577"/>
    </row>
    <row r="578" spans="1:10" x14ac:dyDescent="0.35">
      <c r="A578" s="49" t="s">
        <v>194</v>
      </c>
      <c r="B578" s="50">
        <v>45839</v>
      </c>
      <c r="C578" s="51" t="s">
        <v>25</v>
      </c>
      <c r="D578" s="51" t="s">
        <v>12</v>
      </c>
      <c r="E578" s="51" t="s">
        <v>9</v>
      </c>
      <c r="F578" s="51" t="s">
        <v>65</v>
      </c>
      <c r="G578" s="52">
        <v>0</v>
      </c>
      <c r="H578" s="53">
        <v>0</v>
      </c>
      <c r="J578"/>
    </row>
    <row r="579" spans="1:10" x14ac:dyDescent="0.35">
      <c r="A579" s="54" t="s">
        <v>194</v>
      </c>
      <c r="B579" s="55">
        <v>45870</v>
      </c>
      <c r="C579" s="56" t="s">
        <v>25</v>
      </c>
      <c r="D579" s="56" t="s">
        <v>12</v>
      </c>
      <c r="E579" s="51" t="s">
        <v>9</v>
      </c>
      <c r="F579" s="56" t="s">
        <v>7</v>
      </c>
      <c r="G579" s="57">
        <v>0</v>
      </c>
      <c r="H579" s="58">
        <v>0</v>
      </c>
      <c r="J579"/>
    </row>
    <row r="580" spans="1:10" x14ac:dyDescent="0.35">
      <c r="A580" s="49" t="s">
        <v>194</v>
      </c>
      <c r="B580" s="50">
        <v>45870</v>
      </c>
      <c r="C580" s="51" t="s">
        <v>25</v>
      </c>
      <c r="D580" s="51" t="s">
        <v>12</v>
      </c>
      <c r="E580" s="51" t="s">
        <v>9</v>
      </c>
      <c r="F580" s="51" t="s">
        <v>8</v>
      </c>
      <c r="G580" s="52">
        <v>0</v>
      </c>
      <c r="H580" s="53">
        <v>0</v>
      </c>
      <c r="J580"/>
    </row>
    <row r="581" spans="1:10" x14ac:dyDescent="0.35">
      <c r="A581" s="54" t="s">
        <v>194</v>
      </c>
      <c r="B581" s="55">
        <v>45870</v>
      </c>
      <c r="C581" s="56" t="s">
        <v>25</v>
      </c>
      <c r="D581" s="56" t="s">
        <v>12</v>
      </c>
      <c r="E581" s="51" t="s">
        <v>9</v>
      </c>
      <c r="F581" s="56" t="s">
        <v>15</v>
      </c>
      <c r="G581" s="57">
        <v>170951.70214033333</v>
      </c>
      <c r="H581" s="58">
        <v>6100</v>
      </c>
      <c r="J581" s="12">
        <f>SUMIFS(Receitas!L:L,Receitas!B:B,'BaseRelatório vOrçamento'!B581,Receitas!G:G,'BaseRelatório vOrçamento'!D581,Receitas!H:H,'BaseRelatório vOrçamento'!E581)</f>
        <v>505458.66000000003</v>
      </c>
    </row>
    <row r="582" spans="1:10" x14ac:dyDescent="0.35">
      <c r="A582" s="49" t="s">
        <v>194</v>
      </c>
      <c r="B582" s="50">
        <v>45870</v>
      </c>
      <c r="C582" s="51" t="s">
        <v>25</v>
      </c>
      <c r="D582" s="51" t="s">
        <v>12</v>
      </c>
      <c r="E582" s="51" t="s">
        <v>9</v>
      </c>
      <c r="F582" s="51" t="s">
        <v>65</v>
      </c>
      <c r="G582" s="52">
        <v>0</v>
      </c>
      <c r="H582" s="53">
        <v>0</v>
      </c>
      <c r="J582"/>
    </row>
    <row r="583" spans="1:10" x14ac:dyDescent="0.35">
      <c r="A583" s="54" t="s">
        <v>194</v>
      </c>
      <c r="B583" s="55">
        <v>45901</v>
      </c>
      <c r="C583" s="56" t="s">
        <v>25</v>
      </c>
      <c r="D583" s="56" t="s">
        <v>12</v>
      </c>
      <c r="E583" s="51" t="s">
        <v>9</v>
      </c>
      <c r="F583" s="56" t="s">
        <v>7</v>
      </c>
      <c r="G583" s="57">
        <v>0</v>
      </c>
      <c r="H583" s="58">
        <v>0</v>
      </c>
      <c r="J583"/>
    </row>
    <row r="584" spans="1:10" x14ac:dyDescent="0.35">
      <c r="A584" s="49" t="s">
        <v>194</v>
      </c>
      <c r="B584" s="50">
        <v>45901</v>
      </c>
      <c r="C584" s="51" t="s">
        <v>25</v>
      </c>
      <c r="D584" s="51" t="s">
        <v>12</v>
      </c>
      <c r="E584" s="51" t="s">
        <v>9</v>
      </c>
      <c r="F584" s="51" t="s">
        <v>8</v>
      </c>
      <c r="G584" s="52">
        <v>0</v>
      </c>
      <c r="H584" s="53">
        <v>0</v>
      </c>
      <c r="J584"/>
    </row>
    <row r="585" spans="1:10" x14ac:dyDescent="0.35">
      <c r="A585" s="54" t="s">
        <v>194</v>
      </c>
      <c r="B585" s="55">
        <v>45901</v>
      </c>
      <c r="C585" s="56" t="s">
        <v>25</v>
      </c>
      <c r="D585" s="56" t="s">
        <v>12</v>
      </c>
      <c r="E585" s="51" t="s">
        <v>9</v>
      </c>
      <c r="F585" s="56" t="s">
        <v>15</v>
      </c>
      <c r="G585" s="57">
        <v>170951.70214033333</v>
      </c>
      <c r="H585" s="58">
        <v>6100</v>
      </c>
      <c r="J585" s="12">
        <f>SUMIFS(Receitas!L:L,Receitas!B:B,'BaseRelatório vOrçamento'!B585,Receitas!G:G,'BaseRelatório vOrçamento'!D585,Receitas!H:H,'BaseRelatório vOrçamento'!E585)</f>
        <v>173260</v>
      </c>
    </row>
    <row r="586" spans="1:10" x14ac:dyDescent="0.35">
      <c r="A586" s="49" t="s">
        <v>194</v>
      </c>
      <c r="B586" s="50">
        <v>45901</v>
      </c>
      <c r="C586" s="51" t="s">
        <v>25</v>
      </c>
      <c r="D586" s="51" t="s">
        <v>12</v>
      </c>
      <c r="E586" s="51" t="s">
        <v>9</v>
      </c>
      <c r="F586" s="51" t="s">
        <v>65</v>
      </c>
      <c r="G586" s="52">
        <v>0</v>
      </c>
      <c r="H586" s="53">
        <v>0</v>
      </c>
      <c r="J586"/>
    </row>
    <row r="587" spans="1:10" x14ac:dyDescent="0.35">
      <c r="A587" s="54" t="s">
        <v>194</v>
      </c>
      <c r="B587" s="55">
        <v>45931</v>
      </c>
      <c r="C587" s="56" t="s">
        <v>25</v>
      </c>
      <c r="D587" s="56" t="s">
        <v>12</v>
      </c>
      <c r="E587" s="51" t="s">
        <v>9</v>
      </c>
      <c r="F587" s="56" t="s">
        <v>7</v>
      </c>
      <c r="G587" s="57">
        <v>0</v>
      </c>
      <c r="H587" s="58">
        <v>0</v>
      </c>
      <c r="J587"/>
    </row>
    <row r="588" spans="1:10" x14ac:dyDescent="0.35">
      <c r="A588" s="49" t="s">
        <v>194</v>
      </c>
      <c r="B588" s="50">
        <v>45931</v>
      </c>
      <c r="C588" s="51" t="s">
        <v>25</v>
      </c>
      <c r="D588" s="51" t="s">
        <v>12</v>
      </c>
      <c r="E588" s="51" t="s">
        <v>9</v>
      </c>
      <c r="F588" s="51" t="s">
        <v>8</v>
      </c>
      <c r="G588" s="52">
        <v>0</v>
      </c>
      <c r="H588" s="53">
        <v>0</v>
      </c>
      <c r="J588"/>
    </row>
    <row r="589" spans="1:10" x14ac:dyDescent="0.35">
      <c r="A589" s="54" t="s">
        <v>194</v>
      </c>
      <c r="B589" s="55">
        <v>45931</v>
      </c>
      <c r="C589" s="56" t="s">
        <v>25</v>
      </c>
      <c r="D589" s="56" t="s">
        <v>12</v>
      </c>
      <c r="E589" s="51" t="s">
        <v>9</v>
      </c>
      <c r="F589" s="56" t="s">
        <v>15</v>
      </c>
      <c r="G589" s="57">
        <v>170951.70214033333</v>
      </c>
      <c r="H589" s="58">
        <v>6100</v>
      </c>
      <c r="J589" s="12">
        <f>SUMIFS(Receitas!L:L,Receitas!B:B,'BaseRelatório vOrçamento'!B589,Receitas!G:G,'BaseRelatório vOrçamento'!D589,Receitas!H:H,'BaseRelatório vOrçamento'!E589)</f>
        <v>503060.91000000003</v>
      </c>
    </row>
    <row r="590" spans="1:10" x14ac:dyDescent="0.35">
      <c r="A590" s="49" t="s">
        <v>194</v>
      </c>
      <c r="B590" s="50">
        <v>45931</v>
      </c>
      <c r="C590" s="51" t="s">
        <v>25</v>
      </c>
      <c r="D590" s="51" t="s">
        <v>12</v>
      </c>
      <c r="E590" s="51" t="s">
        <v>9</v>
      </c>
      <c r="F590" s="51" t="s">
        <v>65</v>
      </c>
      <c r="G590" s="52">
        <v>0</v>
      </c>
      <c r="H590" s="53">
        <v>0</v>
      </c>
      <c r="J590"/>
    </row>
    <row r="591" spans="1:10" x14ac:dyDescent="0.35">
      <c r="A591" s="54" t="s">
        <v>194</v>
      </c>
      <c r="B591" s="55">
        <v>45962</v>
      </c>
      <c r="C591" s="56" t="s">
        <v>25</v>
      </c>
      <c r="D591" s="56" t="s">
        <v>12</v>
      </c>
      <c r="E591" s="51" t="s">
        <v>9</v>
      </c>
      <c r="F591" s="56" t="s">
        <v>7</v>
      </c>
      <c r="G591" s="57">
        <v>0</v>
      </c>
      <c r="H591" s="58">
        <v>0</v>
      </c>
      <c r="J591"/>
    </row>
    <row r="592" spans="1:10" x14ac:dyDescent="0.35">
      <c r="A592" s="49" t="s">
        <v>194</v>
      </c>
      <c r="B592" s="50">
        <v>45962</v>
      </c>
      <c r="C592" s="51" t="s">
        <v>25</v>
      </c>
      <c r="D592" s="51" t="s">
        <v>12</v>
      </c>
      <c r="E592" s="51" t="s">
        <v>9</v>
      </c>
      <c r="F592" s="51" t="s">
        <v>8</v>
      </c>
      <c r="G592" s="52">
        <v>0</v>
      </c>
      <c r="H592" s="53">
        <v>0</v>
      </c>
      <c r="J592"/>
    </row>
    <row r="593" spans="1:10" x14ac:dyDescent="0.35">
      <c r="A593" s="54" t="s">
        <v>194</v>
      </c>
      <c r="B593" s="55">
        <v>45962</v>
      </c>
      <c r="C593" s="56" t="s">
        <v>25</v>
      </c>
      <c r="D593" s="56" t="s">
        <v>12</v>
      </c>
      <c r="E593" s="51" t="s">
        <v>9</v>
      </c>
      <c r="F593" s="56" t="s">
        <v>15</v>
      </c>
      <c r="G593" s="57">
        <v>170951.70214033333</v>
      </c>
      <c r="H593" s="58">
        <v>6100</v>
      </c>
      <c r="J593" s="12">
        <f>SUMIFS(Receitas!L:L,Receitas!B:B,'BaseRelatório vOrçamento'!B593,Receitas!G:G,'BaseRelatório vOrçamento'!D593,Receitas!H:H,'BaseRelatório vOrçamento'!E593)</f>
        <v>506599.05</v>
      </c>
    </row>
    <row r="594" spans="1:10" x14ac:dyDescent="0.35">
      <c r="A594" s="49" t="s">
        <v>194</v>
      </c>
      <c r="B594" s="50">
        <v>45962</v>
      </c>
      <c r="C594" s="51" t="s">
        <v>25</v>
      </c>
      <c r="D594" s="51" t="s">
        <v>12</v>
      </c>
      <c r="E594" s="51" t="s">
        <v>9</v>
      </c>
      <c r="F594" s="51" t="s">
        <v>65</v>
      </c>
      <c r="G594" s="52">
        <v>0</v>
      </c>
      <c r="H594" s="53">
        <v>0</v>
      </c>
      <c r="J594"/>
    </row>
    <row r="595" spans="1:10" x14ac:dyDescent="0.35">
      <c r="A595" s="54" t="s">
        <v>194</v>
      </c>
      <c r="B595" s="55">
        <v>45992</v>
      </c>
      <c r="C595" s="56" t="s">
        <v>25</v>
      </c>
      <c r="D595" s="56" t="s">
        <v>12</v>
      </c>
      <c r="E595" s="51" t="s">
        <v>9</v>
      </c>
      <c r="F595" s="56" t="s">
        <v>7</v>
      </c>
      <c r="G595" s="57">
        <v>0</v>
      </c>
      <c r="H595" s="58">
        <v>0</v>
      </c>
      <c r="J595"/>
    </row>
    <row r="596" spans="1:10" x14ac:dyDescent="0.35">
      <c r="A596" s="49" t="s">
        <v>194</v>
      </c>
      <c r="B596" s="50">
        <v>45992</v>
      </c>
      <c r="C596" s="51" t="s">
        <v>25</v>
      </c>
      <c r="D596" s="51" t="s">
        <v>12</v>
      </c>
      <c r="E596" s="51" t="s">
        <v>9</v>
      </c>
      <c r="F596" s="51" t="s">
        <v>8</v>
      </c>
      <c r="G596" s="52">
        <v>0</v>
      </c>
      <c r="H596" s="53">
        <v>0</v>
      </c>
      <c r="J596"/>
    </row>
    <row r="597" spans="1:10" x14ac:dyDescent="0.35">
      <c r="A597" s="54" t="s">
        <v>194</v>
      </c>
      <c r="B597" s="55">
        <v>45992</v>
      </c>
      <c r="C597" s="56" t="s">
        <v>25</v>
      </c>
      <c r="D597" s="56" t="s">
        <v>12</v>
      </c>
      <c r="E597" s="51" t="s">
        <v>9</v>
      </c>
      <c r="F597" s="56" t="s">
        <v>15</v>
      </c>
      <c r="G597" s="57">
        <v>170951.70214033333</v>
      </c>
      <c r="H597" s="58">
        <v>6100</v>
      </c>
      <c r="J597" s="12">
        <f>SUMIFS(Receitas!L:L,Receitas!B:B,'BaseRelatório vOrçamento'!B597,Receitas!G:G,'BaseRelatório vOrçamento'!D597,Receitas!H:H,'BaseRelatório vOrçamento'!E597)</f>
        <v>176876.32</v>
      </c>
    </row>
    <row r="598" spans="1:10" x14ac:dyDescent="0.35">
      <c r="A598" s="49" t="s">
        <v>194</v>
      </c>
      <c r="B598" s="50">
        <v>45992</v>
      </c>
      <c r="C598" s="51" t="s">
        <v>25</v>
      </c>
      <c r="D598" s="51" t="s">
        <v>12</v>
      </c>
      <c r="E598" s="51" t="s">
        <v>9</v>
      </c>
      <c r="F598" s="51" t="s">
        <v>65</v>
      </c>
      <c r="G598" s="52">
        <v>0</v>
      </c>
      <c r="H598" s="53">
        <v>0</v>
      </c>
      <c r="J598"/>
    </row>
    <row r="599" spans="1:10" x14ac:dyDescent="0.35">
      <c r="A599" s="54" t="s">
        <v>169</v>
      </c>
      <c r="B599" s="55">
        <v>45839</v>
      </c>
      <c r="C599" s="56" t="s">
        <v>25</v>
      </c>
      <c r="D599" s="56" t="s">
        <v>12</v>
      </c>
      <c r="E599" s="51" t="s">
        <v>170</v>
      </c>
      <c r="F599" s="56" t="s">
        <v>7</v>
      </c>
      <c r="G599" s="57">
        <v>0</v>
      </c>
      <c r="H599" s="62">
        <v>0</v>
      </c>
      <c r="J599"/>
    </row>
    <row r="600" spans="1:10" x14ac:dyDescent="0.35">
      <c r="A600" s="49" t="s">
        <v>169</v>
      </c>
      <c r="B600" s="50">
        <v>45839</v>
      </c>
      <c r="C600" s="51" t="s">
        <v>25</v>
      </c>
      <c r="D600" s="51" t="s">
        <v>12</v>
      </c>
      <c r="E600" s="51" t="s">
        <v>170</v>
      </c>
      <c r="F600" s="51" t="s">
        <v>8</v>
      </c>
      <c r="G600" s="52">
        <v>0</v>
      </c>
      <c r="H600" s="61">
        <v>0</v>
      </c>
      <c r="J600"/>
    </row>
    <row r="601" spans="1:10" x14ac:dyDescent="0.35">
      <c r="A601" s="54" t="s">
        <v>169</v>
      </c>
      <c r="B601" s="55">
        <v>45839</v>
      </c>
      <c r="C601" s="56" t="s">
        <v>25</v>
      </c>
      <c r="D601" s="56" t="s">
        <v>12</v>
      </c>
      <c r="E601" s="51" t="s">
        <v>170</v>
      </c>
      <c r="F601" s="56" t="s">
        <v>15</v>
      </c>
      <c r="G601" s="57">
        <v>0</v>
      </c>
      <c r="H601" s="62">
        <v>0</v>
      </c>
      <c r="J601" s="12">
        <f>SUMIFS(Receitas!L:L,Receitas!B:B,'BaseRelatório vOrçamento'!B601,Receitas!G:G,'BaseRelatório vOrçamento'!D601,Receitas!H:H,'BaseRelatório vOrçamento'!E601)</f>
        <v>118310.39999999999</v>
      </c>
    </row>
    <row r="602" spans="1:10" x14ac:dyDescent="0.35">
      <c r="A602" s="49" t="s">
        <v>169</v>
      </c>
      <c r="B602" s="50">
        <v>45839</v>
      </c>
      <c r="C602" s="51" t="s">
        <v>25</v>
      </c>
      <c r="D602" s="51" t="s">
        <v>12</v>
      </c>
      <c r="E602" s="51" t="s">
        <v>170</v>
      </c>
      <c r="F602" s="51" t="s">
        <v>65</v>
      </c>
      <c r="G602" s="52">
        <v>0</v>
      </c>
      <c r="H602" s="61">
        <v>0</v>
      </c>
      <c r="J602"/>
    </row>
    <row r="603" spans="1:10" x14ac:dyDescent="0.35">
      <c r="A603" s="54" t="s">
        <v>169</v>
      </c>
      <c r="B603" s="55">
        <v>45870</v>
      </c>
      <c r="C603" s="56" t="s">
        <v>25</v>
      </c>
      <c r="D603" s="56" t="s">
        <v>12</v>
      </c>
      <c r="E603" s="51" t="s">
        <v>170</v>
      </c>
      <c r="F603" s="56" t="s">
        <v>7</v>
      </c>
      <c r="G603" s="57">
        <v>0</v>
      </c>
      <c r="H603" s="62">
        <v>0</v>
      </c>
      <c r="J603"/>
    </row>
    <row r="604" spans="1:10" x14ac:dyDescent="0.35">
      <c r="A604" s="49" t="s">
        <v>169</v>
      </c>
      <c r="B604" s="50">
        <v>45870</v>
      </c>
      <c r="C604" s="51" t="s">
        <v>25</v>
      </c>
      <c r="D604" s="51" t="s">
        <v>12</v>
      </c>
      <c r="E604" s="51" t="s">
        <v>170</v>
      </c>
      <c r="F604" s="51" t="s">
        <v>8</v>
      </c>
      <c r="G604" s="52">
        <v>0</v>
      </c>
      <c r="H604" s="61">
        <v>0</v>
      </c>
      <c r="J604"/>
    </row>
    <row r="605" spans="1:10" x14ac:dyDescent="0.35">
      <c r="A605" s="54" t="s">
        <v>169</v>
      </c>
      <c r="B605" s="55">
        <v>45870</v>
      </c>
      <c r="C605" s="56" t="s">
        <v>25</v>
      </c>
      <c r="D605" s="56" t="s">
        <v>12</v>
      </c>
      <c r="E605" s="51" t="s">
        <v>170</v>
      </c>
      <c r="F605" s="56" t="s">
        <v>15</v>
      </c>
      <c r="G605" s="57">
        <v>0</v>
      </c>
      <c r="H605" s="62">
        <v>0</v>
      </c>
      <c r="J605" s="12">
        <f>SUMIFS(Receitas!L:L,Receitas!B:B,'BaseRelatório vOrçamento'!B605,Receitas!G:G,'BaseRelatório vOrçamento'!D605,Receitas!H:H,'BaseRelatório vOrçamento'!E605)</f>
        <v>118310.39999999999</v>
      </c>
    </row>
    <row r="606" spans="1:10" x14ac:dyDescent="0.35">
      <c r="A606" s="49" t="s">
        <v>169</v>
      </c>
      <c r="B606" s="50">
        <v>45870</v>
      </c>
      <c r="C606" s="51" t="s">
        <v>25</v>
      </c>
      <c r="D606" s="51" t="s">
        <v>12</v>
      </c>
      <c r="E606" s="51" t="s">
        <v>170</v>
      </c>
      <c r="F606" s="51" t="s">
        <v>65</v>
      </c>
      <c r="G606" s="52">
        <v>0</v>
      </c>
      <c r="H606" s="61">
        <v>0</v>
      </c>
      <c r="J606"/>
    </row>
    <row r="607" spans="1:10" x14ac:dyDescent="0.35">
      <c r="A607" s="54" t="s">
        <v>169</v>
      </c>
      <c r="B607" s="55">
        <v>45901</v>
      </c>
      <c r="C607" s="56" t="s">
        <v>25</v>
      </c>
      <c r="D607" s="56" t="s">
        <v>12</v>
      </c>
      <c r="E607" s="51" t="s">
        <v>170</v>
      </c>
      <c r="F607" s="56" t="s">
        <v>7</v>
      </c>
      <c r="G607" s="57">
        <v>0</v>
      </c>
      <c r="H607" s="62">
        <v>0</v>
      </c>
      <c r="J607"/>
    </row>
    <row r="608" spans="1:10" x14ac:dyDescent="0.35">
      <c r="A608" s="49" t="s">
        <v>169</v>
      </c>
      <c r="B608" s="50">
        <v>45901</v>
      </c>
      <c r="C608" s="51" t="s">
        <v>25</v>
      </c>
      <c r="D608" s="51" t="s">
        <v>12</v>
      </c>
      <c r="E608" s="51" t="s">
        <v>170</v>
      </c>
      <c r="F608" s="51" t="s">
        <v>8</v>
      </c>
      <c r="G608" s="52">
        <v>0</v>
      </c>
      <c r="H608" s="61">
        <v>0</v>
      </c>
      <c r="J608"/>
    </row>
    <row r="609" spans="1:10" x14ac:dyDescent="0.35">
      <c r="A609" s="54" t="s">
        <v>169</v>
      </c>
      <c r="B609" s="55">
        <v>45901</v>
      </c>
      <c r="C609" s="56" t="s">
        <v>25</v>
      </c>
      <c r="D609" s="56" t="s">
        <v>12</v>
      </c>
      <c r="E609" s="51" t="s">
        <v>170</v>
      </c>
      <c r="F609" s="56" t="s">
        <v>15</v>
      </c>
      <c r="G609" s="57">
        <v>0</v>
      </c>
      <c r="H609" s="62">
        <v>0</v>
      </c>
      <c r="J609" s="12">
        <f>SUMIFS(Receitas!L:L,Receitas!B:B,'BaseRelatório vOrçamento'!B609,Receitas!G:G,'BaseRelatório vOrçamento'!D609,Receitas!H:H,'BaseRelatório vOrçamento'!E609)</f>
        <v>118310.39999999999</v>
      </c>
    </row>
    <row r="610" spans="1:10" x14ac:dyDescent="0.35">
      <c r="A610" s="49" t="s">
        <v>169</v>
      </c>
      <c r="B610" s="50">
        <v>45901</v>
      </c>
      <c r="C610" s="51" t="s">
        <v>25</v>
      </c>
      <c r="D610" s="51" t="s">
        <v>12</v>
      </c>
      <c r="E610" s="51" t="s">
        <v>170</v>
      </c>
      <c r="F610" s="51" t="s">
        <v>65</v>
      </c>
      <c r="G610" s="52">
        <v>0</v>
      </c>
      <c r="H610" s="61">
        <v>0</v>
      </c>
      <c r="J610"/>
    </row>
    <row r="611" spans="1:10" x14ac:dyDescent="0.35">
      <c r="A611" s="54" t="s">
        <v>169</v>
      </c>
      <c r="B611" s="55">
        <v>45931</v>
      </c>
      <c r="C611" s="56" t="s">
        <v>25</v>
      </c>
      <c r="D611" s="56" t="s">
        <v>12</v>
      </c>
      <c r="E611" s="51" t="s">
        <v>170</v>
      </c>
      <c r="F611" s="56" t="s">
        <v>7</v>
      </c>
      <c r="G611" s="57">
        <v>0</v>
      </c>
      <c r="H611" s="62">
        <v>0</v>
      </c>
      <c r="J611"/>
    </row>
    <row r="612" spans="1:10" x14ac:dyDescent="0.35">
      <c r="A612" s="49" t="s">
        <v>169</v>
      </c>
      <c r="B612" s="50">
        <v>45931</v>
      </c>
      <c r="C612" s="51" t="s">
        <v>25</v>
      </c>
      <c r="D612" s="51" t="s">
        <v>12</v>
      </c>
      <c r="E612" s="51" t="s">
        <v>170</v>
      </c>
      <c r="F612" s="51" t="s">
        <v>8</v>
      </c>
      <c r="G612" s="52">
        <v>0</v>
      </c>
      <c r="H612" s="61">
        <v>0</v>
      </c>
      <c r="J612"/>
    </row>
    <row r="613" spans="1:10" x14ac:dyDescent="0.35">
      <c r="A613" s="54" t="s">
        <v>169</v>
      </c>
      <c r="B613" s="55">
        <v>45931</v>
      </c>
      <c r="C613" s="56" t="s">
        <v>25</v>
      </c>
      <c r="D613" s="56" t="s">
        <v>12</v>
      </c>
      <c r="E613" s="51" t="s">
        <v>170</v>
      </c>
      <c r="F613" s="56" t="s">
        <v>15</v>
      </c>
      <c r="G613" s="57">
        <v>0</v>
      </c>
      <c r="H613" s="62">
        <v>0</v>
      </c>
      <c r="J613" s="12">
        <f>SUMIFS(Receitas!L:L,Receitas!B:B,'BaseRelatório vOrçamento'!B613,Receitas!G:G,'BaseRelatório vOrçamento'!D613,Receitas!H:H,'BaseRelatório vOrçamento'!E613)</f>
        <v>118310.39999999999</v>
      </c>
    </row>
    <row r="614" spans="1:10" x14ac:dyDescent="0.35">
      <c r="A614" s="49" t="s">
        <v>169</v>
      </c>
      <c r="B614" s="50">
        <v>45931</v>
      </c>
      <c r="C614" s="51" t="s">
        <v>25</v>
      </c>
      <c r="D614" s="51" t="s">
        <v>12</v>
      </c>
      <c r="E614" s="51" t="s">
        <v>170</v>
      </c>
      <c r="F614" s="51" t="s">
        <v>65</v>
      </c>
      <c r="G614" s="52">
        <v>0</v>
      </c>
      <c r="H614" s="61">
        <v>0</v>
      </c>
      <c r="J614"/>
    </row>
    <row r="615" spans="1:10" x14ac:dyDescent="0.35">
      <c r="A615" s="54" t="s">
        <v>169</v>
      </c>
      <c r="B615" s="55">
        <v>45962</v>
      </c>
      <c r="C615" s="56" t="s">
        <v>25</v>
      </c>
      <c r="D615" s="56" t="s">
        <v>12</v>
      </c>
      <c r="E615" s="51" t="s">
        <v>170</v>
      </c>
      <c r="F615" s="56" t="s">
        <v>7</v>
      </c>
      <c r="G615" s="57">
        <v>0</v>
      </c>
      <c r="H615" s="62">
        <v>0</v>
      </c>
      <c r="J615"/>
    </row>
    <row r="616" spans="1:10" x14ac:dyDescent="0.35">
      <c r="A616" s="49" t="s">
        <v>169</v>
      </c>
      <c r="B616" s="50">
        <v>45962</v>
      </c>
      <c r="C616" s="51" t="s">
        <v>25</v>
      </c>
      <c r="D616" s="51" t="s">
        <v>12</v>
      </c>
      <c r="E616" s="51" t="s">
        <v>170</v>
      </c>
      <c r="F616" s="51" t="s">
        <v>8</v>
      </c>
      <c r="G616" s="52">
        <v>0</v>
      </c>
      <c r="H616" s="61">
        <v>0</v>
      </c>
      <c r="J616"/>
    </row>
    <row r="617" spans="1:10" x14ac:dyDescent="0.35">
      <c r="A617" s="54" t="s">
        <v>169</v>
      </c>
      <c r="B617" s="55">
        <v>45962</v>
      </c>
      <c r="C617" s="56" t="s">
        <v>25</v>
      </c>
      <c r="D617" s="56" t="s">
        <v>12</v>
      </c>
      <c r="E617" s="51" t="s">
        <v>170</v>
      </c>
      <c r="F617" s="56" t="s">
        <v>15</v>
      </c>
      <c r="G617" s="57">
        <v>0</v>
      </c>
      <c r="H617" s="62">
        <v>0</v>
      </c>
      <c r="J617" s="12">
        <f>SUMIFS(Receitas!L:L,Receitas!B:B,'BaseRelatório vOrçamento'!B617,Receitas!G:G,'BaseRelatório vOrçamento'!D617,Receitas!H:H,'BaseRelatório vOrçamento'!E617)</f>
        <v>0</v>
      </c>
    </row>
    <row r="618" spans="1:10" x14ac:dyDescent="0.35">
      <c r="A618" s="49" t="s">
        <v>169</v>
      </c>
      <c r="B618" s="50">
        <v>45962</v>
      </c>
      <c r="C618" s="51" t="s">
        <v>25</v>
      </c>
      <c r="D618" s="51" t="s">
        <v>12</v>
      </c>
      <c r="E618" s="51" t="s">
        <v>170</v>
      </c>
      <c r="F618" s="51" t="s">
        <v>65</v>
      </c>
      <c r="G618" s="52">
        <v>0</v>
      </c>
      <c r="H618" s="61">
        <v>0</v>
      </c>
      <c r="J618"/>
    </row>
    <row r="619" spans="1:10" x14ac:dyDescent="0.35">
      <c r="A619" s="54" t="s">
        <v>169</v>
      </c>
      <c r="B619" s="55">
        <v>45992</v>
      </c>
      <c r="C619" s="56" t="s">
        <v>25</v>
      </c>
      <c r="D619" s="56" t="s">
        <v>12</v>
      </c>
      <c r="E619" s="51" t="s">
        <v>170</v>
      </c>
      <c r="F619" s="56" t="s">
        <v>7</v>
      </c>
      <c r="G619" s="57">
        <v>0</v>
      </c>
      <c r="H619" s="62">
        <v>0</v>
      </c>
      <c r="J619"/>
    </row>
    <row r="620" spans="1:10" x14ac:dyDescent="0.35">
      <c r="A620" s="49" t="s">
        <v>169</v>
      </c>
      <c r="B620" s="50">
        <v>45992</v>
      </c>
      <c r="C620" s="51" t="s">
        <v>25</v>
      </c>
      <c r="D620" s="51" t="s">
        <v>12</v>
      </c>
      <c r="E620" s="51" t="s">
        <v>170</v>
      </c>
      <c r="F620" s="51" t="s">
        <v>8</v>
      </c>
      <c r="G620" s="52">
        <v>0</v>
      </c>
      <c r="H620" s="61">
        <v>0</v>
      </c>
      <c r="J620"/>
    </row>
    <row r="621" spans="1:10" x14ac:dyDescent="0.35">
      <c r="A621" s="54" t="s">
        <v>169</v>
      </c>
      <c r="B621" s="55">
        <v>45992</v>
      </c>
      <c r="C621" s="56" t="s">
        <v>25</v>
      </c>
      <c r="D621" s="56" t="s">
        <v>12</v>
      </c>
      <c r="E621" s="51" t="s">
        <v>170</v>
      </c>
      <c r="F621" s="56" t="s">
        <v>15</v>
      </c>
      <c r="G621" s="57">
        <v>0</v>
      </c>
      <c r="H621" s="62">
        <v>0</v>
      </c>
      <c r="J621" s="12">
        <f>SUMIFS(Receitas!L:L,Receitas!B:B,'BaseRelatório vOrçamento'!B621,Receitas!G:G,'BaseRelatório vOrçamento'!D621,Receitas!H:H,'BaseRelatório vOrçamento'!E621)</f>
        <v>118310.39999999999</v>
      </c>
    </row>
    <row r="622" spans="1:10" x14ac:dyDescent="0.35">
      <c r="A622" s="49" t="s">
        <v>169</v>
      </c>
      <c r="B622" s="50">
        <v>45992</v>
      </c>
      <c r="C622" s="51" t="s">
        <v>25</v>
      </c>
      <c r="D622" s="51" t="s">
        <v>12</v>
      </c>
      <c r="E622" s="51" t="s">
        <v>170</v>
      </c>
      <c r="F622" s="51" t="s">
        <v>65</v>
      </c>
      <c r="G622" s="52">
        <v>0</v>
      </c>
      <c r="H622" s="61">
        <v>0</v>
      </c>
      <c r="J622"/>
    </row>
    <row r="623" spans="1:10" x14ac:dyDescent="0.35">
      <c r="A623" s="54" t="s">
        <v>200</v>
      </c>
      <c r="B623" s="55">
        <v>45658</v>
      </c>
      <c r="C623" s="56" t="str">
        <f>_xlfn.XLOOKUP(TabReceitas[[#This Row],[ID]],TabCondicoesComerciais[ID],TabCondicoesComerciais[Nº Filial],0)</f>
        <v>16</v>
      </c>
      <c r="D623" s="56" t="s">
        <v>12</v>
      </c>
      <c r="E623" s="51" t="s">
        <v>10</v>
      </c>
      <c r="F623" s="56" t="s">
        <v>7</v>
      </c>
      <c r="G623" s="57">
        <v>0</v>
      </c>
      <c r="H623" s="62">
        <v>0</v>
      </c>
      <c r="J623"/>
    </row>
    <row r="624" spans="1:10" x14ac:dyDescent="0.35">
      <c r="A624" s="49" t="s">
        <v>200</v>
      </c>
      <c r="B624" s="50">
        <v>45658</v>
      </c>
      <c r="C624" s="51" t="str">
        <f>_xlfn.XLOOKUP(TabReceitas[[#This Row],[ID]],TabCondicoesComerciais[ID],TabCondicoesComerciais[Nº Filial],0)</f>
        <v>16</v>
      </c>
      <c r="D624" s="51" t="s">
        <v>12</v>
      </c>
      <c r="E624" s="51" t="s">
        <v>10</v>
      </c>
      <c r="F624" s="51" t="s">
        <v>8</v>
      </c>
      <c r="G624" s="52">
        <v>0</v>
      </c>
      <c r="H624" s="61">
        <v>0</v>
      </c>
      <c r="J624"/>
    </row>
    <row r="625" spans="1:10" x14ac:dyDescent="0.35">
      <c r="A625" s="54" t="s">
        <v>200</v>
      </c>
      <c r="B625" s="55">
        <v>45658</v>
      </c>
      <c r="C625" s="56" t="str">
        <f>_xlfn.XLOOKUP(TabReceitas[[#This Row],[ID]],TabCondicoesComerciais[ID],TabCondicoesComerciais[Nº Filial],0)</f>
        <v>16</v>
      </c>
      <c r="D625" s="56" t="s">
        <v>12</v>
      </c>
      <c r="E625" s="51" t="s">
        <v>10</v>
      </c>
      <c r="F625" s="56" t="s">
        <v>15</v>
      </c>
      <c r="G625" s="57">
        <v>0</v>
      </c>
      <c r="H625" s="62">
        <v>0</v>
      </c>
      <c r="J625" s="12">
        <f>SUMIFS(Receitas!L:L,Receitas!B:B,'BaseRelatório vOrçamento'!B625,Receitas!G:G,'BaseRelatório vOrçamento'!D625,Receitas!H:H,'BaseRelatório vOrçamento'!E625)</f>
        <v>0</v>
      </c>
    </row>
    <row r="626" spans="1:10" x14ac:dyDescent="0.35">
      <c r="A626" s="49" t="s">
        <v>200</v>
      </c>
      <c r="B626" s="50">
        <v>45658</v>
      </c>
      <c r="C626" s="51" t="str">
        <f>_xlfn.XLOOKUP(TabReceitas[[#This Row],[ID]],TabCondicoesComerciais[ID],TabCondicoesComerciais[Nº Filial],0)</f>
        <v>16</v>
      </c>
      <c r="D626" s="51" t="s">
        <v>12</v>
      </c>
      <c r="E626" s="51" t="s">
        <v>10</v>
      </c>
      <c r="F626" s="51" t="s">
        <v>65</v>
      </c>
      <c r="G626" s="52">
        <v>0</v>
      </c>
      <c r="H626" s="61">
        <v>0</v>
      </c>
      <c r="J626"/>
    </row>
    <row r="627" spans="1:10" x14ac:dyDescent="0.35">
      <c r="A627" s="54" t="s">
        <v>200</v>
      </c>
      <c r="B627" s="55">
        <v>45689</v>
      </c>
      <c r="C627" s="56" t="str">
        <f>_xlfn.XLOOKUP(TabReceitas[[#This Row],[ID]],TabCondicoesComerciais[ID],TabCondicoesComerciais[Nº Filial],0)</f>
        <v>16</v>
      </c>
      <c r="D627" s="56" t="s">
        <v>12</v>
      </c>
      <c r="E627" s="51" t="s">
        <v>10</v>
      </c>
      <c r="F627" s="56" t="s">
        <v>7</v>
      </c>
      <c r="G627" s="57">
        <v>0</v>
      </c>
      <c r="H627" s="62">
        <v>0</v>
      </c>
      <c r="J627"/>
    </row>
    <row r="628" spans="1:10" x14ac:dyDescent="0.35">
      <c r="A628" s="49" t="s">
        <v>200</v>
      </c>
      <c r="B628" s="50">
        <v>45689</v>
      </c>
      <c r="C628" s="51" t="str">
        <f>_xlfn.XLOOKUP(TabReceitas[[#This Row],[ID]],TabCondicoesComerciais[ID],TabCondicoesComerciais[Nº Filial],0)</f>
        <v>16</v>
      </c>
      <c r="D628" s="51" t="s">
        <v>12</v>
      </c>
      <c r="E628" s="51" t="s">
        <v>10</v>
      </c>
      <c r="F628" s="51" t="s">
        <v>8</v>
      </c>
      <c r="G628" s="52">
        <v>0</v>
      </c>
      <c r="H628" s="61">
        <v>0</v>
      </c>
      <c r="J628"/>
    </row>
    <row r="629" spans="1:10" x14ac:dyDescent="0.35">
      <c r="A629" s="54" t="s">
        <v>200</v>
      </c>
      <c r="B629" s="55">
        <v>45689</v>
      </c>
      <c r="C629" s="56" t="str">
        <f>_xlfn.XLOOKUP(TabReceitas[[#This Row],[ID]],TabCondicoesComerciais[ID],TabCondicoesComerciais[Nº Filial],0)</f>
        <v>16</v>
      </c>
      <c r="D629" s="56" t="s">
        <v>12</v>
      </c>
      <c r="E629" s="51" t="s">
        <v>10</v>
      </c>
      <c r="F629" s="56" t="s">
        <v>15</v>
      </c>
      <c r="G629" s="57">
        <v>0</v>
      </c>
      <c r="H629" s="62">
        <v>0</v>
      </c>
      <c r="J629" s="12">
        <f>SUMIFS(Receitas!L:L,Receitas!B:B,'BaseRelatório vOrçamento'!B629,Receitas!G:G,'BaseRelatório vOrçamento'!D629,Receitas!H:H,'BaseRelatório vOrçamento'!E629)</f>
        <v>0</v>
      </c>
    </row>
    <row r="630" spans="1:10" x14ac:dyDescent="0.35">
      <c r="A630" s="49" t="s">
        <v>200</v>
      </c>
      <c r="B630" s="50">
        <v>45689</v>
      </c>
      <c r="C630" s="51" t="str">
        <f>_xlfn.XLOOKUP(TabReceitas[[#This Row],[ID]],TabCondicoesComerciais[ID],TabCondicoesComerciais[Nº Filial],0)</f>
        <v>16</v>
      </c>
      <c r="D630" s="51" t="s">
        <v>12</v>
      </c>
      <c r="E630" s="51" t="s">
        <v>10</v>
      </c>
      <c r="F630" s="51" t="s">
        <v>65</v>
      </c>
      <c r="G630" s="52">
        <v>0</v>
      </c>
      <c r="H630" s="61">
        <v>0</v>
      </c>
      <c r="J630"/>
    </row>
    <row r="631" spans="1:10" x14ac:dyDescent="0.35">
      <c r="A631" s="54" t="s">
        <v>200</v>
      </c>
      <c r="B631" s="55">
        <v>45717</v>
      </c>
      <c r="C631" s="56" t="str">
        <f>_xlfn.XLOOKUP(TabReceitas[[#This Row],[ID]],TabCondicoesComerciais[ID],TabCondicoesComerciais[Nº Filial],0)</f>
        <v>16</v>
      </c>
      <c r="D631" s="56" t="s">
        <v>12</v>
      </c>
      <c r="E631" s="51" t="s">
        <v>10</v>
      </c>
      <c r="F631" s="56" t="s">
        <v>7</v>
      </c>
      <c r="G631" s="57">
        <v>0</v>
      </c>
      <c r="H631" s="62">
        <v>0</v>
      </c>
      <c r="J631"/>
    </row>
    <row r="632" spans="1:10" x14ac:dyDescent="0.35">
      <c r="A632" s="49" t="s">
        <v>200</v>
      </c>
      <c r="B632" s="50">
        <v>45717</v>
      </c>
      <c r="C632" s="51" t="str">
        <f>_xlfn.XLOOKUP(TabReceitas[[#This Row],[ID]],TabCondicoesComerciais[ID],TabCondicoesComerciais[Nº Filial],0)</f>
        <v>16</v>
      </c>
      <c r="D632" s="51" t="s">
        <v>12</v>
      </c>
      <c r="E632" s="51" t="s">
        <v>10</v>
      </c>
      <c r="F632" s="51" t="s">
        <v>8</v>
      </c>
      <c r="G632" s="52">
        <v>0</v>
      </c>
      <c r="H632" s="61">
        <v>0</v>
      </c>
      <c r="J632"/>
    </row>
    <row r="633" spans="1:10" x14ac:dyDescent="0.35">
      <c r="A633" s="54" t="s">
        <v>200</v>
      </c>
      <c r="B633" s="55">
        <v>45717</v>
      </c>
      <c r="C633" s="56" t="str">
        <f>_xlfn.XLOOKUP(TabReceitas[[#This Row],[ID]],TabCondicoesComerciais[ID],TabCondicoesComerciais[Nº Filial],0)</f>
        <v>16</v>
      </c>
      <c r="D633" s="56" t="s">
        <v>12</v>
      </c>
      <c r="E633" s="51" t="s">
        <v>10</v>
      </c>
      <c r="F633" s="56" t="s">
        <v>15</v>
      </c>
      <c r="G633" s="57">
        <v>0</v>
      </c>
      <c r="H633" s="62">
        <v>0</v>
      </c>
      <c r="J633" s="12">
        <f>SUMIFS(Receitas!L:L,Receitas!B:B,'BaseRelatório vOrçamento'!B633,Receitas!G:G,'BaseRelatório vOrçamento'!D633,Receitas!H:H,'BaseRelatório vOrçamento'!E633)</f>
        <v>0</v>
      </c>
    </row>
    <row r="634" spans="1:10" x14ac:dyDescent="0.35">
      <c r="A634" s="49" t="s">
        <v>200</v>
      </c>
      <c r="B634" s="50">
        <v>45717</v>
      </c>
      <c r="C634" s="51" t="str">
        <f>_xlfn.XLOOKUP(TabReceitas[[#This Row],[ID]],TabCondicoesComerciais[ID],TabCondicoesComerciais[Nº Filial],0)</f>
        <v>16</v>
      </c>
      <c r="D634" s="51" t="s">
        <v>12</v>
      </c>
      <c r="E634" s="51" t="s">
        <v>10</v>
      </c>
      <c r="F634" s="51" t="s">
        <v>65</v>
      </c>
      <c r="G634" s="52">
        <v>0</v>
      </c>
      <c r="H634" s="61">
        <v>0</v>
      </c>
      <c r="J634"/>
    </row>
    <row r="635" spans="1:10" x14ac:dyDescent="0.35">
      <c r="A635" s="54" t="s">
        <v>200</v>
      </c>
      <c r="B635" s="55">
        <v>45748</v>
      </c>
      <c r="C635" s="56" t="str">
        <f>_xlfn.XLOOKUP(TabReceitas[[#This Row],[ID]],TabCondicoesComerciais[ID],TabCondicoesComerciais[Nº Filial],0)</f>
        <v>16</v>
      </c>
      <c r="D635" s="56" t="s">
        <v>12</v>
      </c>
      <c r="E635" s="51" t="s">
        <v>10</v>
      </c>
      <c r="F635" s="56" t="s">
        <v>7</v>
      </c>
      <c r="G635" s="57">
        <v>0</v>
      </c>
      <c r="H635" s="62">
        <v>0</v>
      </c>
      <c r="J635"/>
    </row>
    <row r="636" spans="1:10" x14ac:dyDescent="0.35">
      <c r="A636" s="49" t="s">
        <v>200</v>
      </c>
      <c r="B636" s="50">
        <v>45748</v>
      </c>
      <c r="C636" s="51" t="str">
        <f>_xlfn.XLOOKUP(TabReceitas[[#This Row],[ID]],TabCondicoesComerciais[ID],TabCondicoesComerciais[Nº Filial],0)</f>
        <v>16</v>
      </c>
      <c r="D636" s="51" t="s">
        <v>12</v>
      </c>
      <c r="E636" s="51" t="s">
        <v>10</v>
      </c>
      <c r="F636" s="51" t="s">
        <v>8</v>
      </c>
      <c r="G636" s="52">
        <v>0</v>
      </c>
      <c r="H636" s="61">
        <v>0</v>
      </c>
      <c r="J636"/>
    </row>
    <row r="637" spans="1:10" x14ac:dyDescent="0.35">
      <c r="A637" s="54" t="s">
        <v>200</v>
      </c>
      <c r="B637" s="55">
        <v>45748</v>
      </c>
      <c r="C637" s="56" t="str">
        <f>_xlfn.XLOOKUP(TabReceitas[[#This Row],[ID]],TabCondicoesComerciais[ID],TabCondicoesComerciais[Nº Filial],0)</f>
        <v>16</v>
      </c>
      <c r="D637" s="56" t="s">
        <v>12</v>
      </c>
      <c r="E637" s="51" t="s">
        <v>10</v>
      </c>
      <c r="F637" s="56" t="s">
        <v>15</v>
      </c>
      <c r="G637" s="57">
        <v>0</v>
      </c>
      <c r="H637" s="62">
        <v>0</v>
      </c>
      <c r="J637" s="12">
        <f>SUMIFS(Receitas!L:L,Receitas!B:B,'BaseRelatório vOrçamento'!B637,Receitas!G:G,'BaseRelatório vOrçamento'!D637,Receitas!H:H,'BaseRelatório vOrçamento'!E637)</f>
        <v>0</v>
      </c>
    </row>
    <row r="638" spans="1:10" x14ac:dyDescent="0.35">
      <c r="A638" s="49" t="s">
        <v>200</v>
      </c>
      <c r="B638" s="50">
        <v>45748</v>
      </c>
      <c r="C638" s="51" t="str">
        <f>_xlfn.XLOOKUP(TabReceitas[[#This Row],[ID]],TabCondicoesComerciais[ID],TabCondicoesComerciais[Nº Filial],0)</f>
        <v>16</v>
      </c>
      <c r="D638" s="51" t="s">
        <v>12</v>
      </c>
      <c r="E638" s="51" t="s">
        <v>10</v>
      </c>
      <c r="F638" s="51" t="s">
        <v>65</v>
      </c>
      <c r="G638" s="52">
        <v>0</v>
      </c>
      <c r="H638" s="61">
        <v>0</v>
      </c>
      <c r="J638"/>
    </row>
    <row r="639" spans="1:10" x14ac:dyDescent="0.35">
      <c r="A639" s="54" t="s">
        <v>200</v>
      </c>
      <c r="B639" s="55">
        <v>45778</v>
      </c>
      <c r="C639" s="56" t="str">
        <f>_xlfn.XLOOKUP(TabReceitas[[#This Row],[ID]],TabCondicoesComerciais[ID],TabCondicoesComerciais[Nº Filial],0)</f>
        <v>16</v>
      </c>
      <c r="D639" s="56" t="s">
        <v>12</v>
      </c>
      <c r="E639" s="51" t="s">
        <v>10</v>
      </c>
      <c r="F639" s="56" t="s">
        <v>7</v>
      </c>
      <c r="G639" s="57">
        <v>0</v>
      </c>
      <c r="H639" s="62">
        <v>0</v>
      </c>
      <c r="J639"/>
    </row>
    <row r="640" spans="1:10" x14ac:dyDescent="0.35">
      <c r="A640" s="49" t="s">
        <v>200</v>
      </c>
      <c r="B640" s="50">
        <v>45778</v>
      </c>
      <c r="C640" s="51" t="str">
        <f>_xlfn.XLOOKUP(TabReceitas[[#This Row],[ID]],TabCondicoesComerciais[ID],TabCondicoesComerciais[Nº Filial],0)</f>
        <v>16</v>
      </c>
      <c r="D640" s="51" t="s">
        <v>12</v>
      </c>
      <c r="E640" s="51" t="s">
        <v>10</v>
      </c>
      <c r="F640" s="51" t="s">
        <v>8</v>
      </c>
      <c r="G640" s="52">
        <v>0</v>
      </c>
      <c r="H640" s="61">
        <v>0</v>
      </c>
      <c r="J640"/>
    </row>
    <row r="641" spans="1:10" x14ac:dyDescent="0.35">
      <c r="A641" s="54" t="s">
        <v>200</v>
      </c>
      <c r="B641" s="55">
        <v>45778</v>
      </c>
      <c r="C641" s="56" t="str">
        <f>_xlfn.XLOOKUP(TabReceitas[[#This Row],[ID]],TabCondicoesComerciais[ID],TabCondicoesComerciais[Nº Filial],0)</f>
        <v>16</v>
      </c>
      <c r="D641" s="56" t="s">
        <v>12</v>
      </c>
      <c r="E641" s="51" t="s">
        <v>10</v>
      </c>
      <c r="F641" s="56" t="s">
        <v>15</v>
      </c>
      <c r="G641" s="57">
        <v>0</v>
      </c>
      <c r="H641" s="62">
        <v>0</v>
      </c>
      <c r="J641" s="12">
        <f>SUMIFS(Receitas!L:L,Receitas!B:B,'BaseRelatório vOrçamento'!B641,Receitas!G:G,'BaseRelatório vOrçamento'!D641,Receitas!H:H,'BaseRelatório vOrçamento'!E641)</f>
        <v>185458.56</v>
      </c>
    </row>
    <row r="642" spans="1:10" x14ac:dyDescent="0.35">
      <c r="A642" s="49" t="s">
        <v>200</v>
      </c>
      <c r="B642" s="50">
        <v>45778</v>
      </c>
      <c r="C642" s="51" t="str">
        <f>_xlfn.XLOOKUP(TabReceitas[[#This Row],[ID]],TabCondicoesComerciais[ID],TabCondicoesComerciais[Nº Filial],0)</f>
        <v>16</v>
      </c>
      <c r="D642" s="51" t="s">
        <v>12</v>
      </c>
      <c r="E642" s="51" t="s">
        <v>10</v>
      </c>
      <c r="F642" s="51" t="s">
        <v>65</v>
      </c>
      <c r="G642" s="52">
        <v>0</v>
      </c>
      <c r="H642" s="61">
        <v>0</v>
      </c>
      <c r="J642"/>
    </row>
    <row r="643" spans="1:10" x14ac:dyDescent="0.35">
      <c r="A643" s="54" t="s">
        <v>200</v>
      </c>
      <c r="B643" s="55">
        <v>45809</v>
      </c>
      <c r="C643" s="56" t="str">
        <f>_xlfn.XLOOKUP(TabReceitas[[#This Row],[ID]],TabCondicoesComerciais[ID],TabCondicoesComerciais[Nº Filial],0)</f>
        <v>16</v>
      </c>
      <c r="D643" s="56" t="s">
        <v>12</v>
      </c>
      <c r="E643" s="51" t="s">
        <v>10</v>
      </c>
      <c r="F643" s="56" t="s">
        <v>7</v>
      </c>
      <c r="G643" s="57">
        <v>0</v>
      </c>
      <c r="H643" s="62">
        <v>0</v>
      </c>
      <c r="J643"/>
    </row>
    <row r="644" spans="1:10" x14ac:dyDescent="0.35">
      <c r="A644" s="49" t="s">
        <v>200</v>
      </c>
      <c r="B644" s="50">
        <v>45809</v>
      </c>
      <c r="C644" s="51" t="str">
        <f>_xlfn.XLOOKUP(TabReceitas[[#This Row],[ID]],TabCondicoesComerciais[ID],TabCondicoesComerciais[Nº Filial],0)</f>
        <v>16</v>
      </c>
      <c r="D644" s="51" t="s">
        <v>12</v>
      </c>
      <c r="E644" s="51" t="s">
        <v>10</v>
      </c>
      <c r="F644" s="51" t="s">
        <v>8</v>
      </c>
      <c r="G644" s="52">
        <v>0</v>
      </c>
      <c r="H644" s="61">
        <v>0</v>
      </c>
      <c r="J644"/>
    </row>
    <row r="645" spans="1:10" x14ac:dyDescent="0.35">
      <c r="A645" s="54" t="s">
        <v>200</v>
      </c>
      <c r="B645" s="55">
        <v>45809</v>
      </c>
      <c r="C645" s="56" t="str">
        <f>_xlfn.XLOOKUP(TabReceitas[[#This Row],[ID]],TabCondicoesComerciais[ID],TabCondicoesComerciais[Nº Filial],0)</f>
        <v>16</v>
      </c>
      <c r="D645" s="56" t="s">
        <v>12</v>
      </c>
      <c r="E645" s="51" t="s">
        <v>10</v>
      </c>
      <c r="F645" s="56" t="s">
        <v>15</v>
      </c>
      <c r="G645" s="57">
        <v>0</v>
      </c>
      <c r="H645" s="62">
        <v>0</v>
      </c>
      <c r="J645" s="12">
        <f>SUMIFS(Receitas!L:L,Receitas!B:B,'BaseRelatório vOrçamento'!B645,Receitas!G:G,'BaseRelatório vOrçamento'!D645,Receitas!H:H,'BaseRelatório vOrçamento'!E645)</f>
        <v>258161.09999999998</v>
      </c>
    </row>
    <row r="646" spans="1:10" x14ac:dyDescent="0.35">
      <c r="A646" s="49" t="s">
        <v>200</v>
      </c>
      <c r="B646" s="50">
        <v>45809</v>
      </c>
      <c r="C646" s="51" t="str">
        <f>_xlfn.XLOOKUP(TabReceitas[[#This Row],[ID]],TabCondicoesComerciais[ID],TabCondicoesComerciais[Nº Filial],0)</f>
        <v>16</v>
      </c>
      <c r="D646" s="51" t="s">
        <v>12</v>
      </c>
      <c r="E646" s="51" t="s">
        <v>10</v>
      </c>
      <c r="F646" s="51" t="s">
        <v>65</v>
      </c>
      <c r="G646" s="52">
        <v>0</v>
      </c>
      <c r="H646" s="61">
        <v>0</v>
      </c>
      <c r="J646"/>
    </row>
    <row r="647" spans="1:10" x14ac:dyDescent="0.35">
      <c r="A647" s="54" t="s">
        <v>200</v>
      </c>
      <c r="B647" s="55">
        <v>45839</v>
      </c>
      <c r="C647" s="56" t="str">
        <f>_xlfn.XLOOKUP(TabReceitas[[#This Row],[ID]],TabCondicoesComerciais[ID],TabCondicoesComerciais[Nº Filial],0)</f>
        <v>16</v>
      </c>
      <c r="D647" s="56" t="s">
        <v>12</v>
      </c>
      <c r="E647" s="51" t="s">
        <v>10</v>
      </c>
      <c r="F647" s="56" t="s">
        <v>7</v>
      </c>
      <c r="G647" s="57">
        <v>0</v>
      </c>
      <c r="H647" s="62">
        <v>0</v>
      </c>
      <c r="J647"/>
    </row>
    <row r="648" spans="1:10" x14ac:dyDescent="0.35">
      <c r="A648" s="49" t="s">
        <v>200</v>
      </c>
      <c r="B648" s="50">
        <v>45839</v>
      </c>
      <c r="C648" s="51" t="str">
        <f>_xlfn.XLOOKUP(TabReceitas[[#This Row],[ID]],TabCondicoesComerciais[ID],TabCondicoesComerciais[Nº Filial],0)</f>
        <v>16</v>
      </c>
      <c r="D648" s="51" t="s">
        <v>12</v>
      </c>
      <c r="E648" s="51" t="s">
        <v>10</v>
      </c>
      <c r="F648" s="51" t="s">
        <v>8</v>
      </c>
      <c r="G648" s="52">
        <v>0</v>
      </c>
      <c r="H648" s="61">
        <v>0</v>
      </c>
      <c r="J648"/>
    </row>
    <row r="649" spans="1:10" x14ac:dyDescent="0.35">
      <c r="A649" s="54" t="s">
        <v>200</v>
      </c>
      <c r="B649" s="55">
        <v>45839</v>
      </c>
      <c r="C649" s="56" t="str">
        <f>_xlfn.XLOOKUP(TabReceitas[[#This Row],[ID]],TabCondicoesComerciais[ID],TabCondicoesComerciais[Nº Filial],0)</f>
        <v>16</v>
      </c>
      <c r="D649" s="56" t="s">
        <v>12</v>
      </c>
      <c r="E649" s="51" t="s">
        <v>10</v>
      </c>
      <c r="F649" s="56" t="s">
        <v>15</v>
      </c>
      <c r="G649" s="57">
        <v>0</v>
      </c>
      <c r="H649" s="62">
        <v>0</v>
      </c>
      <c r="J649" s="12">
        <f>SUMIFS(Receitas!L:L,Receitas!B:B,'BaseRelatório vOrçamento'!B649,Receitas!G:G,'BaseRelatório vOrçamento'!D649,Receitas!H:H,'BaseRelatório vOrçamento'!E649)</f>
        <v>434809.65</v>
      </c>
    </row>
    <row r="650" spans="1:10" x14ac:dyDescent="0.35">
      <c r="A650" s="49" t="s">
        <v>200</v>
      </c>
      <c r="B650" s="50">
        <v>45839</v>
      </c>
      <c r="C650" s="51" t="str">
        <f>_xlfn.XLOOKUP(TabReceitas[[#This Row],[ID]],TabCondicoesComerciais[ID],TabCondicoesComerciais[Nº Filial],0)</f>
        <v>16</v>
      </c>
      <c r="D650" s="51" t="s">
        <v>12</v>
      </c>
      <c r="E650" s="51" t="s">
        <v>10</v>
      </c>
      <c r="F650" s="51" t="s">
        <v>65</v>
      </c>
      <c r="G650" s="52">
        <v>0</v>
      </c>
      <c r="H650" s="61">
        <v>0</v>
      </c>
      <c r="J650"/>
    </row>
    <row r="651" spans="1:10" x14ac:dyDescent="0.35">
      <c r="A651" s="54" t="s">
        <v>200</v>
      </c>
      <c r="B651" s="55">
        <v>45870</v>
      </c>
      <c r="C651" s="56" t="str">
        <f>_xlfn.XLOOKUP(TabReceitas[[#This Row],[ID]],TabCondicoesComerciais[ID],TabCondicoesComerciais[Nº Filial],0)</f>
        <v>16</v>
      </c>
      <c r="D651" s="56" t="s">
        <v>12</v>
      </c>
      <c r="E651" s="51" t="s">
        <v>10</v>
      </c>
      <c r="F651" s="56" t="s">
        <v>7</v>
      </c>
      <c r="G651" s="57">
        <v>0</v>
      </c>
      <c r="H651" s="62">
        <v>0</v>
      </c>
      <c r="J651"/>
    </row>
    <row r="652" spans="1:10" x14ac:dyDescent="0.35">
      <c r="A652" s="49" t="s">
        <v>200</v>
      </c>
      <c r="B652" s="50">
        <v>45870</v>
      </c>
      <c r="C652" s="51" t="str">
        <f>_xlfn.XLOOKUP(TabReceitas[[#This Row],[ID]],TabCondicoesComerciais[ID],TabCondicoesComerciais[Nº Filial],0)</f>
        <v>16</v>
      </c>
      <c r="D652" s="51" t="s">
        <v>12</v>
      </c>
      <c r="E652" s="51" t="s">
        <v>10</v>
      </c>
      <c r="F652" s="51" t="s">
        <v>8</v>
      </c>
      <c r="G652" s="52">
        <v>0</v>
      </c>
      <c r="H652" s="61">
        <v>0</v>
      </c>
      <c r="J652"/>
    </row>
    <row r="653" spans="1:10" x14ac:dyDescent="0.35">
      <c r="A653" s="54" t="s">
        <v>200</v>
      </c>
      <c r="B653" s="55">
        <v>45870</v>
      </c>
      <c r="C653" s="56" t="str">
        <f>_xlfn.XLOOKUP(TabReceitas[[#This Row],[ID]],TabCondicoesComerciais[ID],TabCondicoesComerciais[Nº Filial],0)</f>
        <v>16</v>
      </c>
      <c r="D653" s="56" t="s">
        <v>12</v>
      </c>
      <c r="E653" s="51" t="s">
        <v>10</v>
      </c>
      <c r="F653" s="56" t="s">
        <v>15</v>
      </c>
      <c r="G653" s="57">
        <v>0</v>
      </c>
      <c r="H653" s="62">
        <v>0</v>
      </c>
      <c r="J653" s="12">
        <f>SUMIFS(Receitas!L:L,Receitas!B:B,'BaseRelatório vOrçamento'!B653,Receitas!G:G,'BaseRelatório vOrçamento'!D653,Receitas!H:H,'BaseRelatório vOrçamento'!E653)</f>
        <v>766736.01</v>
      </c>
    </row>
    <row r="654" spans="1:10" x14ac:dyDescent="0.35">
      <c r="A654" s="49" t="s">
        <v>200</v>
      </c>
      <c r="B654" s="50">
        <v>45870</v>
      </c>
      <c r="C654" s="51" t="str">
        <f>_xlfn.XLOOKUP(TabReceitas[[#This Row],[ID]],TabCondicoesComerciais[ID],TabCondicoesComerciais[Nº Filial],0)</f>
        <v>16</v>
      </c>
      <c r="D654" s="51" t="s">
        <v>12</v>
      </c>
      <c r="E654" s="51" t="s">
        <v>10</v>
      </c>
      <c r="F654" s="51" t="s">
        <v>65</v>
      </c>
      <c r="G654" s="52">
        <v>0</v>
      </c>
      <c r="H654" s="61">
        <v>0</v>
      </c>
      <c r="J654"/>
    </row>
    <row r="655" spans="1:10" x14ac:dyDescent="0.35">
      <c r="A655" s="54" t="s">
        <v>200</v>
      </c>
      <c r="B655" s="55">
        <v>45901</v>
      </c>
      <c r="C655" s="56" t="str">
        <f>_xlfn.XLOOKUP(TabReceitas[[#This Row],[ID]],TabCondicoesComerciais[ID],TabCondicoesComerciais[Nº Filial],0)</f>
        <v>16</v>
      </c>
      <c r="D655" s="56" t="s">
        <v>12</v>
      </c>
      <c r="E655" s="51" t="s">
        <v>10</v>
      </c>
      <c r="F655" s="56" t="s">
        <v>7</v>
      </c>
      <c r="G655" s="57">
        <v>0</v>
      </c>
      <c r="H655" s="62">
        <v>0</v>
      </c>
      <c r="J655"/>
    </row>
    <row r="656" spans="1:10" x14ac:dyDescent="0.35">
      <c r="A656" s="49" t="s">
        <v>200</v>
      </c>
      <c r="B656" s="50">
        <v>45901</v>
      </c>
      <c r="C656" s="51" t="str">
        <f>_xlfn.XLOOKUP(TabReceitas[[#This Row],[ID]],TabCondicoesComerciais[ID],TabCondicoesComerciais[Nº Filial],0)</f>
        <v>16</v>
      </c>
      <c r="D656" s="51" t="s">
        <v>12</v>
      </c>
      <c r="E656" s="51" t="s">
        <v>10</v>
      </c>
      <c r="F656" s="51" t="s">
        <v>8</v>
      </c>
      <c r="G656" s="52">
        <v>0</v>
      </c>
      <c r="H656" s="61">
        <v>0</v>
      </c>
      <c r="J656"/>
    </row>
    <row r="657" spans="1:10" x14ac:dyDescent="0.35">
      <c r="A657" s="54" t="s">
        <v>200</v>
      </c>
      <c r="B657" s="55">
        <v>45901</v>
      </c>
      <c r="C657" s="56" t="str">
        <f>_xlfn.XLOOKUP(TabReceitas[[#This Row],[ID]],TabCondicoesComerciais[ID],TabCondicoesComerciais[Nº Filial],0)</f>
        <v>16</v>
      </c>
      <c r="D657" s="56" t="s">
        <v>12</v>
      </c>
      <c r="E657" s="51" t="s">
        <v>10</v>
      </c>
      <c r="F657" s="56" t="s">
        <v>15</v>
      </c>
      <c r="G657" s="57">
        <v>0</v>
      </c>
      <c r="H657" s="62">
        <v>0</v>
      </c>
      <c r="J657" s="12">
        <f>SUMIFS(Receitas!L:L,Receitas!B:B,'BaseRelatório vOrçamento'!B657,Receitas!G:G,'BaseRelatório vOrçamento'!D657,Receitas!H:H,'BaseRelatório vOrçamento'!E657)</f>
        <v>771156.51</v>
      </c>
    </row>
    <row r="658" spans="1:10" x14ac:dyDescent="0.35">
      <c r="A658" s="49" t="s">
        <v>200</v>
      </c>
      <c r="B658" s="50">
        <v>45901</v>
      </c>
      <c r="C658" s="51" t="str">
        <f>_xlfn.XLOOKUP(TabReceitas[[#This Row],[ID]],TabCondicoesComerciais[ID],TabCondicoesComerciais[Nº Filial],0)</f>
        <v>16</v>
      </c>
      <c r="D658" s="51" t="s">
        <v>12</v>
      </c>
      <c r="E658" s="51" t="s">
        <v>10</v>
      </c>
      <c r="F658" s="51" t="s">
        <v>65</v>
      </c>
      <c r="G658" s="52">
        <v>0</v>
      </c>
      <c r="H658" s="61">
        <v>0</v>
      </c>
      <c r="J658"/>
    </row>
    <row r="659" spans="1:10" x14ac:dyDescent="0.35">
      <c r="A659" s="54" t="s">
        <v>200</v>
      </c>
      <c r="B659" s="55">
        <v>45931</v>
      </c>
      <c r="C659" s="56" t="str">
        <f>_xlfn.XLOOKUP(TabReceitas[[#This Row],[ID]],TabCondicoesComerciais[ID],TabCondicoesComerciais[Nº Filial],0)</f>
        <v>16</v>
      </c>
      <c r="D659" s="56" t="s">
        <v>12</v>
      </c>
      <c r="E659" s="51" t="s">
        <v>10</v>
      </c>
      <c r="F659" s="56" t="s">
        <v>7</v>
      </c>
      <c r="G659" s="57">
        <v>0</v>
      </c>
      <c r="H659" s="62">
        <v>0</v>
      </c>
      <c r="J659"/>
    </row>
    <row r="660" spans="1:10" x14ac:dyDescent="0.35">
      <c r="A660" s="49" t="s">
        <v>200</v>
      </c>
      <c r="B660" s="50">
        <v>45931</v>
      </c>
      <c r="C660" s="51" t="str">
        <f>_xlfn.XLOOKUP(TabReceitas[[#This Row],[ID]],TabCondicoesComerciais[ID],TabCondicoesComerciais[Nº Filial],0)</f>
        <v>16</v>
      </c>
      <c r="D660" s="51" t="s">
        <v>12</v>
      </c>
      <c r="E660" s="51" t="s">
        <v>10</v>
      </c>
      <c r="F660" s="51" t="s">
        <v>8</v>
      </c>
      <c r="G660" s="52">
        <v>0</v>
      </c>
      <c r="H660" s="61">
        <v>0</v>
      </c>
      <c r="J660"/>
    </row>
    <row r="661" spans="1:10" x14ac:dyDescent="0.35">
      <c r="A661" s="54" t="s">
        <v>200</v>
      </c>
      <c r="B661" s="55">
        <v>45931</v>
      </c>
      <c r="C661" s="56" t="str">
        <f>_xlfn.XLOOKUP(TabReceitas[[#This Row],[ID]],TabCondicoesComerciais[ID],TabCondicoesComerciais[Nº Filial],0)</f>
        <v>16</v>
      </c>
      <c r="D661" s="56" t="s">
        <v>12</v>
      </c>
      <c r="E661" s="51" t="s">
        <v>10</v>
      </c>
      <c r="F661" s="56" t="s">
        <v>15</v>
      </c>
      <c r="G661" s="57">
        <v>0</v>
      </c>
      <c r="H661" s="62">
        <v>0</v>
      </c>
      <c r="J661" s="12">
        <f>SUMIFS(Receitas!L:L,Receitas!B:B,'BaseRelatório vOrçamento'!B661,Receitas!G:G,'BaseRelatório vOrçamento'!D661,Receitas!H:H,'BaseRelatório vOrçamento'!E661)</f>
        <v>747608.49</v>
      </c>
    </row>
    <row r="662" spans="1:10" x14ac:dyDescent="0.35">
      <c r="A662" s="49" t="s">
        <v>200</v>
      </c>
      <c r="B662" s="50">
        <v>45931</v>
      </c>
      <c r="C662" s="51" t="str">
        <f>_xlfn.XLOOKUP(TabReceitas[[#This Row],[ID]],TabCondicoesComerciais[ID],TabCondicoesComerciais[Nº Filial],0)</f>
        <v>16</v>
      </c>
      <c r="D662" s="51" t="s">
        <v>12</v>
      </c>
      <c r="E662" s="51" t="s">
        <v>10</v>
      </c>
      <c r="F662" s="51" t="s">
        <v>65</v>
      </c>
      <c r="G662" s="52">
        <v>0</v>
      </c>
      <c r="H662" s="61">
        <v>0</v>
      </c>
      <c r="J662"/>
    </row>
    <row r="663" spans="1:10" x14ac:dyDescent="0.35">
      <c r="A663" s="54" t="s">
        <v>200</v>
      </c>
      <c r="B663" s="55">
        <v>45962</v>
      </c>
      <c r="C663" s="56" t="str">
        <f>_xlfn.XLOOKUP(TabReceitas[[#This Row],[ID]],TabCondicoesComerciais[ID],TabCondicoesComerciais[Nº Filial],0)</f>
        <v>16</v>
      </c>
      <c r="D663" s="56" t="s">
        <v>12</v>
      </c>
      <c r="E663" s="51" t="s">
        <v>10</v>
      </c>
      <c r="F663" s="56" t="s">
        <v>7</v>
      </c>
      <c r="G663" s="57">
        <v>0</v>
      </c>
      <c r="H663" s="62">
        <v>0</v>
      </c>
      <c r="J663"/>
    </row>
    <row r="664" spans="1:10" x14ac:dyDescent="0.35">
      <c r="A664" s="49" t="s">
        <v>200</v>
      </c>
      <c r="B664" s="50">
        <v>45962</v>
      </c>
      <c r="C664" s="51" t="str">
        <f>_xlfn.XLOOKUP(TabReceitas[[#This Row],[ID]],TabCondicoesComerciais[ID],TabCondicoesComerciais[Nº Filial],0)</f>
        <v>16</v>
      </c>
      <c r="D664" s="51" t="s">
        <v>12</v>
      </c>
      <c r="E664" s="51" t="s">
        <v>10</v>
      </c>
      <c r="F664" s="51" t="s">
        <v>8</v>
      </c>
      <c r="G664" s="52">
        <v>0</v>
      </c>
      <c r="H664" s="61">
        <v>0</v>
      </c>
      <c r="J664"/>
    </row>
    <row r="665" spans="1:10" x14ac:dyDescent="0.35">
      <c r="A665" s="54" t="s">
        <v>200</v>
      </c>
      <c r="B665" s="55">
        <v>45962</v>
      </c>
      <c r="C665" s="56" t="str">
        <f>_xlfn.XLOOKUP(TabReceitas[[#This Row],[ID]],TabCondicoesComerciais[ID],TabCondicoesComerciais[Nº Filial],0)</f>
        <v>16</v>
      </c>
      <c r="D665" s="56" t="s">
        <v>12</v>
      </c>
      <c r="E665" s="51" t="s">
        <v>10</v>
      </c>
      <c r="F665" s="56" t="s">
        <v>15</v>
      </c>
      <c r="G665" s="57">
        <v>0</v>
      </c>
      <c r="H665" s="62">
        <v>0</v>
      </c>
      <c r="J665" s="12">
        <f>SUMIFS(Receitas!L:L,Receitas!B:B,'BaseRelatório vOrçamento'!B665,Receitas!G:G,'BaseRelatório vOrçamento'!D665,Receitas!H:H,'BaseRelatório vOrçamento'!E665)</f>
        <v>769648.86</v>
      </c>
    </row>
    <row r="666" spans="1:10" x14ac:dyDescent="0.35">
      <c r="A666" s="49" t="s">
        <v>200</v>
      </c>
      <c r="B666" s="50">
        <v>45962</v>
      </c>
      <c r="C666" s="51" t="str">
        <f>_xlfn.XLOOKUP(TabReceitas[[#This Row],[ID]],TabCondicoesComerciais[ID],TabCondicoesComerciais[Nº Filial],0)</f>
        <v>16</v>
      </c>
      <c r="D666" s="51" t="s">
        <v>12</v>
      </c>
      <c r="E666" s="51" t="s">
        <v>10</v>
      </c>
      <c r="F666" s="51" t="s">
        <v>65</v>
      </c>
      <c r="G666" s="52">
        <v>0</v>
      </c>
      <c r="H666" s="61">
        <v>0</v>
      </c>
      <c r="J666"/>
    </row>
    <row r="667" spans="1:10" x14ac:dyDescent="0.35">
      <c r="A667" s="54" t="s">
        <v>200</v>
      </c>
      <c r="B667" s="55">
        <v>45992</v>
      </c>
      <c r="C667" s="56" t="str">
        <f>_xlfn.XLOOKUP(TabReceitas[[#This Row],[ID]],TabCondicoesComerciais[ID],TabCondicoesComerciais[Nº Filial],0)</f>
        <v>16</v>
      </c>
      <c r="D667" s="56" t="s">
        <v>12</v>
      </c>
      <c r="E667" s="51" t="s">
        <v>10</v>
      </c>
      <c r="F667" s="56" t="s">
        <v>7</v>
      </c>
      <c r="G667" s="57">
        <v>0</v>
      </c>
      <c r="H667" s="62">
        <v>0</v>
      </c>
      <c r="J667"/>
    </row>
    <row r="668" spans="1:10" x14ac:dyDescent="0.35">
      <c r="A668" s="49" t="s">
        <v>200</v>
      </c>
      <c r="B668" s="50">
        <v>45992</v>
      </c>
      <c r="C668" s="51" t="str">
        <f>_xlfn.XLOOKUP(TabReceitas[[#This Row],[ID]],TabCondicoesComerciais[ID],TabCondicoesComerciais[Nº Filial],0)</f>
        <v>16</v>
      </c>
      <c r="D668" s="51" t="s">
        <v>12</v>
      </c>
      <c r="E668" s="51" t="s">
        <v>10</v>
      </c>
      <c r="F668" s="51" t="s">
        <v>8</v>
      </c>
      <c r="G668" s="52">
        <v>0</v>
      </c>
      <c r="H668" s="61">
        <v>0</v>
      </c>
      <c r="J668"/>
    </row>
    <row r="669" spans="1:10" x14ac:dyDescent="0.35">
      <c r="A669" s="54" t="s">
        <v>200</v>
      </c>
      <c r="B669" s="55">
        <v>45992</v>
      </c>
      <c r="C669" s="56" t="str">
        <f>_xlfn.XLOOKUP(TabReceitas[[#This Row],[ID]],TabCondicoesComerciais[ID],TabCondicoesComerciais[Nº Filial],0)</f>
        <v>16</v>
      </c>
      <c r="D669" s="56" t="s">
        <v>12</v>
      </c>
      <c r="E669" s="51" t="s">
        <v>10</v>
      </c>
      <c r="F669" s="56" t="s">
        <v>15</v>
      </c>
      <c r="G669" s="57">
        <v>0</v>
      </c>
      <c r="H669" s="62">
        <v>0</v>
      </c>
      <c r="J669" s="12">
        <f>SUMIFS(Receitas!L:L,Receitas!B:B,'BaseRelatório vOrçamento'!B669,Receitas!G:G,'BaseRelatório vOrçamento'!D669,Receitas!H:H,'BaseRelatório vOrçamento'!E669)</f>
        <v>797551.83000000007</v>
      </c>
    </row>
    <row r="670" spans="1:10" x14ac:dyDescent="0.35">
      <c r="A670" s="49" t="s">
        <v>200</v>
      </c>
      <c r="B670" s="50">
        <v>45992</v>
      </c>
      <c r="C670" s="51" t="str">
        <f>_xlfn.XLOOKUP(TabReceitas[[#This Row],[ID]],TabCondicoesComerciais[ID],TabCondicoesComerciais[Nº Filial],0)</f>
        <v>16</v>
      </c>
      <c r="D670" s="51" t="s">
        <v>12</v>
      </c>
      <c r="E670" s="51" t="s">
        <v>10</v>
      </c>
      <c r="F670" s="51" t="s">
        <v>65</v>
      </c>
      <c r="G670" s="52">
        <v>0</v>
      </c>
      <c r="H670" s="61">
        <v>0</v>
      </c>
      <c r="J670"/>
    </row>
    <row r="671" spans="1:10" x14ac:dyDescent="0.35">
      <c r="A671" s="54" t="s">
        <v>208</v>
      </c>
      <c r="B671" s="55">
        <v>45778</v>
      </c>
      <c r="C671" s="56" t="s">
        <v>22</v>
      </c>
      <c r="D671" s="56" t="s">
        <v>11</v>
      </c>
      <c r="E671" s="51" t="s">
        <v>207</v>
      </c>
      <c r="F671" s="56" t="s">
        <v>7</v>
      </c>
      <c r="G671" s="57">
        <v>0</v>
      </c>
      <c r="H671" s="58">
        <v>0</v>
      </c>
      <c r="J671"/>
    </row>
    <row r="672" spans="1:10" x14ac:dyDescent="0.35">
      <c r="A672" s="49" t="s">
        <v>208</v>
      </c>
      <c r="B672" s="50">
        <v>45778</v>
      </c>
      <c r="C672" s="51" t="s">
        <v>22</v>
      </c>
      <c r="D672" s="51" t="s">
        <v>11</v>
      </c>
      <c r="E672" s="51" t="s">
        <v>207</v>
      </c>
      <c r="F672" s="51" t="s">
        <v>8</v>
      </c>
      <c r="G672" s="52">
        <v>0</v>
      </c>
      <c r="H672" s="53">
        <v>0</v>
      </c>
      <c r="J672"/>
    </row>
    <row r="673" spans="1:10" x14ac:dyDescent="0.35">
      <c r="A673" s="54" t="s">
        <v>208</v>
      </c>
      <c r="B673" s="55">
        <v>45778</v>
      </c>
      <c r="C673" s="56" t="s">
        <v>22</v>
      </c>
      <c r="D673" s="56" t="s">
        <v>11</v>
      </c>
      <c r="E673" s="51" t="s">
        <v>207</v>
      </c>
      <c r="F673" s="56" t="s">
        <v>15</v>
      </c>
      <c r="G673" s="57">
        <v>0</v>
      </c>
      <c r="H673" s="58">
        <v>0</v>
      </c>
      <c r="J673" s="12">
        <f>SUMIFS(Receitas!L:L,Receitas!B:B,'BaseRelatório vOrçamento'!B673,Receitas!G:G,'BaseRelatório vOrçamento'!D673,Receitas!H:H,'BaseRelatório vOrçamento'!E673)</f>
        <v>1923.6</v>
      </c>
    </row>
    <row r="674" spans="1:10" x14ac:dyDescent="0.35">
      <c r="A674" s="49" t="s">
        <v>208</v>
      </c>
      <c r="B674" s="50">
        <v>45778</v>
      </c>
      <c r="C674" s="51" t="s">
        <v>22</v>
      </c>
      <c r="D674" s="51" t="s">
        <v>11</v>
      </c>
      <c r="E674" s="51" t="s">
        <v>207</v>
      </c>
      <c r="F674" s="51" t="s">
        <v>65</v>
      </c>
      <c r="G674" s="52">
        <v>0</v>
      </c>
      <c r="H674" s="53">
        <v>0</v>
      </c>
      <c r="J674"/>
    </row>
    <row r="675" spans="1:10" x14ac:dyDescent="0.35">
      <c r="A675" s="54" t="s">
        <v>208</v>
      </c>
      <c r="B675" s="55">
        <v>45809</v>
      </c>
      <c r="C675" s="56" t="s">
        <v>22</v>
      </c>
      <c r="D675" s="56" t="s">
        <v>11</v>
      </c>
      <c r="E675" s="51" t="s">
        <v>207</v>
      </c>
      <c r="F675" s="56" t="s">
        <v>7</v>
      </c>
      <c r="G675" s="57">
        <v>0</v>
      </c>
      <c r="H675" s="58">
        <v>0</v>
      </c>
      <c r="J675"/>
    </row>
    <row r="676" spans="1:10" x14ac:dyDescent="0.35">
      <c r="A676" s="49" t="s">
        <v>208</v>
      </c>
      <c r="B676" s="50">
        <v>45809</v>
      </c>
      <c r="C676" s="51" t="s">
        <v>22</v>
      </c>
      <c r="D676" s="51" t="s">
        <v>11</v>
      </c>
      <c r="E676" s="51" t="s">
        <v>207</v>
      </c>
      <c r="F676" s="51" t="s">
        <v>8</v>
      </c>
      <c r="G676" s="52">
        <v>0</v>
      </c>
      <c r="H676" s="53">
        <v>0</v>
      </c>
      <c r="J676"/>
    </row>
    <row r="677" spans="1:10" x14ac:dyDescent="0.35">
      <c r="A677" s="54" t="s">
        <v>208</v>
      </c>
      <c r="B677" s="55">
        <v>45809</v>
      </c>
      <c r="C677" s="56" t="s">
        <v>22</v>
      </c>
      <c r="D677" s="56" t="s">
        <v>11</v>
      </c>
      <c r="E677" s="51" t="s">
        <v>207</v>
      </c>
      <c r="F677" s="56" t="s">
        <v>15</v>
      </c>
      <c r="G677" s="57">
        <v>0</v>
      </c>
      <c r="H677" s="58">
        <v>0</v>
      </c>
      <c r="J677" s="12">
        <f>SUMIFS(Receitas!L:L,Receitas!B:B,'BaseRelatório vOrçamento'!B677,Receitas!G:G,'BaseRelatório vOrçamento'!D677,Receitas!H:H,'BaseRelatório vOrçamento'!E677)</f>
        <v>41817.79</v>
      </c>
    </row>
    <row r="678" spans="1:10" x14ac:dyDescent="0.35">
      <c r="A678" s="49" t="s">
        <v>208</v>
      </c>
      <c r="B678" s="50">
        <v>45809</v>
      </c>
      <c r="C678" s="51" t="s">
        <v>22</v>
      </c>
      <c r="D678" s="51" t="s">
        <v>11</v>
      </c>
      <c r="E678" s="51" t="s">
        <v>207</v>
      </c>
      <c r="F678" s="51" t="s">
        <v>65</v>
      </c>
      <c r="G678" s="52">
        <v>0</v>
      </c>
      <c r="H678" s="53">
        <v>0</v>
      </c>
      <c r="J678"/>
    </row>
    <row r="679" spans="1:10" x14ac:dyDescent="0.35">
      <c r="A679" s="54" t="s">
        <v>208</v>
      </c>
      <c r="B679" s="55">
        <v>45839</v>
      </c>
      <c r="C679" s="56" t="s">
        <v>22</v>
      </c>
      <c r="D679" s="56" t="s">
        <v>11</v>
      </c>
      <c r="E679" s="51" t="s">
        <v>207</v>
      </c>
      <c r="F679" s="56" t="s">
        <v>7</v>
      </c>
      <c r="G679" s="57">
        <v>0</v>
      </c>
      <c r="H679" s="58">
        <v>0</v>
      </c>
      <c r="J679"/>
    </row>
    <row r="680" spans="1:10" x14ac:dyDescent="0.35">
      <c r="A680" s="49" t="s">
        <v>208</v>
      </c>
      <c r="B680" s="50">
        <v>45839</v>
      </c>
      <c r="C680" s="51" t="s">
        <v>22</v>
      </c>
      <c r="D680" s="51" t="s">
        <v>11</v>
      </c>
      <c r="E680" s="51" t="s">
        <v>207</v>
      </c>
      <c r="F680" s="51" t="s">
        <v>8</v>
      </c>
      <c r="G680" s="52">
        <v>0</v>
      </c>
      <c r="H680" s="53">
        <v>0</v>
      </c>
      <c r="J680"/>
    </row>
    <row r="681" spans="1:10" x14ac:dyDescent="0.35">
      <c r="A681" s="54" t="s">
        <v>208</v>
      </c>
      <c r="B681" s="55">
        <v>45839</v>
      </c>
      <c r="C681" s="56" t="s">
        <v>22</v>
      </c>
      <c r="D681" s="56" t="s">
        <v>11</v>
      </c>
      <c r="E681" s="51" t="s">
        <v>207</v>
      </c>
      <c r="F681" s="56" t="s">
        <v>15</v>
      </c>
      <c r="G681" s="57">
        <v>0</v>
      </c>
      <c r="H681" s="58">
        <v>0</v>
      </c>
      <c r="J681" s="12">
        <f>SUMIFS(Receitas!L:L,Receitas!B:B,'BaseRelatório vOrçamento'!B681,Receitas!G:G,'BaseRelatório vOrçamento'!D681,Receitas!H:H,'BaseRelatório vOrçamento'!E681)</f>
        <v>44983.373</v>
      </c>
    </row>
    <row r="682" spans="1:10" x14ac:dyDescent="0.35">
      <c r="A682" s="49" t="s">
        <v>208</v>
      </c>
      <c r="B682" s="50">
        <v>45839</v>
      </c>
      <c r="C682" s="51" t="s">
        <v>22</v>
      </c>
      <c r="D682" s="51" t="s">
        <v>11</v>
      </c>
      <c r="E682" s="51" t="s">
        <v>207</v>
      </c>
      <c r="F682" s="51" t="s">
        <v>65</v>
      </c>
      <c r="G682" s="52">
        <v>0</v>
      </c>
      <c r="H682" s="53">
        <v>0</v>
      </c>
      <c r="J682"/>
    </row>
    <row r="683" spans="1:10" x14ac:dyDescent="0.35">
      <c r="A683" s="54" t="s">
        <v>208</v>
      </c>
      <c r="B683" s="55">
        <v>45870</v>
      </c>
      <c r="C683" s="56" t="s">
        <v>22</v>
      </c>
      <c r="D683" s="56" t="s">
        <v>11</v>
      </c>
      <c r="E683" s="51" t="s">
        <v>207</v>
      </c>
      <c r="F683" s="56" t="s">
        <v>7</v>
      </c>
      <c r="G683" s="57">
        <v>0</v>
      </c>
      <c r="H683" s="58">
        <v>0</v>
      </c>
      <c r="J683"/>
    </row>
    <row r="684" spans="1:10" x14ac:dyDescent="0.35">
      <c r="A684" s="49" t="s">
        <v>208</v>
      </c>
      <c r="B684" s="50">
        <v>45870</v>
      </c>
      <c r="C684" s="51" t="s">
        <v>22</v>
      </c>
      <c r="D684" s="51" t="s">
        <v>11</v>
      </c>
      <c r="E684" s="51" t="s">
        <v>207</v>
      </c>
      <c r="F684" s="51" t="s">
        <v>8</v>
      </c>
      <c r="G684" s="52">
        <v>0</v>
      </c>
      <c r="H684" s="53">
        <v>0</v>
      </c>
      <c r="J684"/>
    </row>
    <row r="685" spans="1:10" x14ac:dyDescent="0.35">
      <c r="A685" s="54" t="s">
        <v>208</v>
      </c>
      <c r="B685" s="55">
        <v>45870</v>
      </c>
      <c r="C685" s="56" t="s">
        <v>22</v>
      </c>
      <c r="D685" s="56" t="s">
        <v>11</v>
      </c>
      <c r="E685" s="51" t="s">
        <v>207</v>
      </c>
      <c r="F685" s="56" t="s">
        <v>15</v>
      </c>
      <c r="G685" s="57">
        <v>0</v>
      </c>
      <c r="H685" s="58">
        <v>0</v>
      </c>
      <c r="J685" s="12">
        <f>SUMIFS(Receitas!L:L,Receitas!B:B,'BaseRelatório vOrçamento'!B685,Receitas!G:G,'BaseRelatório vOrçamento'!D685,Receitas!H:H,'BaseRelatório vOrçamento'!E685)</f>
        <v>48062.2</v>
      </c>
    </row>
    <row r="686" spans="1:10" x14ac:dyDescent="0.35">
      <c r="A686" s="49" t="s">
        <v>208</v>
      </c>
      <c r="B686" s="50">
        <v>45870</v>
      </c>
      <c r="C686" s="51" t="s">
        <v>22</v>
      </c>
      <c r="D686" s="51" t="s">
        <v>11</v>
      </c>
      <c r="E686" s="51" t="s">
        <v>207</v>
      </c>
      <c r="F686" s="51" t="s">
        <v>65</v>
      </c>
      <c r="G686" s="52">
        <v>0</v>
      </c>
      <c r="H686" s="53">
        <v>0</v>
      </c>
      <c r="J686"/>
    </row>
    <row r="687" spans="1:10" x14ac:dyDescent="0.35">
      <c r="A687" s="54" t="s">
        <v>208</v>
      </c>
      <c r="B687" s="55">
        <v>45901</v>
      </c>
      <c r="C687" s="56" t="s">
        <v>22</v>
      </c>
      <c r="D687" s="56" t="s">
        <v>11</v>
      </c>
      <c r="E687" s="51" t="s">
        <v>207</v>
      </c>
      <c r="F687" s="56" t="s">
        <v>7</v>
      </c>
      <c r="G687" s="57">
        <v>0</v>
      </c>
      <c r="H687" s="58">
        <v>0</v>
      </c>
      <c r="J687"/>
    </row>
    <row r="688" spans="1:10" x14ac:dyDescent="0.35">
      <c r="A688" s="49" t="s">
        <v>208</v>
      </c>
      <c r="B688" s="50">
        <v>45901</v>
      </c>
      <c r="C688" s="51" t="s">
        <v>22</v>
      </c>
      <c r="D688" s="51" t="s">
        <v>11</v>
      </c>
      <c r="E688" s="51" t="s">
        <v>207</v>
      </c>
      <c r="F688" s="51" t="s">
        <v>8</v>
      </c>
      <c r="G688" s="52">
        <v>0</v>
      </c>
      <c r="H688" s="53">
        <v>0</v>
      </c>
      <c r="J688"/>
    </row>
    <row r="689" spans="1:10" x14ac:dyDescent="0.35">
      <c r="A689" s="54" t="s">
        <v>208</v>
      </c>
      <c r="B689" s="55">
        <v>45901</v>
      </c>
      <c r="C689" s="56" t="s">
        <v>22</v>
      </c>
      <c r="D689" s="56" t="s">
        <v>11</v>
      </c>
      <c r="E689" s="51" t="s">
        <v>207</v>
      </c>
      <c r="F689" s="56" t="s">
        <v>15</v>
      </c>
      <c r="G689" s="57">
        <v>0</v>
      </c>
      <c r="H689" s="58">
        <v>0</v>
      </c>
      <c r="J689" s="12">
        <f>SUMIFS(Receitas!L:L,Receitas!B:B,'BaseRelatório vOrçamento'!B689,Receitas!G:G,'BaseRelatório vOrçamento'!D689,Receitas!H:H,'BaseRelatório vOrçamento'!E689)</f>
        <v>57070.17</v>
      </c>
    </row>
    <row r="690" spans="1:10" x14ac:dyDescent="0.35">
      <c r="A690" s="49" t="s">
        <v>208</v>
      </c>
      <c r="B690" s="50">
        <v>45901</v>
      </c>
      <c r="C690" s="51" t="s">
        <v>22</v>
      </c>
      <c r="D690" s="51" t="s">
        <v>11</v>
      </c>
      <c r="E690" s="51" t="s">
        <v>207</v>
      </c>
      <c r="F690" s="51" t="s">
        <v>65</v>
      </c>
      <c r="G690" s="52">
        <v>0</v>
      </c>
      <c r="H690" s="53">
        <v>0</v>
      </c>
      <c r="J690"/>
    </row>
    <row r="691" spans="1:10" x14ac:dyDescent="0.35">
      <c r="A691" s="54" t="s">
        <v>208</v>
      </c>
      <c r="B691" s="55">
        <v>45931</v>
      </c>
      <c r="C691" s="56" t="s">
        <v>22</v>
      </c>
      <c r="D691" s="56" t="s">
        <v>11</v>
      </c>
      <c r="E691" s="51" t="s">
        <v>207</v>
      </c>
      <c r="F691" s="56" t="s">
        <v>7</v>
      </c>
      <c r="G691" s="57">
        <v>0</v>
      </c>
      <c r="H691" s="58">
        <v>0</v>
      </c>
      <c r="J691"/>
    </row>
    <row r="692" spans="1:10" x14ac:dyDescent="0.35">
      <c r="A692" s="49" t="s">
        <v>208</v>
      </c>
      <c r="B692" s="50">
        <v>45931</v>
      </c>
      <c r="C692" s="51" t="s">
        <v>22</v>
      </c>
      <c r="D692" s="51" t="s">
        <v>11</v>
      </c>
      <c r="E692" s="51" t="s">
        <v>207</v>
      </c>
      <c r="F692" s="51" t="s">
        <v>8</v>
      </c>
      <c r="G692" s="52">
        <v>0</v>
      </c>
      <c r="H692" s="53">
        <v>0</v>
      </c>
      <c r="J692"/>
    </row>
    <row r="693" spans="1:10" x14ac:dyDescent="0.35">
      <c r="A693" s="54" t="s">
        <v>208</v>
      </c>
      <c r="B693" s="55">
        <v>45931</v>
      </c>
      <c r="C693" s="56" t="s">
        <v>22</v>
      </c>
      <c r="D693" s="56" t="s">
        <v>11</v>
      </c>
      <c r="E693" s="51" t="s">
        <v>207</v>
      </c>
      <c r="F693" s="56" t="s">
        <v>15</v>
      </c>
      <c r="G693" s="57">
        <v>0</v>
      </c>
      <c r="H693" s="58">
        <v>0</v>
      </c>
      <c r="J693" s="12">
        <f>SUMIFS(Receitas!L:L,Receitas!B:B,'BaseRelatório vOrçamento'!B693,Receitas!G:G,'BaseRelatório vOrçamento'!D693,Receitas!H:H,'BaseRelatório vOrçamento'!E693)</f>
        <v>42936.01</v>
      </c>
    </row>
    <row r="694" spans="1:10" x14ac:dyDescent="0.35">
      <c r="A694" s="49" t="s">
        <v>208</v>
      </c>
      <c r="B694" s="50">
        <v>45931</v>
      </c>
      <c r="C694" s="51" t="s">
        <v>22</v>
      </c>
      <c r="D694" s="51" t="s">
        <v>11</v>
      </c>
      <c r="E694" s="51" t="s">
        <v>207</v>
      </c>
      <c r="F694" s="51" t="s">
        <v>65</v>
      </c>
      <c r="G694" s="52">
        <v>0</v>
      </c>
      <c r="H694" s="53">
        <v>0</v>
      </c>
      <c r="J694"/>
    </row>
    <row r="695" spans="1:10" x14ac:dyDescent="0.35">
      <c r="A695" s="54" t="s">
        <v>208</v>
      </c>
      <c r="B695" s="55">
        <v>45962</v>
      </c>
      <c r="C695" s="56" t="s">
        <v>22</v>
      </c>
      <c r="D695" s="56" t="s">
        <v>11</v>
      </c>
      <c r="E695" s="51" t="s">
        <v>207</v>
      </c>
      <c r="F695" s="56" t="s">
        <v>7</v>
      </c>
      <c r="G695" s="57">
        <v>0</v>
      </c>
      <c r="H695" s="58">
        <v>0</v>
      </c>
      <c r="J695"/>
    </row>
    <row r="696" spans="1:10" x14ac:dyDescent="0.35">
      <c r="A696" s="49" t="s">
        <v>208</v>
      </c>
      <c r="B696" s="50">
        <v>45962</v>
      </c>
      <c r="C696" s="51" t="s">
        <v>22</v>
      </c>
      <c r="D696" s="51" t="s">
        <v>11</v>
      </c>
      <c r="E696" s="51" t="s">
        <v>207</v>
      </c>
      <c r="F696" s="51" t="s">
        <v>8</v>
      </c>
      <c r="G696" s="52">
        <v>0</v>
      </c>
      <c r="H696" s="53">
        <v>0</v>
      </c>
      <c r="J696"/>
    </row>
    <row r="697" spans="1:10" x14ac:dyDescent="0.35">
      <c r="A697" s="54" t="s">
        <v>208</v>
      </c>
      <c r="B697" s="55">
        <v>45962</v>
      </c>
      <c r="C697" s="56" t="s">
        <v>22</v>
      </c>
      <c r="D697" s="56" t="s">
        <v>11</v>
      </c>
      <c r="E697" s="51" t="s">
        <v>207</v>
      </c>
      <c r="F697" s="56" t="s">
        <v>15</v>
      </c>
      <c r="G697" s="57">
        <v>0</v>
      </c>
      <c r="H697" s="58">
        <v>0</v>
      </c>
      <c r="J697" s="12">
        <f>SUMIFS(Receitas!L:L,Receitas!B:B,'BaseRelatório vOrçamento'!B697,Receitas!G:G,'BaseRelatório vOrçamento'!D697,Receitas!H:H,'BaseRelatório vOrçamento'!E697)</f>
        <v>91447.47</v>
      </c>
    </row>
    <row r="698" spans="1:10" x14ac:dyDescent="0.35">
      <c r="A698" s="49" t="s">
        <v>208</v>
      </c>
      <c r="B698" s="50">
        <v>45962</v>
      </c>
      <c r="C698" s="51" t="s">
        <v>22</v>
      </c>
      <c r="D698" s="51" t="s">
        <v>11</v>
      </c>
      <c r="E698" s="51" t="s">
        <v>207</v>
      </c>
      <c r="F698" s="51" t="s">
        <v>65</v>
      </c>
      <c r="G698" s="52">
        <v>0</v>
      </c>
      <c r="H698" s="53">
        <v>0</v>
      </c>
      <c r="J698"/>
    </row>
    <row r="699" spans="1:10" x14ac:dyDescent="0.35">
      <c r="A699" s="54" t="s">
        <v>208</v>
      </c>
      <c r="B699" s="55">
        <v>45992</v>
      </c>
      <c r="C699" s="56" t="s">
        <v>22</v>
      </c>
      <c r="D699" s="56" t="s">
        <v>11</v>
      </c>
      <c r="E699" s="51" t="s">
        <v>207</v>
      </c>
      <c r="F699" s="56" t="s">
        <v>7</v>
      </c>
      <c r="G699" s="57">
        <v>0</v>
      </c>
      <c r="H699" s="58">
        <v>0</v>
      </c>
      <c r="J699"/>
    </row>
    <row r="700" spans="1:10" x14ac:dyDescent="0.35">
      <c r="A700" s="49" t="s">
        <v>208</v>
      </c>
      <c r="B700" s="50">
        <v>45992</v>
      </c>
      <c r="C700" s="51" t="s">
        <v>22</v>
      </c>
      <c r="D700" s="51" t="s">
        <v>11</v>
      </c>
      <c r="E700" s="51" t="s">
        <v>207</v>
      </c>
      <c r="F700" s="51" t="s">
        <v>8</v>
      </c>
      <c r="G700" s="52">
        <v>0</v>
      </c>
      <c r="H700" s="53">
        <v>0</v>
      </c>
      <c r="J700"/>
    </row>
    <row r="701" spans="1:10" x14ac:dyDescent="0.35">
      <c r="A701" s="54" t="s">
        <v>208</v>
      </c>
      <c r="B701" s="55">
        <v>45992</v>
      </c>
      <c r="C701" s="56" t="s">
        <v>22</v>
      </c>
      <c r="D701" s="56" t="s">
        <v>11</v>
      </c>
      <c r="E701" s="51" t="s">
        <v>207</v>
      </c>
      <c r="F701" s="56" t="s">
        <v>15</v>
      </c>
      <c r="G701" s="57">
        <v>0</v>
      </c>
      <c r="H701" s="58">
        <v>0</v>
      </c>
      <c r="J701" s="12">
        <f>SUMIFS(Receitas!L:L,Receitas!B:B,'BaseRelatório vOrçamento'!B701,Receitas!G:G,'BaseRelatório vOrçamento'!D701,Receitas!H:H,'BaseRelatório vOrçamento'!E701)</f>
        <v>102821.45000000001</v>
      </c>
    </row>
    <row r="702" spans="1:10" x14ac:dyDescent="0.35">
      <c r="A702" s="49" t="s">
        <v>208</v>
      </c>
      <c r="B702" s="50">
        <v>45992</v>
      </c>
      <c r="C702" s="51" t="s">
        <v>22</v>
      </c>
      <c r="D702" s="51" t="s">
        <v>11</v>
      </c>
      <c r="E702" s="51" t="s">
        <v>207</v>
      </c>
      <c r="F702" s="51" t="s">
        <v>65</v>
      </c>
      <c r="G702" s="52">
        <v>0</v>
      </c>
      <c r="H702" s="53">
        <v>0</v>
      </c>
      <c r="J702"/>
    </row>
    <row r="703" spans="1:10" x14ac:dyDescent="0.35">
      <c r="G703" s="12">
        <f>SUBTOTAL(9,G2:G702)</f>
        <v>10243827.290593332</v>
      </c>
      <c r="J703" s="12">
        <f>SUBTOTAL(9,J2:J702)</f>
        <v>16384397.636500001</v>
      </c>
    </row>
    <row r="706" spans="4:8" x14ac:dyDescent="0.35">
      <c r="D706" t="s">
        <v>278</v>
      </c>
      <c r="E706" t="s">
        <v>44</v>
      </c>
      <c r="F706" t="s">
        <v>279</v>
      </c>
      <c r="G706" t="s">
        <v>280</v>
      </c>
      <c r="H706" t="s">
        <v>301</v>
      </c>
    </row>
    <row r="707" spans="4:8" x14ac:dyDescent="0.35">
      <c r="D707" t="s">
        <v>49</v>
      </c>
      <c r="E707" t="s">
        <v>277</v>
      </c>
      <c r="F707" s="12">
        <v>-35819.220291060403</v>
      </c>
      <c r="G707" t="s">
        <v>281</v>
      </c>
    </row>
    <row r="708" spans="4:8" x14ac:dyDescent="0.35">
      <c r="D708" t="s">
        <v>49</v>
      </c>
      <c r="E708" t="s">
        <v>14</v>
      </c>
      <c r="F708" s="12">
        <v>-132411.16413721399</v>
      </c>
      <c r="G708" t="s">
        <v>282</v>
      </c>
    </row>
    <row r="709" spans="4:8" x14ac:dyDescent="0.35">
      <c r="D709" t="s">
        <v>49</v>
      </c>
      <c r="E709" t="s">
        <v>116</v>
      </c>
      <c r="F709" s="12">
        <v>-106652.806652807</v>
      </c>
      <c r="G709" t="s">
        <v>283</v>
      </c>
    </row>
    <row r="710" spans="4:8" x14ac:dyDescent="0.35">
      <c r="D710" t="s">
        <v>49</v>
      </c>
      <c r="E710" t="s">
        <v>51</v>
      </c>
      <c r="F710" s="12">
        <v>-1403270.1724324301</v>
      </c>
      <c r="G710" t="s">
        <v>284</v>
      </c>
    </row>
    <row r="711" spans="4:8" x14ac:dyDescent="0.35">
      <c r="D711" t="s">
        <v>11</v>
      </c>
      <c r="E711" t="s">
        <v>288</v>
      </c>
      <c r="F711" s="12">
        <v>328240.61</v>
      </c>
      <c r="G711" t="s">
        <v>289</v>
      </c>
    </row>
    <row r="712" spans="4:8" x14ac:dyDescent="0.35">
      <c r="D712" t="s">
        <v>11</v>
      </c>
      <c r="E712" t="s">
        <v>116</v>
      </c>
      <c r="F712" s="12">
        <v>-648000</v>
      </c>
      <c r="G712" t="s">
        <v>283</v>
      </c>
    </row>
    <row r="713" spans="4:8" x14ac:dyDescent="0.35">
      <c r="D713" t="s">
        <v>11</v>
      </c>
      <c r="E713" t="s">
        <v>13</v>
      </c>
      <c r="F713" s="12">
        <v>212518.9</v>
      </c>
      <c r="G713" t="s">
        <v>290</v>
      </c>
    </row>
    <row r="714" spans="4:8" x14ac:dyDescent="0.35">
      <c r="D714" t="s">
        <v>11</v>
      </c>
      <c r="E714" t="s">
        <v>291</v>
      </c>
      <c r="F714" s="12">
        <v>-2000000</v>
      </c>
      <c r="G714" t="s">
        <v>292</v>
      </c>
    </row>
    <row r="715" spans="4:8" x14ac:dyDescent="0.35">
      <c r="D715" t="s">
        <v>112</v>
      </c>
      <c r="E715" t="s">
        <v>113</v>
      </c>
      <c r="F715" s="12">
        <v>982800</v>
      </c>
      <c r="G715" t="s">
        <v>293</v>
      </c>
    </row>
    <row r="716" spans="4:8" x14ac:dyDescent="0.35">
      <c r="D716" t="s">
        <v>87</v>
      </c>
      <c r="E716" t="s">
        <v>9</v>
      </c>
      <c r="F716" s="12">
        <v>-810799.02227368462</v>
      </c>
      <c r="G716" t="s">
        <v>294</v>
      </c>
    </row>
    <row r="717" spans="4:8" x14ac:dyDescent="0.35">
      <c r="D717" t="s">
        <v>12</v>
      </c>
      <c r="E717" t="s">
        <v>10</v>
      </c>
      <c r="F717" s="12">
        <v>1311193.06</v>
      </c>
      <c r="G717" t="s">
        <v>295</v>
      </c>
    </row>
    <row r="718" spans="4:8" x14ac:dyDescent="0.35">
      <c r="D718" t="s">
        <v>12</v>
      </c>
      <c r="E718" t="s">
        <v>9</v>
      </c>
      <c r="F718" s="12">
        <v>-63619.178649000125</v>
      </c>
      <c r="G718" t="s">
        <v>281</v>
      </c>
    </row>
    <row r="719" spans="4:8" x14ac:dyDescent="0.35">
      <c r="D719" t="s">
        <v>12</v>
      </c>
      <c r="E719" t="s">
        <v>296</v>
      </c>
      <c r="F719" s="12">
        <v>714837.32</v>
      </c>
      <c r="G719" t="s">
        <v>297</v>
      </c>
    </row>
    <row r="720" spans="4:8" x14ac:dyDescent="0.35">
      <c r="D720" t="s">
        <v>298</v>
      </c>
      <c r="E720" t="s">
        <v>10</v>
      </c>
      <c r="F720" s="12">
        <v>262480.28384615388</v>
      </c>
      <c r="G720" t="s">
        <v>290</v>
      </c>
    </row>
    <row r="721" spans="4:7" x14ac:dyDescent="0.35">
      <c r="D721" t="s">
        <v>298</v>
      </c>
      <c r="E721" t="s">
        <v>6</v>
      </c>
      <c r="F721" s="12">
        <v>1287263.96</v>
      </c>
      <c r="G721" t="s">
        <v>299</v>
      </c>
    </row>
    <row r="722" spans="4:7" x14ac:dyDescent="0.35">
      <c r="D722" t="s">
        <v>19</v>
      </c>
      <c r="E722" t="s">
        <v>13</v>
      </c>
      <c r="F722" s="12">
        <f>J703-G703</f>
        <v>6140570.3459066693</v>
      </c>
      <c r="G722" t="s">
        <v>300</v>
      </c>
    </row>
  </sheetData>
  <autoFilter ref="A1:H702" xr:uid="{FEC4FFED-0FFD-4CC2-ADB8-B8131281613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FC36-1AB6-45FE-A0EF-21C43E3034FF}">
  <sheetPr codeName="Planilha2"/>
  <dimension ref="A1:N74"/>
  <sheetViews>
    <sheetView workbookViewId="0">
      <selection activeCell="D33" sqref="D33"/>
    </sheetView>
  </sheetViews>
  <sheetFormatPr defaultRowHeight="14.5" x14ac:dyDescent="0.35"/>
  <cols>
    <col min="1" max="1" width="6.81640625" bestFit="1" customWidth="1"/>
    <col min="2" max="2" width="10.08984375" bestFit="1" customWidth="1"/>
    <col min="3" max="3" width="21.36328125" bestFit="1" customWidth="1"/>
    <col min="4" max="4" width="15.6328125" bestFit="1" customWidth="1"/>
    <col min="5" max="5" width="14" style="2" bestFit="1" customWidth="1"/>
    <col min="6" max="6" width="22.90625" style="2" bestFit="1" customWidth="1"/>
    <col min="7" max="8" width="15.90625" style="1" bestFit="1" customWidth="1"/>
    <col min="9" max="9" width="17" style="1" bestFit="1" customWidth="1"/>
    <col min="10" max="10" width="17.54296875" style="1" bestFit="1" customWidth="1"/>
    <col min="11" max="11" width="27.90625" style="1" bestFit="1" customWidth="1"/>
    <col min="12" max="12" width="33.81640625" style="1" bestFit="1" customWidth="1"/>
    <col min="13" max="13" width="18.26953125" style="1" bestFit="1" customWidth="1"/>
    <col min="14" max="14" width="62.81640625" style="1" bestFit="1" customWidth="1"/>
    <col min="15" max="16" width="16.90625" bestFit="1" customWidth="1"/>
    <col min="17" max="17" width="16.90625" customWidth="1"/>
    <col min="18" max="18" width="16.90625" bestFit="1" customWidth="1"/>
  </cols>
  <sheetData>
    <row r="1" spans="1:14" x14ac:dyDescent="0.35">
      <c r="A1" t="s">
        <v>0</v>
      </c>
      <c r="B1" t="s">
        <v>42</v>
      </c>
      <c r="C1" t="s">
        <v>43</v>
      </c>
      <c r="D1" t="s">
        <v>44</v>
      </c>
      <c r="E1" s="2" t="s">
        <v>47</v>
      </c>
      <c r="F1" s="2" t="s">
        <v>45</v>
      </c>
      <c r="G1" s="1" t="s">
        <v>28</v>
      </c>
      <c r="H1" s="1" t="s">
        <v>24</v>
      </c>
      <c r="I1" s="1" t="s">
        <v>7</v>
      </c>
      <c r="J1" s="1" t="s">
        <v>8</v>
      </c>
      <c r="K1" t="s">
        <v>132</v>
      </c>
      <c r="L1" t="s">
        <v>104</v>
      </c>
      <c r="M1" t="s">
        <v>88</v>
      </c>
      <c r="N1" t="s">
        <v>95</v>
      </c>
    </row>
    <row r="2" spans="1:14" hidden="1" x14ac:dyDescent="0.35">
      <c r="A2" t="s">
        <v>69</v>
      </c>
      <c r="B2" t="s">
        <v>48</v>
      </c>
      <c r="C2" t="s">
        <v>49</v>
      </c>
      <c r="D2" t="s">
        <v>52</v>
      </c>
      <c r="E2" s="2">
        <v>300</v>
      </c>
      <c r="F2" s="2">
        <v>2040</v>
      </c>
      <c r="G2" s="1">
        <v>40.909999999999997</v>
      </c>
      <c r="H2" s="1">
        <v>40.909999999999997</v>
      </c>
      <c r="I2" s="1">
        <v>16.364000000000001</v>
      </c>
      <c r="J2" s="1">
        <v>15</v>
      </c>
      <c r="K2" s="31">
        <v>44440</v>
      </c>
      <c r="L2" s="31">
        <v>44805</v>
      </c>
      <c r="M2" s="31">
        <v>45171</v>
      </c>
      <c r="N2" s="33" t="s">
        <v>121</v>
      </c>
    </row>
    <row r="3" spans="1:14" hidden="1" x14ac:dyDescent="0.35">
      <c r="A3" t="s">
        <v>105</v>
      </c>
      <c r="B3" t="s">
        <v>48</v>
      </c>
      <c r="C3" t="s">
        <v>49</v>
      </c>
      <c r="D3" t="s">
        <v>52</v>
      </c>
      <c r="E3" s="2">
        <v>300</v>
      </c>
      <c r="F3" s="2">
        <v>2040</v>
      </c>
      <c r="G3" s="1">
        <v>40.909999999999997</v>
      </c>
      <c r="H3" s="1">
        <v>40.909999999999997</v>
      </c>
      <c r="I3" s="1">
        <v>16.364000000000001</v>
      </c>
      <c r="J3" s="1">
        <v>15</v>
      </c>
      <c r="K3" s="31">
        <v>44806</v>
      </c>
      <c r="L3" s="31">
        <v>45171</v>
      </c>
      <c r="M3" s="31">
        <v>45537</v>
      </c>
      <c r="N3" s="33" t="s">
        <v>106</v>
      </c>
    </row>
    <row r="4" spans="1:14" hidden="1" x14ac:dyDescent="0.35">
      <c r="A4" t="s">
        <v>122</v>
      </c>
      <c r="B4" t="s">
        <v>48</v>
      </c>
      <c r="C4" t="s">
        <v>49</v>
      </c>
      <c r="D4" t="s">
        <v>52</v>
      </c>
      <c r="E4" s="2">
        <v>300</v>
      </c>
      <c r="F4" s="2">
        <v>2040</v>
      </c>
      <c r="G4" s="1">
        <v>40.909999999999997</v>
      </c>
      <c r="H4" s="1">
        <v>40.909999999999997</v>
      </c>
      <c r="I4" s="1">
        <v>16.364000000000001</v>
      </c>
      <c r="J4" s="1">
        <v>15</v>
      </c>
      <c r="K4" s="31">
        <v>44806</v>
      </c>
      <c r="L4" s="31">
        <v>45537</v>
      </c>
      <c r="M4" s="31">
        <v>45537</v>
      </c>
      <c r="N4" s="33" t="s">
        <v>121</v>
      </c>
    </row>
    <row r="5" spans="1:14" hidden="1" x14ac:dyDescent="0.35">
      <c r="A5" t="s">
        <v>22</v>
      </c>
      <c r="B5" t="s">
        <v>48</v>
      </c>
      <c r="C5" t="s">
        <v>49</v>
      </c>
      <c r="D5" t="s">
        <v>14</v>
      </c>
      <c r="E5" s="2">
        <v>585</v>
      </c>
      <c r="F5" s="2">
        <v>1500</v>
      </c>
      <c r="G5" s="1">
        <v>17.87</v>
      </c>
      <c r="H5" s="1">
        <v>17.87</v>
      </c>
      <c r="I5" s="1">
        <v>0</v>
      </c>
      <c r="J5" s="1">
        <v>0</v>
      </c>
      <c r="K5" s="31">
        <v>44128</v>
      </c>
      <c r="L5" s="31">
        <v>45232</v>
      </c>
      <c r="M5" s="31">
        <v>45233</v>
      </c>
      <c r="N5" s="33" t="s">
        <v>121</v>
      </c>
    </row>
    <row r="6" spans="1:14" hidden="1" x14ac:dyDescent="0.35">
      <c r="A6" t="s">
        <v>114</v>
      </c>
      <c r="B6" t="s">
        <v>48</v>
      </c>
      <c r="C6" t="s">
        <v>49</v>
      </c>
      <c r="D6" t="s">
        <v>14</v>
      </c>
      <c r="E6" s="2">
        <v>585</v>
      </c>
      <c r="F6" s="2">
        <v>1500</v>
      </c>
      <c r="G6" s="1">
        <v>17.87</v>
      </c>
      <c r="H6" s="1">
        <v>17.87</v>
      </c>
      <c r="I6" s="1">
        <v>0</v>
      </c>
      <c r="J6" s="1">
        <v>0</v>
      </c>
      <c r="K6" s="31">
        <v>45234</v>
      </c>
      <c r="L6" s="31">
        <v>45600</v>
      </c>
      <c r="M6" s="31">
        <v>45965</v>
      </c>
      <c r="N6" s="33" t="s">
        <v>121</v>
      </c>
    </row>
    <row r="7" spans="1:14" hidden="1" x14ac:dyDescent="0.35">
      <c r="A7" t="s">
        <v>23</v>
      </c>
      <c r="B7" t="s">
        <v>48</v>
      </c>
      <c r="C7" t="s">
        <v>49</v>
      </c>
      <c r="D7" t="s">
        <v>50</v>
      </c>
      <c r="E7" s="2">
        <v>285</v>
      </c>
      <c r="F7" s="2">
        <v>2120</v>
      </c>
      <c r="G7" s="1">
        <v>25.72</v>
      </c>
      <c r="H7" s="1">
        <v>25.72</v>
      </c>
      <c r="I7" s="1">
        <v>0</v>
      </c>
      <c r="J7" s="1">
        <v>10.288</v>
      </c>
      <c r="K7" s="31">
        <v>43646</v>
      </c>
      <c r="L7" s="31">
        <v>45108</v>
      </c>
      <c r="M7" s="31">
        <v>45108</v>
      </c>
      <c r="N7" s="33" t="s">
        <v>96</v>
      </c>
    </row>
    <row r="8" spans="1:14" hidden="1" x14ac:dyDescent="0.35">
      <c r="A8" t="s">
        <v>107</v>
      </c>
      <c r="B8" t="s">
        <v>48</v>
      </c>
      <c r="C8" t="s">
        <v>49</v>
      </c>
      <c r="D8" t="s">
        <v>50</v>
      </c>
      <c r="E8" s="2">
        <v>285</v>
      </c>
      <c r="F8" s="2">
        <v>2120</v>
      </c>
      <c r="G8" s="1">
        <v>25.72</v>
      </c>
      <c r="H8" s="1">
        <v>25.72</v>
      </c>
      <c r="I8" s="1">
        <v>0</v>
      </c>
      <c r="J8" s="1">
        <v>10.288</v>
      </c>
      <c r="K8" s="31">
        <v>43646</v>
      </c>
      <c r="L8" s="31">
        <v>45475</v>
      </c>
      <c r="M8" s="31">
        <v>45839</v>
      </c>
      <c r="N8" s="33" t="s">
        <v>121</v>
      </c>
    </row>
    <row r="9" spans="1:14" hidden="1" x14ac:dyDescent="0.35">
      <c r="A9" t="s">
        <v>25</v>
      </c>
      <c r="B9" t="s">
        <v>48</v>
      </c>
      <c r="C9" t="s">
        <v>49</v>
      </c>
      <c r="D9" t="s">
        <v>116</v>
      </c>
      <c r="E9" s="2">
        <v>100</v>
      </c>
      <c r="F9" s="2">
        <v>300</v>
      </c>
      <c r="G9" s="1">
        <v>30</v>
      </c>
      <c r="H9" s="1">
        <v>30</v>
      </c>
      <c r="I9" s="1">
        <v>0</v>
      </c>
      <c r="J9" s="1">
        <v>0</v>
      </c>
      <c r="K9" s="31">
        <v>45261</v>
      </c>
      <c r="L9" s="31">
        <v>45292</v>
      </c>
      <c r="M9" s="31">
        <v>45657</v>
      </c>
      <c r="N9" s="33" t="s">
        <v>121</v>
      </c>
    </row>
    <row r="10" spans="1:14" hidden="1" x14ac:dyDescent="0.35">
      <c r="A10" t="s">
        <v>67</v>
      </c>
      <c r="B10" t="s">
        <v>48</v>
      </c>
      <c r="C10" t="s">
        <v>49</v>
      </c>
      <c r="D10" t="s">
        <v>13</v>
      </c>
      <c r="E10" s="2">
        <v>250</v>
      </c>
      <c r="F10" s="2">
        <v>1317</v>
      </c>
      <c r="G10" s="1">
        <v>22.62</v>
      </c>
      <c r="H10" s="1">
        <v>22.62</v>
      </c>
      <c r="I10" s="1">
        <v>0</v>
      </c>
      <c r="J10" s="1">
        <v>9.048</v>
      </c>
      <c r="K10" s="31">
        <v>44322</v>
      </c>
      <c r="L10" s="31">
        <v>45053</v>
      </c>
      <c r="M10" s="31">
        <v>45053</v>
      </c>
      <c r="N10" s="33" t="s">
        <v>121</v>
      </c>
    </row>
    <row r="11" spans="1:14" hidden="1" x14ac:dyDescent="0.35">
      <c r="A11" t="s">
        <v>103</v>
      </c>
      <c r="B11" t="s">
        <v>48</v>
      </c>
      <c r="C11" t="s">
        <v>49</v>
      </c>
      <c r="D11" t="s">
        <v>13</v>
      </c>
      <c r="E11" s="2">
        <v>250</v>
      </c>
      <c r="F11" s="2">
        <v>1317</v>
      </c>
      <c r="G11" s="1">
        <v>22.62</v>
      </c>
      <c r="H11" s="1">
        <v>22.62</v>
      </c>
      <c r="I11" s="1">
        <v>0</v>
      </c>
      <c r="J11" s="1">
        <v>9.048</v>
      </c>
      <c r="K11" s="31">
        <v>45053</v>
      </c>
      <c r="L11" s="31">
        <v>45784</v>
      </c>
      <c r="M11" s="31">
        <v>45784</v>
      </c>
      <c r="N11" s="33" t="s">
        <v>108</v>
      </c>
    </row>
    <row r="12" spans="1:14" hidden="1" x14ac:dyDescent="0.35">
      <c r="A12" t="s">
        <v>68</v>
      </c>
      <c r="B12" t="s">
        <v>48</v>
      </c>
      <c r="C12" t="s">
        <v>49</v>
      </c>
      <c r="D12" t="s">
        <v>51</v>
      </c>
      <c r="E12" s="2">
        <v>750</v>
      </c>
      <c r="F12" s="2">
        <v>6500</v>
      </c>
      <c r="G12" s="1">
        <v>32.42</v>
      </c>
      <c r="H12" s="1">
        <v>32.42</v>
      </c>
      <c r="I12" s="1">
        <v>12.968</v>
      </c>
      <c r="J12" s="1">
        <v>12.968</v>
      </c>
      <c r="K12" s="31">
        <v>43962</v>
      </c>
      <c r="L12" s="31">
        <v>45057</v>
      </c>
      <c r="M12" s="31">
        <v>45057</v>
      </c>
      <c r="N12" s="33" t="s">
        <v>97</v>
      </c>
    </row>
    <row r="13" spans="1:14" hidden="1" x14ac:dyDescent="0.35">
      <c r="A13" t="s">
        <v>190</v>
      </c>
      <c r="B13" t="s">
        <v>22</v>
      </c>
      <c r="C13" t="s">
        <v>11</v>
      </c>
      <c r="D13" t="s">
        <v>116</v>
      </c>
      <c r="E13" s="2">
        <v>580</v>
      </c>
      <c r="F13" s="2">
        <v>2000</v>
      </c>
      <c r="G13" s="1">
        <v>27</v>
      </c>
      <c r="H13" s="1">
        <v>27</v>
      </c>
      <c r="I13" s="1">
        <v>0</v>
      </c>
      <c r="J13" s="1">
        <v>0</v>
      </c>
      <c r="K13" s="31">
        <v>45261</v>
      </c>
      <c r="L13" s="31">
        <v>45292</v>
      </c>
      <c r="M13" s="31">
        <v>45657</v>
      </c>
      <c r="N13" s="33" t="s">
        <v>121</v>
      </c>
    </row>
    <row r="14" spans="1:14" hidden="1" x14ac:dyDescent="0.35">
      <c r="A14" t="s">
        <v>53</v>
      </c>
      <c r="B14" t="s">
        <v>22</v>
      </c>
      <c r="C14" t="s">
        <v>11</v>
      </c>
      <c r="D14" t="s">
        <v>13</v>
      </c>
      <c r="E14" s="2">
        <v>750</v>
      </c>
      <c r="F14" s="2">
        <v>0</v>
      </c>
      <c r="G14" s="1">
        <v>20.14</v>
      </c>
      <c r="H14" s="1">
        <v>20.140006704960825</v>
      </c>
      <c r="I14" s="1">
        <v>8.0655999999999999</v>
      </c>
      <c r="J14" s="1">
        <v>8.0559999999999992</v>
      </c>
      <c r="K14" s="31">
        <v>43525</v>
      </c>
      <c r="L14" s="31">
        <v>44987</v>
      </c>
      <c r="M14" s="31">
        <v>44987</v>
      </c>
      <c r="N14" s="33" t="s">
        <v>98</v>
      </c>
    </row>
    <row r="15" spans="1:14" hidden="1" x14ac:dyDescent="0.35">
      <c r="A15" t="s">
        <v>93</v>
      </c>
      <c r="B15" t="s">
        <v>22</v>
      </c>
      <c r="C15" t="s">
        <v>11</v>
      </c>
      <c r="D15" t="s">
        <v>13</v>
      </c>
      <c r="E15" s="2">
        <v>750</v>
      </c>
      <c r="F15" s="2">
        <v>0</v>
      </c>
      <c r="G15" s="1">
        <v>20.14</v>
      </c>
      <c r="H15" s="1">
        <v>20.140006704960825</v>
      </c>
      <c r="I15" s="1">
        <v>8.0655999999999999</v>
      </c>
      <c r="J15" s="1">
        <v>8.0559999999999992</v>
      </c>
      <c r="K15" s="31">
        <v>44988</v>
      </c>
      <c r="L15" s="31">
        <v>45354</v>
      </c>
      <c r="M15" s="31">
        <v>45354</v>
      </c>
      <c r="N15" s="33" t="s">
        <v>121</v>
      </c>
    </row>
    <row r="16" spans="1:14" hidden="1" x14ac:dyDescent="0.35">
      <c r="A16" t="s">
        <v>125</v>
      </c>
      <c r="B16" t="s">
        <v>22</v>
      </c>
      <c r="C16" t="s">
        <v>11</v>
      </c>
      <c r="D16" t="s">
        <v>13</v>
      </c>
      <c r="E16" s="2">
        <v>750</v>
      </c>
      <c r="F16" s="2">
        <v>0</v>
      </c>
      <c r="G16" s="1">
        <v>20.45</v>
      </c>
      <c r="H16" s="1">
        <v>20.45</v>
      </c>
      <c r="I16" s="1">
        <v>8.18</v>
      </c>
      <c r="J16" s="1">
        <v>8.18</v>
      </c>
      <c r="K16" s="31">
        <v>44988</v>
      </c>
      <c r="L16" s="31">
        <v>45354</v>
      </c>
      <c r="M16" s="31">
        <v>45354</v>
      </c>
      <c r="N16" s="33" t="s">
        <v>121</v>
      </c>
    </row>
    <row r="17" spans="1:14" hidden="1" x14ac:dyDescent="0.35">
      <c r="A17" t="s">
        <v>54</v>
      </c>
      <c r="B17" t="s">
        <v>22</v>
      </c>
      <c r="C17" t="s">
        <v>11</v>
      </c>
      <c r="D17" t="s">
        <v>18</v>
      </c>
      <c r="E17" s="2">
        <v>890</v>
      </c>
      <c r="F17" s="2">
        <v>2000</v>
      </c>
      <c r="G17" s="1">
        <v>27.05</v>
      </c>
      <c r="H17" s="1">
        <v>27.05</v>
      </c>
      <c r="I17" s="1">
        <v>10.82</v>
      </c>
      <c r="J17" s="1">
        <v>10.82</v>
      </c>
      <c r="K17" s="31">
        <v>44228</v>
      </c>
      <c r="L17" s="31">
        <v>44957</v>
      </c>
      <c r="M17" s="31"/>
      <c r="N17" s="33" t="s">
        <v>121</v>
      </c>
    </row>
    <row r="18" spans="1:14" hidden="1" x14ac:dyDescent="0.35">
      <c r="A18" t="s">
        <v>91</v>
      </c>
      <c r="B18" t="s">
        <v>22</v>
      </c>
      <c r="C18" t="s">
        <v>11</v>
      </c>
      <c r="D18" t="s">
        <v>18</v>
      </c>
      <c r="E18" s="2">
        <v>890</v>
      </c>
      <c r="F18" s="2">
        <v>2000</v>
      </c>
      <c r="G18" s="1">
        <v>28.4</v>
      </c>
      <c r="H18" s="1">
        <v>28.4</v>
      </c>
      <c r="I18" s="1">
        <v>11.36</v>
      </c>
      <c r="J18" s="1">
        <v>11.36</v>
      </c>
      <c r="K18" s="31">
        <v>44228</v>
      </c>
      <c r="L18" s="31">
        <v>44957</v>
      </c>
      <c r="M18" s="31"/>
      <c r="N18" s="33" t="s">
        <v>121</v>
      </c>
    </row>
    <row r="19" spans="1:14" hidden="1" x14ac:dyDescent="0.35">
      <c r="A19" t="s">
        <v>149</v>
      </c>
      <c r="B19" t="s">
        <v>23</v>
      </c>
      <c r="C19" t="s">
        <v>112</v>
      </c>
      <c r="D19" t="s">
        <v>113</v>
      </c>
      <c r="E19" s="2">
        <v>750</v>
      </c>
      <c r="F19" s="2">
        <v>3000</v>
      </c>
      <c r="G19" s="1">
        <v>19.5</v>
      </c>
      <c r="H19" s="1">
        <v>19.5</v>
      </c>
      <c r="I19" s="1">
        <v>9.75</v>
      </c>
      <c r="J19" s="1">
        <v>9.75</v>
      </c>
      <c r="K19" s="31">
        <v>45078</v>
      </c>
      <c r="L19" s="31">
        <v>45443</v>
      </c>
      <c r="M19" s="31">
        <v>45444</v>
      </c>
      <c r="N19" s="33" t="s">
        <v>121</v>
      </c>
    </row>
    <row r="20" spans="1:14" hidden="1" x14ac:dyDescent="0.35">
      <c r="A20" t="s">
        <v>55</v>
      </c>
      <c r="B20" t="s">
        <v>46</v>
      </c>
      <c r="C20" t="s">
        <v>87</v>
      </c>
      <c r="D20" t="s">
        <v>9</v>
      </c>
      <c r="E20" s="2">
        <v>1100</v>
      </c>
      <c r="F20" s="2">
        <v>8370</v>
      </c>
      <c r="G20" s="1">
        <v>41.03</v>
      </c>
      <c r="H20" s="1">
        <v>41.03</v>
      </c>
      <c r="I20" s="1">
        <v>16.411999999999999</v>
      </c>
      <c r="J20" s="1">
        <v>14.848000000000001</v>
      </c>
      <c r="K20" s="31">
        <v>44287</v>
      </c>
      <c r="L20" s="31">
        <v>45687</v>
      </c>
      <c r="M20" s="31"/>
      <c r="N20" s="33" t="s">
        <v>121</v>
      </c>
    </row>
    <row r="21" spans="1:14" hidden="1" x14ac:dyDescent="0.35">
      <c r="A21" t="s">
        <v>59</v>
      </c>
      <c r="B21" t="s">
        <v>46</v>
      </c>
      <c r="C21" t="s">
        <v>87</v>
      </c>
      <c r="D21" t="s">
        <v>9</v>
      </c>
      <c r="E21" s="2">
        <v>1100</v>
      </c>
      <c r="F21" s="2">
        <v>7000</v>
      </c>
      <c r="G21" s="1">
        <v>30</v>
      </c>
      <c r="H21" s="1">
        <v>30</v>
      </c>
      <c r="I21" s="1">
        <v>16.411999999999999</v>
      </c>
      <c r="J21" s="1">
        <v>14.848000000000001</v>
      </c>
      <c r="K21" s="31">
        <v>44653</v>
      </c>
      <c r="L21" s="31">
        <v>45626</v>
      </c>
      <c r="M21" s="31">
        <v>45017</v>
      </c>
      <c r="N21" s="33" t="s">
        <v>121</v>
      </c>
    </row>
    <row r="22" spans="1:14" hidden="1" x14ac:dyDescent="0.35">
      <c r="A22" t="s">
        <v>92</v>
      </c>
      <c r="B22" t="s">
        <v>46</v>
      </c>
      <c r="C22" t="s">
        <v>87</v>
      </c>
      <c r="D22" t="s">
        <v>9</v>
      </c>
      <c r="E22" s="2">
        <v>1100</v>
      </c>
      <c r="F22" s="2">
        <v>7000</v>
      </c>
      <c r="G22" s="1">
        <v>30</v>
      </c>
      <c r="H22" s="1">
        <v>30</v>
      </c>
      <c r="I22" s="1">
        <v>16.411999999999999</v>
      </c>
      <c r="J22" s="1">
        <v>14.848000000000001</v>
      </c>
      <c r="K22" s="31">
        <v>44653</v>
      </c>
      <c r="L22" s="31">
        <v>45626</v>
      </c>
      <c r="M22" s="31">
        <v>45626</v>
      </c>
      <c r="N22" s="33" t="s">
        <v>121</v>
      </c>
    </row>
    <row r="23" spans="1:14" hidden="1" x14ac:dyDescent="0.35">
      <c r="A23" t="s">
        <v>66</v>
      </c>
      <c r="B23" t="s">
        <v>25</v>
      </c>
      <c r="C23" t="s">
        <v>12</v>
      </c>
      <c r="D23" t="s">
        <v>9</v>
      </c>
      <c r="E23" s="2">
        <v>1175</v>
      </c>
      <c r="F23" s="2">
        <v>4777</v>
      </c>
      <c r="G23" s="1">
        <v>24.87</v>
      </c>
      <c r="H23" s="1">
        <v>24.87</v>
      </c>
      <c r="I23" s="1">
        <v>9.9480000000000004</v>
      </c>
      <c r="J23" s="1">
        <v>9</v>
      </c>
      <c r="K23" s="31">
        <v>44287</v>
      </c>
      <c r="L23" s="31">
        <v>45626</v>
      </c>
      <c r="M23" s="31">
        <v>45626</v>
      </c>
      <c r="N23" s="33" t="s">
        <v>121</v>
      </c>
    </row>
    <row r="24" spans="1:14" hidden="1" x14ac:dyDescent="0.35">
      <c r="A24" t="s">
        <v>94</v>
      </c>
      <c r="B24" t="s">
        <v>25</v>
      </c>
      <c r="C24" t="s">
        <v>12</v>
      </c>
      <c r="D24" t="s">
        <v>9</v>
      </c>
      <c r="E24" s="2">
        <v>1175</v>
      </c>
      <c r="F24" s="2">
        <v>4777</v>
      </c>
      <c r="G24" s="1">
        <v>25.04</v>
      </c>
      <c r="H24" s="1">
        <v>25.04</v>
      </c>
      <c r="I24" s="1">
        <v>9.9480000000000004</v>
      </c>
      <c r="J24" s="1">
        <v>9</v>
      </c>
      <c r="K24" s="31">
        <v>44287</v>
      </c>
      <c r="L24" s="31">
        <v>45626</v>
      </c>
      <c r="M24" s="31">
        <v>45626</v>
      </c>
      <c r="N24" s="33" t="s">
        <v>121</v>
      </c>
    </row>
    <row r="25" spans="1:14" hidden="1" x14ac:dyDescent="0.35">
      <c r="A25" t="s">
        <v>101</v>
      </c>
      <c r="B25" t="s">
        <v>25</v>
      </c>
      <c r="C25" t="s">
        <v>12</v>
      </c>
      <c r="D25" t="s">
        <v>9</v>
      </c>
      <c r="E25" s="2">
        <v>1175</v>
      </c>
      <c r="F25" s="2">
        <v>6100</v>
      </c>
      <c r="G25" s="1">
        <v>25.04</v>
      </c>
      <c r="H25" s="1">
        <v>25.04</v>
      </c>
      <c r="I25" s="1">
        <v>10.16</v>
      </c>
      <c r="J25" s="1">
        <v>10.16</v>
      </c>
      <c r="K25" s="31">
        <v>44287</v>
      </c>
      <c r="L25" s="31">
        <v>45626</v>
      </c>
      <c r="M25" s="31">
        <v>45626</v>
      </c>
      <c r="N25" s="33" t="s">
        <v>121</v>
      </c>
    </row>
    <row r="26" spans="1:14" hidden="1" x14ac:dyDescent="0.35">
      <c r="A26" t="s">
        <v>101</v>
      </c>
      <c r="B26" t="s">
        <v>25</v>
      </c>
      <c r="C26" t="s">
        <v>12</v>
      </c>
      <c r="D26" t="s">
        <v>9</v>
      </c>
      <c r="E26" s="2">
        <v>1175</v>
      </c>
      <c r="F26" s="2">
        <v>6100</v>
      </c>
      <c r="G26" s="1">
        <v>25.04</v>
      </c>
      <c r="H26" s="1">
        <v>25.04</v>
      </c>
      <c r="I26" s="1">
        <v>9.9480000000000004</v>
      </c>
      <c r="J26" s="1">
        <v>9</v>
      </c>
      <c r="K26" s="31">
        <v>44287</v>
      </c>
      <c r="L26" s="31">
        <v>45991</v>
      </c>
      <c r="M26" s="31">
        <v>45626</v>
      </c>
      <c r="N26" s="33" t="s">
        <v>121</v>
      </c>
    </row>
    <row r="27" spans="1:14" hidden="1" x14ac:dyDescent="0.35">
      <c r="A27" t="s">
        <v>56</v>
      </c>
      <c r="B27" t="s">
        <v>57</v>
      </c>
      <c r="C27" t="s">
        <v>58</v>
      </c>
      <c r="D27" t="s">
        <v>10</v>
      </c>
      <c r="E27" s="2">
        <v>1380</v>
      </c>
      <c r="F27" s="2">
        <v>1100</v>
      </c>
      <c r="G27" s="1">
        <v>27.99</v>
      </c>
      <c r="H27" s="1">
        <v>27.989999182760393</v>
      </c>
      <c r="I27" s="1">
        <v>0</v>
      </c>
      <c r="J27" s="1">
        <v>9.6880000000000006</v>
      </c>
      <c r="K27" s="31">
        <v>43100</v>
      </c>
      <c r="L27" s="31">
        <v>45291</v>
      </c>
      <c r="M27" s="31"/>
      <c r="N27" s="33" t="s">
        <v>121</v>
      </c>
    </row>
    <row r="28" spans="1:14" hidden="1" x14ac:dyDescent="0.35">
      <c r="A28" t="s">
        <v>56</v>
      </c>
      <c r="B28" t="s">
        <v>57</v>
      </c>
      <c r="C28" t="s">
        <v>58</v>
      </c>
      <c r="D28" t="s">
        <v>10</v>
      </c>
      <c r="E28" s="2">
        <v>1380</v>
      </c>
      <c r="F28" s="2">
        <v>1100</v>
      </c>
      <c r="G28" s="1">
        <v>27.99</v>
      </c>
      <c r="H28" s="1">
        <v>27.989999182760393</v>
      </c>
      <c r="I28" s="1">
        <v>0</v>
      </c>
      <c r="J28" s="1">
        <v>11.843999999999999</v>
      </c>
      <c r="K28" s="31">
        <v>43100</v>
      </c>
      <c r="L28" s="31">
        <v>45291</v>
      </c>
      <c r="M28" s="31"/>
      <c r="N28" s="33" t="s">
        <v>121</v>
      </c>
    </row>
    <row r="29" spans="1:14" hidden="1" x14ac:dyDescent="0.35">
      <c r="A29" t="s">
        <v>73</v>
      </c>
      <c r="B29" t="s">
        <v>57</v>
      </c>
      <c r="C29" t="s">
        <v>58</v>
      </c>
      <c r="D29" t="s">
        <v>10</v>
      </c>
      <c r="E29" s="2">
        <v>310</v>
      </c>
      <c r="F29" s="2">
        <v>1100</v>
      </c>
      <c r="G29" s="1">
        <v>29.61</v>
      </c>
      <c r="H29" s="1">
        <v>29.61</v>
      </c>
      <c r="I29" s="1">
        <v>0</v>
      </c>
      <c r="J29" s="1">
        <v>11.843999999999999</v>
      </c>
      <c r="K29" s="31">
        <v>44927</v>
      </c>
      <c r="L29" s="31">
        <v>45291</v>
      </c>
      <c r="M29" s="31">
        <v>45291</v>
      </c>
      <c r="N29" s="33" t="s">
        <v>121</v>
      </c>
    </row>
    <row r="30" spans="1:14" hidden="1" x14ac:dyDescent="0.35">
      <c r="A30" t="s">
        <v>71</v>
      </c>
      <c r="B30" t="s">
        <v>57</v>
      </c>
      <c r="C30" t="s">
        <v>58</v>
      </c>
      <c r="D30" t="s">
        <v>6</v>
      </c>
      <c r="E30" s="2">
        <v>1380</v>
      </c>
      <c r="F30" s="2">
        <v>3300</v>
      </c>
      <c r="G30" s="1">
        <v>21.2</v>
      </c>
      <c r="H30" s="1">
        <v>21.199999931349236</v>
      </c>
      <c r="I30" s="1">
        <v>0</v>
      </c>
      <c r="J30" s="1">
        <v>0</v>
      </c>
      <c r="K30" s="31">
        <v>43831</v>
      </c>
      <c r="L30" s="31">
        <v>45473</v>
      </c>
      <c r="M30" s="31"/>
      <c r="N30" s="33" t="s">
        <v>121</v>
      </c>
    </row>
    <row r="31" spans="1:14" hidden="1" x14ac:dyDescent="0.35">
      <c r="A31" t="s">
        <v>72</v>
      </c>
      <c r="B31" t="s">
        <v>57</v>
      </c>
      <c r="C31" t="s">
        <v>58</v>
      </c>
      <c r="D31" t="s">
        <v>6</v>
      </c>
      <c r="E31" s="2">
        <v>1070</v>
      </c>
      <c r="F31" s="2">
        <v>3300</v>
      </c>
      <c r="G31" s="1">
        <v>22.48</v>
      </c>
      <c r="H31" s="1">
        <v>22.48</v>
      </c>
      <c r="I31" s="1">
        <v>0</v>
      </c>
      <c r="J31" s="1">
        <v>0</v>
      </c>
      <c r="K31" s="31">
        <v>44927</v>
      </c>
      <c r="L31" s="31">
        <v>45473</v>
      </c>
      <c r="M31" s="31">
        <v>45473</v>
      </c>
      <c r="N31" s="33" t="s">
        <v>121</v>
      </c>
    </row>
    <row r="32" spans="1:14" hidden="1" x14ac:dyDescent="0.35">
      <c r="A32" t="s">
        <v>119</v>
      </c>
      <c r="B32" t="s">
        <v>57</v>
      </c>
      <c r="C32" t="s">
        <v>58</v>
      </c>
      <c r="D32" t="s">
        <v>6</v>
      </c>
      <c r="E32" s="2">
        <v>1070</v>
      </c>
      <c r="F32" s="2">
        <v>3300</v>
      </c>
      <c r="G32" s="1">
        <v>22.48</v>
      </c>
      <c r="H32" s="1">
        <v>22.48</v>
      </c>
      <c r="I32" s="1">
        <v>0</v>
      </c>
      <c r="J32" s="1">
        <v>0</v>
      </c>
      <c r="K32" s="31">
        <v>45292</v>
      </c>
      <c r="L32" s="31">
        <v>45473</v>
      </c>
      <c r="M32" s="31">
        <v>45473</v>
      </c>
      <c r="N32" s="33" t="s">
        <v>121</v>
      </c>
    </row>
    <row r="33" spans="1:14" hidden="1" x14ac:dyDescent="0.35">
      <c r="A33" t="s">
        <v>102</v>
      </c>
      <c r="B33" t="s">
        <v>48</v>
      </c>
      <c r="C33" t="s">
        <v>49</v>
      </c>
      <c r="D33" t="s">
        <v>51</v>
      </c>
      <c r="E33" s="2">
        <v>750</v>
      </c>
      <c r="F33" s="2">
        <v>6500</v>
      </c>
      <c r="G33" s="1">
        <v>32.42</v>
      </c>
      <c r="H33" s="1">
        <v>32.42</v>
      </c>
      <c r="I33" s="1">
        <v>12.968</v>
      </c>
      <c r="J33" s="1">
        <v>12.968</v>
      </c>
      <c r="K33" s="31">
        <v>43962</v>
      </c>
      <c r="L33" s="31">
        <v>45788</v>
      </c>
      <c r="M33" s="31">
        <v>45788</v>
      </c>
      <c r="N33" s="33" t="s">
        <v>97</v>
      </c>
    </row>
    <row r="34" spans="1:14" hidden="1" x14ac:dyDescent="0.35">
      <c r="A34" t="s">
        <v>142</v>
      </c>
      <c r="B34" t="s">
        <v>48</v>
      </c>
      <c r="C34" t="s">
        <v>49</v>
      </c>
      <c r="D34" t="s">
        <v>52</v>
      </c>
      <c r="E34" s="2">
        <v>360</v>
      </c>
      <c r="F34" s="2">
        <v>2040</v>
      </c>
      <c r="G34" s="1">
        <v>42.64</v>
      </c>
      <c r="H34" s="1">
        <v>42.64</v>
      </c>
      <c r="I34" s="1">
        <v>16.364000000000001</v>
      </c>
      <c r="J34" s="1">
        <v>15</v>
      </c>
      <c r="K34" s="31">
        <v>45537</v>
      </c>
      <c r="L34" s="31">
        <v>45902</v>
      </c>
      <c r="M34" s="31">
        <v>45902</v>
      </c>
      <c r="N34" s="33" t="s">
        <v>121</v>
      </c>
    </row>
    <row r="35" spans="1:14" x14ac:dyDescent="0.35">
      <c r="A35" t="s">
        <v>70</v>
      </c>
      <c r="B35" t="s">
        <v>26</v>
      </c>
      <c r="C35" t="s">
        <v>19</v>
      </c>
      <c r="D35" t="s">
        <v>13</v>
      </c>
      <c r="E35" s="2">
        <v>185</v>
      </c>
      <c r="F35" s="2">
        <v>1090</v>
      </c>
      <c r="G35" s="1">
        <v>21.7</v>
      </c>
      <c r="H35" s="1">
        <v>21.7</v>
      </c>
      <c r="I35" s="1">
        <v>8.68</v>
      </c>
      <c r="J35" s="1">
        <v>8.68</v>
      </c>
      <c r="K35" s="31">
        <v>44206</v>
      </c>
      <c r="L35" s="31">
        <v>44936</v>
      </c>
      <c r="M35" s="31">
        <v>45047</v>
      </c>
      <c r="N35" s="33" t="s">
        <v>121</v>
      </c>
    </row>
    <row r="36" spans="1:14" x14ac:dyDescent="0.35">
      <c r="A36" t="s">
        <v>86</v>
      </c>
      <c r="B36" t="s">
        <v>26</v>
      </c>
      <c r="C36" t="s">
        <v>19</v>
      </c>
      <c r="D36" t="s">
        <v>13</v>
      </c>
      <c r="E36" s="2">
        <v>185</v>
      </c>
      <c r="F36" s="2">
        <v>1090</v>
      </c>
      <c r="G36" s="1">
        <v>22.79</v>
      </c>
      <c r="H36" s="1">
        <v>22.79</v>
      </c>
      <c r="I36" s="1">
        <v>9.1159999999999997</v>
      </c>
      <c r="J36" s="1">
        <v>9.1159999999999997</v>
      </c>
      <c r="K36" s="31">
        <v>44936</v>
      </c>
      <c r="L36" s="31">
        <v>45139</v>
      </c>
      <c r="M36" s="31">
        <v>45778</v>
      </c>
      <c r="N36" s="33" t="s">
        <v>99</v>
      </c>
    </row>
    <row r="37" spans="1:14" x14ac:dyDescent="0.35">
      <c r="A37" t="s">
        <v>86</v>
      </c>
      <c r="B37" t="s">
        <v>26</v>
      </c>
      <c r="C37" t="s">
        <v>19</v>
      </c>
      <c r="D37" t="s">
        <v>13</v>
      </c>
      <c r="E37" s="2">
        <v>185</v>
      </c>
      <c r="F37" s="2">
        <v>1090</v>
      </c>
      <c r="G37" s="1">
        <v>22.79</v>
      </c>
      <c r="H37" s="1">
        <v>22.79</v>
      </c>
      <c r="I37" s="1">
        <v>9.1159999999999997</v>
      </c>
      <c r="J37" s="1">
        <v>9.1159999999999997</v>
      </c>
      <c r="K37" s="31">
        <v>44936</v>
      </c>
      <c r="L37" s="31">
        <v>45139</v>
      </c>
      <c r="M37" s="31">
        <v>45778</v>
      </c>
      <c r="N37" s="33" t="s">
        <v>100</v>
      </c>
    </row>
    <row r="38" spans="1:14" x14ac:dyDescent="0.35">
      <c r="A38" t="s">
        <v>111</v>
      </c>
      <c r="B38" t="s">
        <v>26</v>
      </c>
      <c r="C38" t="s">
        <v>19</v>
      </c>
      <c r="D38" t="s">
        <v>13</v>
      </c>
      <c r="E38" s="2">
        <v>185</v>
      </c>
      <c r="F38" s="2">
        <v>1090</v>
      </c>
      <c r="G38" s="1">
        <v>28</v>
      </c>
      <c r="H38" s="1">
        <v>28</v>
      </c>
      <c r="I38" s="1">
        <v>0</v>
      </c>
      <c r="J38" s="1">
        <v>12</v>
      </c>
      <c r="K38" s="31">
        <v>45047</v>
      </c>
      <c r="L38" s="31">
        <v>45291</v>
      </c>
      <c r="M38" s="31">
        <v>45778</v>
      </c>
      <c r="N38" s="33" t="s">
        <v>121</v>
      </c>
    </row>
    <row r="39" spans="1:14" x14ac:dyDescent="0.35">
      <c r="A39" t="s">
        <v>124</v>
      </c>
      <c r="B39" t="s">
        <v>26</v>
      </c>
      <c r="C39" t="s">
        <v>19</v>
      </c>
      <c r="D39" t="s">
        <v>13</v>
      </c>
      <c r="E39" s="2">
        <v>185</v>
      </c>
      <c r="F39" s="2">
        <v>0</v>
      </c>
      <c r="G39" s="1">
        <v>28</v>
      </c>
      <c r="H39" s="1">
        <v>28</v>
      </c>
      <c r="I39" s="1">
        <v>0</v>
      </c>
      <c r="J39" s="1">
        <v>12</v>
      </c>
      <c r="K39" s="31">
        <v>45047</v>
      </c>
      <c r="L39" s="31">
        <v>45413</v>
      </c>
      <c r="M39" s="31">
        <v>45778</v>
      </c>
      <c r="N39" s="33" t="s">
        <v>121</v>
      </c>
    </row>
    <row r="40" spans="1:14" hidden="1" x14ac:dyDescent="0.35">
      <c r="A40" t="s">
        <v>133</v>
      </c>
      <c r="B40" t="s">
        <v>22</v>
      </c>
      <c r="C40" t="s">
        <v>11</v>
      </c>
      <c r="D40" t="s">
        <v>13</v>
      </c>
      <c r="E40" s="2">
        <v>690</v>
      </c>
      <c r="F40" s="2">
        <v>0</v>
      </c>
      <c r="G40" s="1">
        <v>20.45</v>
      </c>
      <c r="H40" s="1">
        <v>20.45</v>
      </c>
      <c r="I40" s="1">
        <v>8.18</v>
      </c>
      <c r="J40" s="1">
        <v>8.18</v>
      </c>
      <c r="K40" s="31">
        <v>45354</v>
      </c>
      <c r="L40" s="31">
        <v>45719</v>
      </c>
      <c r="M40" s="31">
        <v>45717</v>
      </c>
      <c r="N40" s="33" t="s">
        <v>121</v>
      </c>
    </row>
    <row r="41" spans="1:14" hidden="1" x14ac:dyDescent="0.35">
      <c r="A41" t="s">
        <v>172</v>
      </c>
      <c r="B41" t="s">
        <v>22</v>
      </c>
      <c r="C41" t="s">
        <v>11</v>
      </c>
      <c r="D41" t="s">
        <v>13</v>
      </c>
      <c r="E41" s="2">
        <v>750</v>
      </c>
      <c r="F41" s="2">
        <v>0</v>
      </c>
      <c r="G41" s="1">
        <v>22.2</v>
      </c>
      <c r="H41" s="1">
        <v>22.2</v>
      </c>
      <c r="I41" s="1">
        <v>8.8800000000000008</v>
      </c>
      <c r="J41" s="1">
        <v>8.8800000000000008</v>
      </c>
      <c r="K41" s="31">
        <v>45717</v>
      </c>
      <c r="L41" s="31">
        <v>45716</v>
      </c>
      <c r="M41" s="31">
        <v>46081</v>
      </c>
      <c r="N41" s="33" t="s">
        <v>121</v>
      </c>
    </row>
    <row r="42" spans="1:14" hidden="1" x14ac:dyDescent="0.35">
      <c r="A42" t="s">
        <v>135</v>
      </c>
      <c r="B42" t="s">
        <v>57</v>
      </c>
      <c r="C42" t="s">
        <v>58</v>
      </c>
      <c r="D42" t="s">
        <v>6</v>
      </c>
      <c r="E42" s="2">
        <v>1070</v>
      </c>
      <c r="F42" s="2">
        <v>3300</v>
      </c>
      <c r="G42" s="1">
        <v>22.48</v>
      </c>
      <c r="H42" s="1">
        <v>22.48</v>
      </c>
      <c r="I42" s="1">
        <v>0</v>
      </c>
      <c r="J42" s="1">
        <v>0</v>
      </c>
      <c r="K42" s="31">
        <v>45474</v>
      </c>
      <c r="L42" s="31">
        <v>45535</v>
      </c>
      <c r="M42" s="31">
        <v>45535</v>
      </c>
      <c r="N42" s="33" t="s">
        <v>121</v>
      </c>
    </row>
    <row r="43" spans="1:14" hidden="1" x14ac:dyDescent="0.35">
      <c r="A43" t="s">
        <v>208</v>
      </c>
      <c r="B43" t="s">
        <v>22</v>
      </c>
      <c r="C43" t="s">
        <v>11</v>
      </c>
      <c r="D43" t="s">
        <v>207</v>
      </c>
      <c r="E43" s="2">
        <v>625</v>
      </c>
      <c r="F43" s="2">
        <v>1875</v>
      </c>
      <c r="G43" s="1">
        <v>33</v>
      </c>
      <c r="H43" s="1">
        <v>33</v>
      </c>
      <c r="I43" s="1">
        <v>13.2</v>
      </c>
      <c r="J43" s="1">
        <v>13.2</v>
      </c>
      <c r="K43" s="31">
        <v>45734</v>
      </c>
      <c r="L43" s="31">
        <v>46112</v>
      </c>
      <c r="M43" s="31">
        <v>46112</v>
      </c>
      <c r="N43" s="33" t="s">
        <v>121</v>
      </c>
    </row>
    <row r="44" spans="1:14" hidden="1" x14ac:dyDescent="0.35">
      <c r="A44" t="s">
        <v>138</v>
      </c>
      <c r="B44" t="s">
        <v>57</v>
      </c>
      <c r="C44" t="s">
        <v>58</v>
      </c>
      <c r="D44" t="s">
        <v>6</v>
      </c>
      <c r="E44" s="2">
        <v>1070</v>
      </c>
      <c r="F44" s="2">
        <v>3300</v>
      </c>
      <c r="G44" s="1">
        <v>23.36</v>
      </c>
      <c r="H44" s="1">
        <v>23.36</v>
      </c>
      <c r="I44" s="1">
        <v>0</v>
      </c>
      <c r="J44" s="1">
        <v>0</v>
      </c>
      <c r="K44" s="31">
        <v>45536</v>
      </c>
      <c r="L44" s="31">
        <v>46388</v>
      </c>
      <c r="M44" s="31">
        <v>46388</v>
      </c>
      <c r="N44" s="33" t="s">
        <v>136</v>
      </c>
    </row>
    <row r="45" spans="1:14" hidden="1" x14ac:dyDescent="0.35">
      <c r="A45" t="s">
        <v>139</v>
      </c>
      <c r="B45" t="s">
        <v>48</v>
      </c>
      <c r="C45" t="s">
        <v>49</v>
      </c>
      <c r="D45" t="s">
        <v>14</v>
      </c>
      <c r="E45" s="2">
        <v>365</v>
      </c>
      <c r="F45" s="2">
        <v>936</v>
      </c>
      <c r="G45" s="1">
        <v>17.87</v>
      </c>
      <c r="H45" s="1">
        <v>17.87</v>
      </c>
      <c r="I45" s="1">
        <v>0</v>
      </c>
      <c r="J45" s="1">
        <v>0</v>
      </c>
      <c r="K45" s="31">
        <v>45536</v>
      </c>
      <c r="L45" s="31">
        <v>45965</v>
      </c>
      <c r="M45" s="31">
        <v>45965</v>
      </c>
      <c r="N45" s="33" t="s">
        <v>121</v>
      </c>
    </row>
    <row r="46" spans="1:14" hidden="1" x14ac:dyDescent="0.35">
      <c r="A46" t="s">
        <v>138</v>
      </c>
      <c r="B46" t="s">
        <v>57</v>
      </c>
      <c r="C46" t="s">
        <v>58</v>
      </c>
      <c r="D46" t="s">
        <v>6</v>
      </c>
      <c r="E46" s="2">
        <v>1070</v>
      </c>
      <c r="F46" s="2">
        <v>3300</v>
      </c>
      <c r="G46" s="1">
        <v>22.48</v>
      </c>
      <c r="H46" s="1">
        <v>22.48</v>
      </c>
      <c r="I46" s="1">
        <v>0</v>
      </c>
      <c r="J46" s="1">
        <v>0</v>
      </c>
      <c r="K46" s="31">
        <v>45536</v>
      </c>
      <c r="L46" s="31">
        <v>45596</v>
      </c>
      <c r="M46" s="31">
        <v>45596</v>
      </c>
      <c r="N46" s="33" t="s">
        <v>121</v>
      </c>
    </row>
    <row r="47" spans="1:14" hidden="1" x14ac:dyDescent="0.35">
      <c r="A47" t="s">
        <v>177</v>
      </c>
      <c r="B47" t="s">
        <v>46</v>
      </c>
      <c r="C47" t="s">
        <v>87</v>
      </c>
      <c r="D47" t="s">
        <v>9</v>
      </c>
      <c r="E47" s="2">
        <v>1070</v>
      </c>
      <c r="F47" s="2">
        <v>3210</v>
      </c>
      <c r="G47" s="1">
        <v>32.64</v>
      </c>
      <c r="H47" s="1">
        <v>32.64</v>
      </c>
      <c r="I47" s="1">
        <v>13.05</v>
      </c>
      <c r="J47" s="1">
        <v>13.05</v>
      </c>
      <c r="K47" s="31">
        <v>45689</v>
      </c>
      <c r="L47" s="31">
        <v>45991</v>
      </c>
      <c r="M47" s="31">
        <v>45991</v>
      </c>
      <c r="N47" s="33" t="s">
        <v>121</v>
      </c>
    </row>
    <row r="48" spans="1:14" hidden="1" x14ac:dyDescent="0.35">
      <c r="A48" t="s">
        <v>166</v>
      </c>
      <c r="B48" t="s">
        <v>25</v>
      </c>
      <c r="C48" t="s">
        <v>12</v>
      </c>
      <c r="D48" t="s">
        <v>9</v>
      </c>
      <c r="E48" s="2">
        <v>1175</v>
      </c>
      <c r="F48" s="2">
        <v>6100</v>
      </c>
      <c r="G48" s="1">
        <v>25.04</v>
      </c>
      <c r="H48" s="1">
        <v>25.04</v>
      </c>
      <c r="I48" s="1">
        <v>9.9480000000000004</v>
      </c>
      <c r="J48" s="1">
        <v>9</v>
      </c>
      <c r="K48" s="31">
        <v>45689</v>
      </c>
      <c r="L48" s="31">
        <v>45991</v>
      </c>
      <c r="M48" s="31">
        <v>45991</v>
      </c>
      <c r="N48" s="33" t="s">
        <v>121</v>
      </c>
    </row>
    <row r="49" spans="1:14" hidden="1" x14ac:dyDescent="0.35">
      <c r="A49" t="s">
        <v>169</v>
      </c>
      <c r="B49" t="s">
        <v>25</v>
      </c>
      <c r="C49" t="s">
        <v>12</v>
      </c>
      <c r="D49" t="s">
        <v>170</v>
      </c>
      <c r="E49" s="2">
        <v>1040</v>
      </c>
      <c r="F49" s="2">
        <v>4160</v>
      </c>
      <c r="G49" s="1">
        <v>28.44</v>
      </c>
      <c r="H49" s="1">
        <v>28.44</v>
      </c>
      <c r="I49" s="1">
        <v>39.81</v>
      </c>
      <c r="J49" s="1">
        <v>39.81</v>
      </c>
      <c r="K49" s="31">
        <v>45689</v>
      </c>
      <c r="L49" s="31">
        <v>46081</v>
      </c>
      <c r="M49" s="31">
        <v>46081</v>
      </c>
      <c r="N49" s="33" t="s">
        <v>121</v>
      </c>
    </row>
    <row r="50" spans="1:14" hidden="1" x14ac:dyDescent="0.35">
      <c r="A50" t="s">
        <v>185</v>
      </c>
      <c r="B50" t="s">
        <v>25</v>
      </c>
      <c r="C50" t="s">
        <v>12</v>
      </c>
      <c r="D50" t="s">
        <v>10</v>
      </c>
      <c r="E50" s="2">
        <v>2000</v>
      </c>
      <c r="F50" s="2">
        <v>8000</v>
      </c>
      <c r="G50" s="1">
        <v>20</v>
      </c>
      <c r="H50" s="1">
        <v>20</v>
      </c>
      <c r="I50" s="1">
        <v>28</v>
      </c>
      <c r="J50" s="1">
        <v>28</v>
      </c>
      <c r="K50" s="31">
        <v>45748</v>
      </c>
      <c r="L50" s="31">
        <v>45777</v>
      </c>
      <c r="M50" s="31">
        <v>45777</v>
      </c>
      <c r="N50" s="33" t="s">
        <v>121</v>
      </c>
    </row>
    <row r="51" spans="1:14" hidden="1" x14ac:dyDescent="0.35">
      <c r="A51" t="s">
        <v>150</v>
      </c>
      <c r="B51" t="s">
        <v>46</v>
      </c>
      <c r="C51" t="s">
        <v>87</v>
      </c>
      <c r="D51" t="s">
        <v>9</v>
      </c>
      <c r="E51" s="2">
        <v>1070</v>
      </c>
      <c r="F51" s="2">
        <v>3210</v>
      </c>
      <c r="G51" s="1">
        <v>30</v>
      </c>
      <c r="H51" s="1">
        <v>30</v>
      </c>
      <c r="I51" s="1">
        <v>12</v>
      </c>
      <c r="J51" s="1">
        <v>12</v>
      </c>
      <c r="K51" s="31">
        <v>45627</v>
      </c>
      <c r="L51" s="31">
        <v>45626</v>
      </c>
      <c r="M51" s="31">
        <v>45626</v>
      </c>
      <c r="N51" s="33" t="s">
        <v>121</v>
      </c>
    </row>
    <row r="52" spans="1:14" hidden="1" x14ac:dyDescent="0.35">
      <c r="A52" t="s">
        <v>134</v>
      </c>
      <c r="B52" t="s">
        <v>57</v>
      </c>
      <c r="C52" t="s">
        <v>58</v>
      </c>
      <c r="D52" t="s">
        <v>10</v>
      </c>
      <c r="E52" s="2">
        <v>310</v>
      </c>
      <c r="F52" s="2">
        <v>1100</v>
      </c>
      <c r="G52" s="1">
        <v>31.04</v>
      </c>
      <c r="H52" s="1">
        <v>31.04</v>
      </c>
      <c r="I52" s="1">
        <v>0</v>
      </c>
      <c r="J52" s="1">
        <v>12.41</v>
      </c>
      <c r="K52" s="31">
        <v>45292</v>
      </c>
      <c r="L52" s="31">
        <v>45657</v>
      </c>
      <c r="M52" s="31">
        <v>46022</v>
      </c>
      <c r="N52" s="33" t="s">
        <v>121</v>
      </c>
    </row>
    <row r="53" spans="1:14" hidden="1" x14ac:dyDescent="0.35">
      <c r="A53" t="s">
        <v>173</v>
      </c>
      <c r="B53" t="s">
        <v>57</v>
      </c>
      <c r="C53" t="s">
        <v>58</v>
      </c>
      <c r="D53" t="s">
        <v>6</v>
      </c>
      <c r="E53" s="2">
        <v>1070</v>
      </c>
      <c r="F53" s="2">
        <v>3300</v>
      </c>
      <c r="G53" s="1">
        <v>23.42</v>
      </c>
      <c r="H53" s="1">
        <v>23.42</v>
      </c>
      <c r="I53" s="1">
        <v>0</v>
      </c>
      <c r="J53" s="1">
        <v>0</v>
      </c>
      <c r="K53" s="31">
        <v>45717</v>
      </c>
      <c r="L53" s="31">
        <v>46022</v>
      </c>
      <c r="M53" s="31">
        <v>46022</v>
      </c>
      <c r="N53" s="33" t="s">
        <v>121</v>
      </c>
    </row>
    <row r="54" spans="1:14" hidden="1" x14ac:dyDescent="0.35">
      <c r="A54" t="s">
        <v>159</v>
      </c>
      <c r="B54" t="s">
        <v>57</v>
      </c>
      <c r="C54" t="s">
        <v>58</v>
      </c>
      <c r="D54" t="s">
        <v>6</v>
      </c>
      <c r="E54" s="2">
        <v>1070</v>
      </c>
      <c r="F54" s="2">
        <v>3300</v>
      </c>
      <c r="G54" s="1">
        <v>23.42</v>
      </c>
      <c r="H54" s="1">
        <v>23.42</v>
      </c>
      <c r="I54" s="1">
        <v>0</v>
      </c>
      <c r="J54" s="1">
        <v>0</v>
      </c>
      <c r="K54" s="31">
        <v>45689</v>
      </c>
      <c r="L54" s="31">
        <v>45716</v>
      </c>
      <c r="M54" s="31">
        <v>45716</v>
      </c>
      <c r="N54" s="33" t="s">
        <v>121</v>
      </c>
    </row>
    <row r="55" spans="1:14" hidden="1" x14ac:dyDescent="0.35">
      <c r="A55" t="s">
        <v>168</v>
      </c>
      <c r="B55" t="s">
        <v>46</v>
      </c>
      <c r="C55" t="s">
        <v>87</v>
      </c>
      <c r="D55" t="s">
        <v>9</v>
      </c>
      <c r="E55" s="2">
        <v>1070</v>
      </c>
      <c r="F55" s="2">
        <v>3210</v>
      </c>
      <c r="G55" s="1">
        <v>30</v>
      </c>
      <c r="H55" s="1">
        <v>30</v>
      </c>
      <c r="I55" s="1">
        <v>12</v>
      </c>
      <c r="J55" s="1">
        <v>12</v>
      </c>
      <c r="K55" s="31">
        <v>45658</v>
      </c>
      <c r="L55" s="31">
        <v>45991</v>
      </c>
      <c r="M55" s="31">
        <v>45991</v>
      </c>
      <c r="N55" s="33" t="s">
        <v>121</v>
      </c>
    </row>
    <row r="56" spans="1:14" x14ac:dyDescent="0.35">
      <c r="A56" t="s">
        <v>144</v>
      </c>
      <c r="B56" t="s">
        <v>26</v>
      </c>
      <c r="C56" t="s">
        <v>19</v>
      </c>
      <c r="D56" t="s">
        <v>13</v>
      </c>
      <c r="E56" s="2">
        <v>185</v>
      </c>
      <c r="F56" s="2">
        <v>1090</v>
      </c>
      <c r="G56" s="1">
        <v>28</v>
      </c>
      <c r="H56" s="1">
        <v>28</v>
      </c>
      <c r="I56" s="1">
        <v>0</v>
      </c>
      <c r="J56" s="1">
        <v>12</v>
      </c>
      <c r="K56" s="31">
        <v>45566</v>
      </c>
      <c r="L56" s="31">
        <v>45778</v>
      </c>
      <c r="M56" s="31">
        <v>45778</v>
      </c>
      <c r="N56" s="33" t="s">
        <v>121</v>
      </c>
    </row>
    <row r="57" spans="1:14" x14ac:dyDescent="0.35">
      <c r="A57" t="s">
        <v>184</v>
      </c>
      <c r="B57" t="s">
        <v>26</v>
      </c>
      <c r="C57" t="s">
        <v>19</v>
      </c>
      <c r="D57" t="s">
        <v>13</v>
      </c>
      <c r="E57" s="2">
        <v>340</v>
      </c>
      <c r="F57" s="2">
        <v>1020</v>
      </c>
      <c r="G57" s="1">
        <v>28</v>
      </c>
      <c r="H57" s="1">
        <v>28</v>
      </c>
      <c r="I57" s="1">
        <v>0</v>
      </c>
      <c r="J57" s="1">
        <v>12</v>
      </c>
      <c r="K57" s="31">
        <v>45748</v>
      </c>
      <c r="L57" s="31">
        <v>46053</v>
      </c>
      <c r="M57" s="31">
        <v>46053</v>
      </c>
      <c r="N57" s="33" t="s">
        <v>121</v>
      </c>
    </row>
    <row r="58" spans="1:14" hidden="1" x14ac:dyDescent="0.35">
      <c r="A58" t="s">
        <v>194</v>
      </c>
      <c r="B58" t="s">
        <v>25</v>
      </c>
      <c r="C58" t="s">
        <v>12</v>
      </c>
      <c r="D58" t="s">
        <v>9</v>
      </c>
      <c r="E58" s="2">
        <v>1175</v>
      </c>
      <c r="F58" s="2">
        <v>6100</v>
      </c>
      <c r="G58" s="1">
        <v>27.19</v>
      </c>
      <c r="H58" s="1">
        <v>27.19</v>
      </c>
      <c r="I58" s="1">
        <v>10.88</v>
      </c>
      <c r="J58" s="1">
        <v>10.88</v>
      </c>
      <c r="K58" s="31">
        <v>45689</v>
      </c>
      <c r="L58" s="31">
        <v>45991</v>
      </c>
      <c r="M58" s="31">
        <v>45991</v>
      </c>
      <c r="N58" s="33" t="s">
        <v>121</v>
      </c>
    </row>
    <row r="59" spans="1:14" hidden="1" x14ac:dyDescent="0.35">
      <c r="A59" t="s">
        <v>200</v>
      </c>
      <c r="B59" t="s">
        <v>25</v>
      </c>
      <c r="C59" t="s">
        <v>12</v>
      </c>
      <c r="D59" t="s">
        <v>10</v>
      </c>
      <c r="E59" s="2">
        <v>2000</v>
      </c>
      <c r="F59" s="2">
        <v>8000</v>
      </c>
      <c r="G59" s="1">
        <v>20</v>
      </c>
      <c r="H59" s="1">
        <v>20</v>
      </c>
      <c r="I59" s="1">
        <v>28</v>
      </c>
      <c r="J59" s="1">
        <v>28</v>
      </c>
      <c r="K59" s="31">
        <v>45778</v>
      </c>
      <c r="L59" s="31">
        <v>45808</v>
      </c>
      <c r="M59" s="31">
        <v>45808</v>
      </c>
      <c r="N59" s="33" t="s">
        <v>121</v>
      </c>
    </row>
    <row r="60" spans="1:14" hidden="1" x14ac:dyDescent="0.35">
      <c r="A60" t="s">
        <v>201</v>
      </c>
      <c r="B60" t="s">
        <v>22</v>
      </c>
      <c r="C60" t="s">
        <v>11</v>
      </c>
      <c r="D60" t="s">
        <v>6</v>
      </c>
      <c r="E60" s="2">
        <v>300</v>
      </c>
      <c r="F60" s="2">
        <v>0</v>
      </c>
      <c r="G60" s="1">
        <v>30</v>
      </c>
      <c r="H60" s="1">
        <v>30</v>
      </c>
      <c r="I60" s="1">
        <v>0</v>
      </c>
      <c r="J60" s="1">
        <v>0</v>
      </c>
      <c r="K60" s="31">
        <v>45809</v>
      </c>
      <c r="L60" s="31">
        <v>46173</v>
      </c>
      <c r="M60" s="31">
        <v>46173</v>
      </c>
      <c r="N60" s="33" t="s">
        <v>121</v>
      </c>
    </row>
    <row r="61" spans="1:14" hidden="1" x14ac:dyDescent="0.35">
      <c r="A61" t="s">
        <v>210</v>
      </c>
      <c r="B61" t="s">
        <v>25</v>
      </c>
      <c r="C61" t="s">
        <v>12</v>
      </c>
      <c r="D61" t="s">
        <v>10</v>
      </c>
      <c r="E61" s="2">
        <v>2000</v>
      </c>
      <c r="F61" s="2">
        <v>8000</v>
      </c>
      <c r="G61" s="1">
        <v>20</v>
      </c>
      <c r="H61" s="1">
        <v>20</v>
      </c>
      <c r="I61" s="1">
        <v>28</v>
      </c>
      <c r="J61" s="1">
        <v>28</v>
      </c>
      <c r="K61" s="31">
        <v>45809</v>
      </c>
      <c r="L61" s="31">
        <v>46022</v>
      </c>
      <c r="M61" s="31">
        <v>46022</v>
      </c>
      <c r="N61" s="33" t="s">
        <v>121</v>
      </c>
    </row>
    <row r="62" spans="1:14" hidden="1" x14ac:dyDescent="0.35">
      <c r="A62" t="s">
        <v>263</v>
      </c>
      <c r="B62" t="s">
        <v>46</v>
      </c>
      <c r="C62" t="s">
        <v>87</v>
      </c>
      <c r="D62" t="s">
        <v>9</v>
      </c>
      <c r="E62" s="2">
        <v>1070</v>
      </c>
      <c r="F62" s="2">
        <v>3210</v>
      </c>
      <c r="G62" s="1">
        <v>32.64</v>
      </c>
      <c r="H62" s="1">
        <v>32.64</v>
      </c>
      <c r="I62" s="1">
        <v>13.05</v>
      </c>
      <c r="J62" s="1">
        <v>13.05</v>
      </c>
      <c r="K62" s="31">
        <v>45931</v>
      </c>
      <c r="L62" s="31">
        <v>46054</v>
      </c>
      <c r="M62" s="31">
        <v>46234</v>
      </c>
      <c r="N62" s="33" t="s">
        <v>121</v>
      </c>
    </row>
    <row r="63" spans="1:14" hidden="1" x14ac:dyDescent="0.35">
      <c r="A63" t="s">
        <v>264</v>
      </c>
      <c r="B63" t="s">
        <v>25</v>
      </c>
      <c r="C63" t="s">
        <v>12</v>
      </c>
      <c r="D63" t="s">
        <v>9</v>
      </c>
      <c r="E63" s="2">
        <v>1125</v>
      </c>
      <c r="F63" s="2">
        <v>5625</v>
      </c>
      <c r="G63" s="1">
        <v>27.19</v>
      </c>
      <c r="H63" s="1">
        <v>27.19</v>
      </c>
      <c r="I63" s="1">
        <v>10.88</v>
      </c>
      <c r="J63" s="1">
        <v>10.88</v>
      </c>
      <c r="K63" s="31">
        <v>45931</v>
      </c>
      <c r="L63" s="31">
        <v>46082</v>
      </c>
      <c r="M63" s="31">
        <v>46264</v>
      </c>
      <c r="N63" s="33" t="s">
        <v>121</v>
      </c>
    </row>
    <row r="64" spans="1:14" hidden="1" x14ac:dyDescent="0.35">
      <c r="A64" t="s">
        <v>274</v>
      </c>
      <c r="B64" t="s">
        <v>48</v>
      </c>
      <c r="C64" t="s">
        <v>49</v>
      </c>
      <c r="D64" t="s">
        <v>52</v>
      </c>
      <c r="E64" s="2">
        <v>360</v>
      </c>
      <c r="F64" s="2">
        <v>2040</v>
      </c>
      <c r="G64" s="1">
        <v>43.92</v>
      </c>
      <c r="H64" s="1">
        <v>43.92</v>
      </c>
      <c r="I64" s="1">
        <v>17.568000000000001</v>
      </c>
      <c r="J64" s="1">
        <v>17.568000000000001</v>
      </c>
      <c r="K64" s="31">
        <v>45902</v>
      </c>
      <c r="L64" s="31">
        <v>46267</v>
      </c>
      <c r="M64" s="31">
        <v>46267</v>
      </c>
      <c r="N64" s="33" t="s">
        <v>121</v>
      </c>
    </row>
    <row r="65" spans="1:14" hidden="1" x14ac:dyDescent="0.35">
      <c r="A65" t="s">
        <v>139</v>
      </c>
      <c r="B65" t="s">
        <v>48</v>
      </c>
      <c r="C65" t="s">
        <v>49</v>
      </c>
      <c r="D65" t="s">
        <v>14</v>
      </c>
      <c r="E65" s="2">
        <v>365</v>
      </c>
      <c r="F65" s="2">
        <v>936</v>
      </c>
      <c r="G65" s="1">
        <v>17.87</v>
      </c>
      <c r="H65" s="1">
        <v>17.87</v>
      </c>
      <c r="I65" s="1">
        <v>0</v>
      </c>
      <c r="J65" s="1">
        <v>0</v>
      </c>
      <c r="K65" s="31">
        <v>45902</v>
      </c>
      <c r="L65" s="31">
        <v>46330</v>
      </c>
      <c r="M65" s="31">
        <v>46330</v>
      </c>
      <c r="N65" s="33" t="s">
        <v>121</v>
      </c>
    </row>
    <row r="66" spans="1:14" hidden="1" x14ac:dyDescent="0.35">
      <c r="A66" t="s">
        <v>275</v>
      </c>
      <c r="B66" t="s">
        <v>48</v>
      </c>
      <c r="C66" t="s">
        <v>49</v>
      </c>
      <c r="D66" t="s">
        <v>14</v>
      </c>
      <c r="E66" s="2">
        <v>365</v>
      </c>
      <c r="F66" s="2">
        <v>936</v>
      </c>
      <c r="G66" s="1">
        <v>18.93</v>
      </c>
      <c r="H66" s="1">
        <v>18.93</v>
      </c>
      <c r="I66" s="1">
        <v>0</v>
      </c>
      <c r="J66" s="1">
        <v>0</v>
      </c>
      <c r="K66" s="31">
        <v>45902</v>
      </c>
      <c r="L66" s="31">
        <v>46330</v>
      </c>
      <c r="M66" s="31">
        <v>46330</v>
      </c>
      <c r="N66" s="33" t="s">
        <v>121</v>
      </c>
    </row>
    <row r="67" spans="1:14" hidden="1" x14ac:dyDescent="0.35">
      <c r="A67" t="s">
        <v>307</v>
      </c>
      <c r="B67" t="s">
        <v>57</v>
      </c>
      <c r="C67" t="s">
        <v>58</v>
      </c>
      <c r="D67" t="s">
        <v>6</v>
      </c>
      <c r="E67" s="2">
        <v>1025</v>
      </c>
      <c r="F67" s="2">
        <v>3161</v>
      </c>
      <c r="G67" s="1">
        <v>23.42</v>
      </c>
      <c r="H67" s="1">
        <v>23.42</v>
      </c>
      <c r="I67" s="1">
        <v>0</v>
      </c>
      <c r="J67" s="1">
        <v>0</v>
      </c>
      <c r="K67" s="31">
        <v>46023</v>
      </c>
      <c r="L67" s="31"/>
      <c r="M67" s="31"/>
      <c r="N67" s="33" t="s">
        <v>121</v>
      </c>
    </row>
    <row r="68" spans="1:14" hidden="1" x14ac:dyDescent="0.35">
      <c r="A68" t="s">
        <v>313</v>
      </c>
      <c r="B68" t="s">
        <v>22</v>
      </c>
      <c r="C68" t="s">
        <v>11</v>
      </c>
      <c r="D68" t="s">
        <v>13</v>
      </c>
      <c r="E68" s="2">
        <v>750</v>
      </c>
      <c r="F68" s="2">
        <v>0</v>
      </c>
      <c r="G68" s="1">
        <v>22.2</v>
      </c>
      <c r="H68" s="1">
        <v>22.2</v>
      </c>
      <c r="I68" s="1">
        <v>8.8800000000000008</v>
      </c>
      <c r="J68" s="1">
        <v>8.8800000000000008</v>
      </c>
      <c r="K68" s="31">
        <v>46082</v>
      </c>
      <c r="L68" s="31">
        <v>46446</v>
      </c>
      <c r="M68" s="31">
        <v>46446</v>
      </c>
      <c r="N68" s="33" t="s">
        <v>121</v>
      </c>
    </row>
    <row r="69" spans="1:14" x14ac:dyDescent="0.35">
      <c r="A69" t="s">
        <v>314</v>
      </c>
      <c r="B69" t="s">
        <v>26</v>
      </c>
      <c r="C69" t="s">
        <v>19</v>
      </c>
      <c r="D69" t="s">
        <v>13</v>
      </c>
      <c r="E69" s="2">
        <v>340</v>
      </c>
      <c r="F69" s="2">
        <v>1020</v>
      </c>
      <c r="G69" s="1">
        <v>28</v>
      </c>
      <c r="H69" s="1">
        <v>28</v>
      </c>
      <c r="I69" s="1">
        <v>0</v>
      </c>
      <c r="J69" s="1">
        <v>12</v>
      </c>
      <c r="K69" s="31">
        <v>46082</v>
      </c>
      <c r="L69" s="31">
        <v>46081</v>
      </c>
      <c r="M69" s="31">
        <v>46446</v>
      </c>
      <c r="N69" s="33" t="s">
        <v>121</v>
      </c>
    </row>
    <row r="70" spans="1:14" x14ac:dyDescent="0.35">
      <c r="A70" t="s">
        <v>322</v>
      </c>
      <c r="B70" t="s">
        <v>26</v>
      </c>
      <c r="C70" t="s">
        <v>19</v>
      </c>
      <c r="D70" t="s">
        <v>10</v>
      </c>
      <c r="E70" s="2">
        <v>2167</v>
      </c>
      <c r="F70" s="2">
        <v>0</v>
      </c>
      <c r="G70" s="1">
        <v>0</v>
      </c>
      <c r="H70" s="1">
        <v>0</v>
      </c>
      <c r="I70" s="1">
        <v>0</v>
      </c>
      <c r="J70" s="1">
        <v>0</v>
      </c>
      <c r="K70" s="31">
        <v>46023</v>
      </c>
      <c r="L70" s="31">
        <v>46444</v>
      </c>
      <c r="M70" s="31">
        <v>46444</v>
      </c>
      <c r="N70" s="33" t="s">
        <v>121</v>
      </c>
    </row>
    <row r="71" spans="1:14" hidden="1" x14ac:dyDescent="0.35">
      <c r="A71" t="s">
        <v>323</v>
      </c>
      <c r="B71" t="s">
        <v>25</v>
      </c>
      <c r="C71" t="s">
        <v>12</v>
      </c>
      <c r="D71" t="s">
        <v>10</v>
      </c>
      <c r="E71" s="2">
        <v>2000</v>
      </c>
      <c r="F71" s="2">
        <v>8000</v>
      </c>
      <c r="G71" s="1">
        <v>20</v>
      </c>
      <c r="H71" s="1">
        <v>20</v>
      </c>
      <c r="I71" s="1">
        <v>28</v>
      </c>
      <c r="J71" s="1">
        <v>28</v>
      </c>
      <c r="K71" s="31">
        <v>46023</v>
      </c>
      <c r="L71" s="31">
        <v>46387</v>
      </c>
      <c r="M71" s="31">
        <v>46387</v>
      </c>
      <c r="N71" s="33" t="s">
        <v>121</v>
      </c>
    </row>
    <row r="72" spans="1:14" hidden="1" x14ac:dyDescent="0.35">
      <c r="A72" t="s">
        <v>328</v>
      </c>
      <c r="B72" t="s">
        <v>22</v>
      </c>
      <c r="C72" t="s">
        <v>11</v>
      </c>
      <c r="D72" t="s">
        <v>207</v>
      </c>
      <c r="E72" s="2">
        <v>625</v>
      </c>
      <c r="F72" s="2">
        <v>1875</v>
      </c>
      <c r="G72" s="1">
        <v>31.58</v>
      </c>
      <c r="H72" s="1">
        <v>31.58</v>
      </c>
      <c r="I72" s="1">
        <v>12.632</v>
      </c>
      <c r="J72" s="1">
        <v>12.632</v>
      </c>
      <c r="K72" s="31">
        <v>46113</v>
      </c>
      <c r="L72" s="31">
        <v>46477</v>
      </c>
      <c r="M72" s="31">
        <v>46904</v>
      </c>
      <c r="N72" s="33" t="s">
        <v>121</v>
      </c>
    </row>
    <row r="73" spans="1:14" hidden="1" x14ac:dyDescent="0.35">
      <c r="A73" t="s">
        <v>342</v>
      </c>
      <c r="B73" t="s">
        <v>25</v>
      </c>
      <c r="C73" t="s">
        <v>12</v>
      </c>
      <c r="D73" t="s">
        <v>9</v>
      </c>
      <c r="E73" s="2">
        <v>1125</v>
      </c>
      <c r="F73" s="2">
        <v>5625</v>
      </c>
      <c r="G73" s="1">
        <v>27.4</v>
      </c>
      <c r="H73" s="1">
        <v>27.4</v>
      </c>
      <c r="I73" s="1">
        <v>10.96</v>
      </c>
      <c r="J73" s="1">
        <v>10.96</v>
      </c>
      <c r="K73" s="31">
        <v>46143</v>
      </c>
      <c r="L73" s="31">
        <v>46507</v>
      </c>
      <c r="M73" s="31">
        <v>46264</v>
      </c>
      <c r="N73" s="33" t="s">
        <v>121</v>
      </c>
    </row>
    <row r="74" spans="1:14" x14ac:dyDescent="0.35">
      <c r="A74" t="s">
        <v>343</v>
      </c>
      <c r="B74" t="s">
        <v>26</v>
      </c>
      <c r="C74" t="s">
        <v>19</v>
      </c>
      <c r="D74" t="s">
        <v>13</v>
      </c>
      <c r="E74" s="2">
        <v>340</v>
      </c>
      <c r="F74" s="2">
        <v>0</v>
      </c>
      <c r="G74" s="1">
        <v>28</v>
      </c>
      <c r="H74" s="1">
        <v>28</v>
      </c>
      <c r="I74" s="1">
        <v>0</v>
      </c>
      <c r="J74" s="1">
        <v>12</v>
      </c>
      <c r="K74" s="31">
        <v>46204</v>
      </c>
      <c r="L74" s="31">
        <v>46446</v>
      </c>
      <c r="M74" s="31">
        <v>46446</v>
      </c>
      <c r="N74" s="33" t="s">
        <v>121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82A-07B1-449B-91F3-A8707391AF93}">
  <sheetPr codeName="Planilha3"/>
  <dimension ref="A1:C11"/>
  <sheetViews>
    <sheetView workbookViewId="0">
      <selection activeCell="D14" sqref="D14"/>
    </sheetView>
  </sheetViews>
  <sheetFormatPr defaultRowHeight="14.5" x14ac:dyDescent="0.35"/>
  <cols>
    <col min="1" max="1" width="9.90625" customWidth="1"/>
    <col min="2" max="2" width="22.54296875" bestFit="1" customWidth="1"/>
  </cols>
  <sheetData>
    <row r="1" spans="1:3" x14ac:dyDescent="0.35">
      <c r="A1" t="s">
        <v>77</v>
      </c>
      <c r="B1" t="s">
        <v>78</v>
      </c>
      <c r="C1" t="s">
        <v>83</v>
      </c>
    </row>
    <row r="2" spans="1:3" x14ac:dyDescent="0.35">
      <c r="A2" s="6" t="s">
        <v>25</v>
      </c>
      <c r="B2" t="s">
        <v>63</v>
      </c>
      <c r="C2" s="24">
        <v>1</v>
      </c>
    </row>
    <row r="3" spans="1:3" x14ac:dyDescent="0.35">
      <c r="A3" s="6" t="s">
        <v>48</v>
      </c>
      <c r="B3" t="s">
        <v>60</v>
      </c>
      <c r="C3" s="24">
        <v>1</v>
      </c>
    </row>
    <row r="4" spans="1:3" x14ac:dyDescent="0.35">
      <c r="A4" s="6" t="s">
        <v>22</v>
      </c>
      <c r="B4" t="s">
        <v>61</v>
      </c>
      <c r="C4" s="24">
        <v>1</v>
      </c>
    </row>
    <row r="5" spans="1:3" x14ac:dyDescent="0.35">
      <c r="A5" s="6" t="s">
        <v>74</v>
      </c>
      <c r="B5" t="s">
        <v>31</v>
      </c>
      <c r="C5" s="24">
        <v>0.33333000000000002</v>
      </c>
    </row>
    <row r="6" spans="1:3" x14ac:dyDescent="0.35">
      <c r="A6" s="6" t="s">
        <v>57</v>
      </c>
      <c r="B6" t="s">
        <v>64</v>
      </c>
      <c r="C6" s="24">
        <v>1</v>
      </c>
    </row>
    <row r="7" spans="1:3" x14ac:dyDescent="0.35">
      <c r="A7" s="6" t="s">
        <v>46</v>
      </c>
      <c r="B7" t="s">
        <v>62</v>
      </c>
      <c r="C7" s="24">
        <v>0.6</v>
      </c>
    </row>
    <row r="8" spans="1:3" x14ac:dyDescent="0.35">
      <c r="A8" s="6" t="s">
        <v>23</v>
      </c>
      <c r="B8" t="s">
        <v>79</v>
      </c>
      <c r="C8" s="24">
        <v>1</v>
      </c>
    </row>
    <row r="9" spans="1:3" x14ac:dyDescent="0.35">
      <c r="A9" s="6" t="s">
        <v>26</v>
      </c>
      <c r="B9" t="s">
        <v>80</v>
      </c>
      <c r="C9" s="24">
        <v>0.5</v>
      </c>
    </row>
    <row r="10" spans="1:3" x14ac:dyDescent="0.35">
      <c r="A10" s="6" t="s">
        <v>84</v>
      </c>
      <c r="B10" t="s">
        <v>81</v>
      </c>
      <c r="C10" s="24">
        <v>0.20610000000000001</v>
      </c>
    </row>
    <row r="11" spans="1:3" x14ac:dyDescent="0.35">
      <c r="A11" s="6" t="s">
        <v>85</v>
      </c>
      <c r="B11" t="s">
        <v>82</v>
      </c>
      <c r="C11" s="24">
        <v>0.18329999999999999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CCCFA1-3D96-4CEF-A51A-E954AD7B1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BaseRelatório</vt:lpstr>
      <vt:lpstr>Receitas</vt:lpstr>
      <vt:lpstr>BaseRelatorio v LOA</vt:lpstr>
      <vt:lpstr>BaseRelatório vOrçamento</vt:lpstr>
      <vt:lpstr>TabCondicoesComerciais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Queiroz de Lima</dc:creator>
  <cp:lastModifiedBy>Morikawa, Marcia (Sao Paulo - BR)</cp:lastModifiedBy>
  <dcterms:created xsi:type="dcterms:W3CDTF">2023-01-06T16:22:56Z</dcterms:created>
  <dcterms:modified xsi:type="dcterms:W3CDTF">2026-08-11T17:02:07Z</dcterms:modified>
</cp:coreProperties>
</file>