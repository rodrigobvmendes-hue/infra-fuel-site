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ndes\Downloads\"/>
    </mc:Choice>
  </mc:AlternateContent>
  <xr:revisionPtr revIDLastSave="0" documentId="13_ncr:1_{344F0DA8-6680-4C27-8E1B-E88BABC8B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  <sheet name="Planilha1" sheetId="2" r:id="rId2"/>
  </sheets>
  <definedNames>
    <definedName name="_xlnm._FilterDatabase" localSheetId="1" hidden="1">Planilha1!$A$1:$C$182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2" i="1"/>
</calcChain>
</file>

<file path=xl/sharedStrings.xml><?xml version="1.0" encoding="utf-8"?>
<sst xmlns="http://schemas.openxmlformats.org/spreadsheetml/2006/main" count="5059" uniqueCount="2036">
  <si>
    <t>CNPJ</t>
  </si>
  <si>
    <t>Razão Social</t>
  </si>
  <si>
    <t>Tipo de Instalação</t>
  </si>
  <si>
    <t>Endereço da Matriz</t>
  </si>
  <si>
    <t>Número</t>
  </si>
  <si>
    <t>Bairro</t>
  </si>
  <si>
    <t>Complemento</t>
  </si>
  <si>
    <t>Município</t>
  </si>
  <si>
    <t>UF</t>
  </si>
  <si>
    <t>Capacidade Total</t>
  </si>
  <si>
    <t>Participação (%)</t>
  </si>
  <si>
    <t>Número Autorização</t>
  </si>
  <si>
    <t>Data Publicação</t>
  </si>
  <si>
    <t>00175884000204</t>
  </si>
  <si>
    <t>PETROSUL DISTRIBUIDORA TRANSPORTADORA E COMÉRCIO DE COMBUSTÍVEIS LTDA</t>
  </si>
  <si>
    <t>BASES DO RAMO DE COMBUSTÍVEIS</t>
  </si>
  <si>
    <t>RUA SIDNEY CARDON DE OLIVEIRA</t>
  </si>
  <si>
    <t>1723</t>
  </si>
  <si>
    <t>CASCATA</t>
  </si>
  <si>
    <t>PAULINIA</t>
  </si>
  <si>
    <t>SP</t>
  </si>
  <si>
    <t>464</t>
  </si>
  <si>
    <t>00175884001006</t>
  </si>
  <si>
    <t>Avenida   Tropical</t>
  </si>
  <si>
    <t>S/Nº</t>
  </si>
  <si>
    <t>Distrito Industrial Brasil Central</t>
  </si>
  <si>
    <t>LOTE 5 E 6 A</t>
  </si>
  <si>
    <t>SENADOR CANEDO</t>
  </si>
  <si>
    <t>GO</t>
  </si>
  <si>
    <t>5</t>
  </si>
  <si>
    <t>00209895000250</t>
  </si>
  <si>
    <t>RDP ENERGIA LTDA</t>
  </si>
  <si>
    <t>RUA   BENJAMIM DAGNONI</t>
  </si>
  <si>
    <t>705</t>
  </si>
  <si>
    <t>RESSACADA</t>
  </si>
  <si>
    <t>TERREO</t>
  </si>
  <si>
    <t>ITAJAI</t>
  </si>
  <si>
    <t>SC</t>
  </si>
  <si>
    <t>293</t>
  </si>
  <si>
    <t>00209895000330</t>
  </si>
  <si>
    <t>RUA EDSON QUEIROZ</t>
  </si>
  <si>
    <t>215</t>
  </si>
  <si>
    <t>CHAPADA</t>
  </si>
  <si>
    <t>ARAUCARIA</t>
  </si>
  <si>
    <t>PR</t>
  </si>
  <si>
    <t>87</t>
  </si>
  <si>
    <t>00326969000157</t>
  </si>
  <si>
    <t>MAXSUL DISTRIBUIDORA DE COMBUSTÍVEIS LTDA.</t>
  </si>
  <si>
    <t>ROD SC 480, KM 5,8</t>
  </si>
  <si>
    <t>4445 E</t>
  </si>
  <si>
    <t>Centro (Marechal Bormann)</t>
  </si>
  <si>
    <t>CHAPECO</t>
  </si>
  <si>
    <t>207</t>
  </si>
  <si>
    <t>00401560000158</t>
  </si>
  <si>
    <t>JOAPI DISTRIBUIDORA DE COMBUSTÍVEIS S.A.</t>
  </si>
  <si>
    <t>ESTRADA PORTO DA FARINHA</t>
  </si>
  <si>
    <t>256</t>
  </si>
  <si>
    <t>CAJU</t>
  </si>
  <si>
    <t>NOVA SANTA RITA</t>
  </si>
  <si>
    <t>RS</t>
  </si>
  <si>
    <t>677</t>
  </si>
  <si>
    <t>00466187000113</t>
  </si>
  <si>
    <t>FÉLIX DISTRIBUIDORA DE COMBUSTÍVEIS LTDA</t>
  </si>
  <si>
    <t>ROD DA BALSINHA</t>
  </si>
  <si>
    <t>S/N</t>
  </si>
  <si>
    <t>ZONA RURAL</t>
  </si>
  <si>
    <t>KM 18 A DIREITA 04 KM SALA 18</t>
  </si>
  <si>
    <t>IGUATEMI</t>
  </si>
  <si>
    <t>MS</t>
  </si>
  <si>
    <t>486</t>
  </si>
  <si>
    <t>00756149000103</t>
  </si>
  <si>
    <t>RUFF CJ DISTRIBUIDORA DE PETRÓLEO LTDA</t>
  </si>
  <si>
    <t>AVENIDA ERNESTO IGEL</t>
  </si>
  <si>
    <t>3714</t>
  </si>
  <si>
    <t>249</t>
  </si>
  <si>
    <t>00756149001177</t>
  </si>
  <si>
    <t>RODOVIA VIA JOSÉ LUIZ GALVÃO</t>
  </si>
  <si>
    <t>2100</t>
  </si>
  <si>
    <t>SITIO BOM JESUS</t>
  </si>
  <si>
    <t>SETOR OESTE SS-O-16</t>
  </si>
  <si>
    <t>RIBEIRAO PRETO</t>
  </si>
  <si>
    <t>358</t>
  </si>
  <si>
    <t>00756149001762</t>
  </si>
  <si>
    <t>RUA DO VALE</t>
  </si>
  <si>
    <t>155</t>
  </si>
  <si>
    <t>CENTRO</t>
  </si>
  <si>
    <t>CAREACU</t>
  </si>
  <si>
    <t>MG</t>
  </si>
  <si>
    <t>606</t>
  </si>
  <si>
    <t>00756149002491</t>
  </si>
  <si>
    <t>R JOAQUIM PEDRO RIBEIRO</t>
  </si>
  <si>
    <t>834</t>
  </si>
  <si>
    <t>Centro</t>
  </si>
  <si>
    <t>GUAXUPE</t>
  </si>
  <si>
    <t>761</t>
  </si>
  <si>
    <t>00828887000372</t>
  </si>
  <si>
    <t>PELIKANO DISTRIBUIDORA DE PETRÓLEO LTDA</t>
  </si>
  <si>
    <t>Rua Luiz Franceschi</t>
  </si>
  <si>
    <t>522</t>
  </si>
  <si>
    <t>Thomaz Coelho</t>
  </si>
  <si>
    <t>00942246000263</t>
  </si>
  <si>
    <t>SIMARELLI DISTRIBUIDORA DE DERIVADOS DE PETRÓLEO LTDA.</t>
  </si>
  <si>
    <t>RODOVIA SP 332</t>
  </si>
  <si>
    <t>S/N.º</t>
  </si>
  <si>
    <t>KM 132</t>
  </si>
  <si>
    <t>41</t>
  </si>
  <si>
    <t>00942246000506</t>
  </si>
  <si>
    <t>RUA ALAN BOA VENTURA</t>
  </si>
  <si>
    <t>178</t>
  </si>
  <si>
    <t>VILA ELIANE</t>
  </si>
  <si>
    <t>SALA 02</t>
  </si>
  <si>
    <t>CAMPO GRANDE</t>
  </si>
  <si>
    <t>893</t>
  </si>
  <si>
    <t>00942246001235</t>
  </si>
  <si>
    <t>Rua   N</t>
  </si>
  <si>
    <t>Jardim Industriário</t>
  </si>
  <si>
    <t>LOTE 22 E 23</t>
  </si>
  <si>
    <t>CUIABA</t>
  </si>
  <si>
    <t>MT</t>
  </si>
  <si>
    <t>583</t>
  </si>
  <si>
    <t>01083568000186</t>
  </si>
  <si>
    <t>LIDERPETRO DISTRIBUIDORA DE PETRÓLEO LTDA</t>
  </si>
  <si>
    <t>Avenida   Aldo Borges Leão</t>
  </si>
  <si>
    <t>4911</t>
  </si>
  <si>
    <t>MORADA NOVA</t>
  </si>
  <si>
    <t>SALA SEM INSC. MUNIC</t>
  </si>
  <si>
    <t>UBERLANDIA</t>
  </si>
  <si>
    <t>153</t>
  </si>
  <si>
    <t>01083568000348</t>
  </si>
  <si>
    <t>RUA NITEROI, ESQUINA COM RUA COPACABANA,</t>
  </si>
  <si>
    <t>SETOR COMERCIAL CANEDO</t>
  </si>
  <si>
    <t>QUADRA 04 - LOTE 1/19 - COND. POOL PETROBALL</t>
  </si>
  <si>
    <t>324</t>
  </si>
  <si>
    <t>01125282000388</t>
  </si>
  <si>
    <t>PETROBAHIA S/A</t>
  </si>
  <si>
    <t>RODOVIA BR 415</t>
  </si>
  <si>
    <t>Centro Industrial</t>
  </si>
  <si>
    <t>KM 5</t>
  </si>
  <si>
    <t>ITABUNA</t>
  </si>
  <si>
    <t>BA</t>
  </si>
  <si>
    <t>355</t>
  </si>
  <si>
    <t>01125282000620</t>
  </si>
  <si>
    <t>RUA GLAUBER ROCHA</t>
  </si>
  <si>
    <t>Jardim Paraíso</t>
  </si>
  <si>
    <t>LUIS EDUARDO MAGALHAES</t>
  </si>
  <si>
    <t>300</t>
  </si>
  <si>
    <t>01125282000701</t>
  </si>
  <si>
    <t>QUADRA A  - LOTES 12 E 13</t>
  </si>
  <si>
    <t>.</t>
  </si>
  <si>
    <t>DISTRITO INDUSTRIAL</t>
  </si>
  <si>
    <t>JUAZEIRO</t>
  </si>
  <si>
    <t>796</t>
  </si>
  <si>
    <t>01125282001198</t>
  </si>
  <si>
    <t>ROD BA 523 (RODOVIA CANDEIAS - MADRE DE DEUS)</t>
  </si>
  <si>
    <t>MATARIPE</t>
  </si>
  <si>
    <t>KM 07</t>
  </si>
  <si>
    <t>SAO FRANCISCO DO CONDE</t>
  </si>
  <si>
    <t>88</t>
  </si>
  <si>
    <t>01125282001945</t>
  </si>
  <si>
    <t>RUA PROJETADA</t>
  </si>
  <si>
    <t>SETOR 19 QUADRA02 LOTE 12</t>
  </si>
  <si>
    <t>BALSAS</t>
  </si>
  <si>
    <t>MA</t>
  </si>
  <si>
    <t>313</t>
  </si>
  <si>
    <t>01125282002160</t>
  </si>
  <si>
    <t>01136600000144</t>
  </si>
  <si>
    <t>TRANSO COMBUSTÍVEIS LTDA</t>
  </si>
  <si>
    <t>Avenida   Estocolmo</t>
  </si>
  <si>
    <t>1438</t>
  </si>
  <si>
    <t>Cascata</t>
  </si>
  <si>
    <t>935</t>
  </si>
  <si>
    <t>01228749000153</t>
  </si>
  <si>
    <t>PETRO DALLAS DO BRASIL LTDA.</t>
  </si>
  <si>
    <t>Avenida Airton Borges da Silva</t>
  </si>
  <si>
    <t>1279</t>
  </si>
  <si>
    <t>Distrito Industrial</t>
  </si>
  <si>
    <t>250</t>
  </si>
  <si>
    <t>01241994000443</t>
  </si>
  <si>
    <t>TDC DISTRIBUIDORA DE COMBUSTÍVEIS S/A.</t>
  </si>
  <si>
    <t>VIA MADRE DE DEUS</t>
  </si>
  <si>
    <t>CAIPÉ</t>
  </si>
  <si>
    <t>KM 42,5</t>
  </si>
  <si>
    <t>638</t>
  </si>
  <si>
    <t>01241994000605</t>
  </si>
  <si>
    <t>01241994001172</t>
  </si>
  <si>
    <t>SETOR INDUSTRIAL SUL -SIN/SUL</t>
  </si>
  <si>
    <t>ZONA INDUSTRIAL (GUARÁ)</t>
  </si>
  <si>
    <t>LOTE 02 A - SETOR INFLAMÁVEIS</t>
  </si>
  <si>
    <t>BRASILIA</t>
  </si>
  <si>
    <t>DF</t>
  </si>
  <si>
    <t>793</t>
  </si>
  <si>
    <t>01241994001415</t>
  </si>
  <si>
    <t>Rodovia BA 523</t>
  </si>
  <si>
    <t>99</t>
  </si>
  <si>
    <t>01241994001504</t>
  </si>
  <si>
    <t>01241994001687</t>
  </si>
  <si>
    <t>ROD PATIO DE INTEGRACAO INTERMODAL DA FERROVIANORTE -SUL, RODOV</t>
  </si>
  <si>
    <t>Setor Central</t>
  </si>
  <si>
    <t>PORTO NACIONAL</t>
  </si>
  <si>
    <t>TO</t>
  </si>
  <si>
    <t>165</t>
  </si>
  <si>
    <t>01256137000174</t>
  </si>
  <si>
    <t>DISTRIBUIDORA RIO BRANCO DE PETRÓLEO LTDA.</t>
  </si>
  <si>
    <t>AVENIDA RIO GRANDE</t>
  </si>
  <si>
    <t>5000</t>
  </si>
  <si>
    <t>BAIRRO INDUSTRIAL III</t>
  </si>
  <si>
    <t>UBERABA</t>
  </si>
  <si>
    <t>76</t>
  </si>
  <si>
    <t>01256137000417</t>
  </si>
  <si>
    <t>01256137000506</t>
  </si>
  <si>
    <t>01256137000689</t>
  </si>
  <si>
    <t>RODOVIA BR-381 FERNAO DIAS KM 483,8</t>
  </si>
  <si>
    <t>A/N</t>
  </si>
  <si>
    <t>DISTRITO INDUSTRIAL JARDIM PIEMONT SUL</t>
  </si>
  <si>
    <t>SALAS 06, 07 E 08</t>
  </si>
  <si>
    <t>BETIM</t>
  </si>
  <si>
    <t>01256137000760</t>
  </si>
  <si>
    <t>Via José Luiz Galvão</t>
  </si>
  <si>
    <t>2200</t>
  </si>
  <si>
    <t>Bom Jesus</t>
  </si>
  <si>
    <t>717</t>
  </si>
  <si>
    <t>01317309000253</t>
  </si>
  <si>
    <t>DISTRIBUIDORA DE PRODUTOS DE PETRÓLEO CHARRUA LTDA</t>
  </si>
  <si>
    <t>Rua João Luiz da Rocha</t>
  </si>
  <si>
    <t>136</t>
  </si>
  <si>
    <t>Santo André</t>
  </si>
  <si>
    <t>LAJEADO</t>
  </si>
  <si>
    <t>172</t>
  </si>
  <si>
    <t>01317309000768</t>
  </si>
  <si>
    <t>RODOVIA BR 285</t>
  </si>
  <si>
    <t>INTERIOR</t>
  </si>
  <si>
    <t>KM 477 - MAIS 150 METROS</t>
  </si>
  <si>
    <t>CORONEL BARROS</t>
  </si>
  <si>
    <t>325</t>
  </si>
  <si>
    <t>01349764000400</t>
  </si>
  <si>
    <t>ROYAL FIC DISTRIBUIDORA DE DERIVADOS DE PETRÓLEO S/A</t>
  </si>
  <si>
    <t>Avenida Senador  Onofre Quinan</t>
  </si>
  <si>
    <t>415</t>
  </si>
  <si>
    <t>Bonfim</t>
  </si>
  <si>
    <t>SÍTIO BONFIM</t>
  </si>
  <si>
    <t>747</t>
  </si>
  <si>
    <t>01349764001393</t>
  </si>
  <si>
    <t>01349764001636</t>
  </si>
  <si>
    <t>Rua   Paulo Masayuki Uezato</t>
  </si>
  <si>
    <t>68</t>
  </si>
  <si>
    <t>LOTE 65 QUADRA07</t>
  </si>
  <si>
    <t>01349764001989</t>
  </si>
  <si>
    <t>ESTRADA DO CONTORNO DA PETROBRAS</t>
  </si>
  <si>
    <t>1250</t>
  </si>
  <si>
    <t>VILA ESPERANÇA</t>
  </si>
  <si>
    <t>395</t>
  </si>
  <si>
    <t>01349764002527</t>
  </si>
  <si>
    <t>01349764003841</t>
  </si>
  <si>
    <t>Rua   Principal 7</t>
  </si>
  <si>
    <t>439</t>
  </si>
  <si>
    <t>NÚCLEO INDUSTRIAL</t>
  </si>
  <si>
    <t>sala 01</t>
  </si>
  <si>
    <t>291</t>
  </si>
  <si>
    <t>01349764004066</t>
  </si>
  <si>
    <t>Rodovia José Benito de Paiva</t>
  </si>
  <si>
    <t>ATERRADO</t>
  </si>
  <si>
    <t>SAO GONCALO DO SAPUCAI</t>
  </si>
  <si>
    <t>452</t>
  </si>
  <si>
    <t>01349764005038</t>
  </si>
  <si>
    <t>ROD BR 242</t>
  </si>
  <si>
    <t>Área Rural de Barreiras</t>
  </si>
  <si>
    <t>KM 860</t>
  </si>
  <si>
    <t>BARREIRAS</t>
  </si>
  <si>
    <t>432</t>
  </si>
  <si>
    <t>01387400000164</t>
  </si>
  <si>
    <t>SP INDÚSTRIA E DISTRIBUIDORA DE PETRÓLEO LTDA</t>
  </si>
  <si>
    <t>AVENIDA JOSÉ SABÓIA</t>
  </si>
  <si>
    <t>303</t>
  </si>
  <si>
    <t>MUCURIPE</t>
  </si>
  <si>
    <t>FORTALEZA</t>
  </si>
  <si>
    <t>CE</t>
  </si>
  <si>
    <t>187</t>
  </si>
  <si>
    <t>01387400000245</t>
  </si>
  <si>
    <t>ROD RN 221</t>
  </si>
  <si>
    <t>KM 7</t>
  </si>
  <si>
    <t>GUAMARE</t>
  </si>
  <si>
    <t>RN</t>
  </si>
  <si>
    <t>836</t>
  </si>
  <si>
    <t>01387400000911</t>
  </si>
  <si>
    <t>PRACA   CAMERINDO DE FREITAS</t>
  </si>
  <si>
    <t>KM 7 SALA 1</t>
  </si>
  <si>
    <t>695</t>
  </si>
  <si>
    <t>01387400001640</t>
  </si>
  <si>
    <t>01452651000185</t>
  </si>
  <si>
    <t>TAURUS DISTRIBUIDORA DE PETRÓLEO LTDA</t>
  </si>
  <si>
    <t>RODOVIA BR 163</t>
  </si>
  <si>
    <t>km 267 - Qd. 50 - Lt. 22</t>
  </si>
  <si>
    <t>DOURADOS</t>
  </si>
  <si>
    <t>173</t>
  </si>
  <si>
    <t>01452651000266</t>
  </si>
  <si>
    <t>KM 461,3</t>
  </si>
  <si>
    <t>8</t>
  </si>
  <si>
    <t>01452651000690</t>
  </si>
  <si>
    <t>01452651000932</t>
  </si>
  <si>
    <t>Avenida   Henrique Bertin</t>
  </si>
  <si>
    <t>7485</t>
  </si>
  <si>
    <t>Los Angeles</t>
  </si>
  <si>
    <t>412</t>
  </si>
  <si>
    <t>01466091000118</t>
  </si>
  <si>
    <t>CIAPETRO DISTRIBUIDORA DE COMBUSTÍVEIS LTDA</t>
  </si>
  <si>
    <t>Avenida Galeão</t>
  </si>
  <si>
    <t>1991</t>
  </si>
  <si>
    <t>Loteamento Industrial Pedro Coelho Pedroche</t>
  </si>
  <si>
    <t>BASE CIANORTE</t>
  </si>
  <si>
    <t>CIANORTE</t>
  </si>
  <si>
    <t>132</t>
  </si>
  <si>
    <t>01466091000460</t>
  </si>
  <si>
    <t>RUA LIDIA CAMARGO ZAMPIERI</t>
  </si>
  <si>
    <t>TINDIQUERA</t>
  </si>
  <si>
    <t>553</t>
  </si>
  <si>
    <t>01466091000975</t>
  </si>
  <si>
    <t>RUA DA CAPELINHA</t>
  </si>
  <si>
    <t>1.506</t>
  </si>
  <si>
    <t>CAPELA DO PIÇARRÃO</t>
  </si>
  <si>
    <t>SALA 01</t>
  </si>
  <si>
    <t>VARZEA GRANDE</t>
  </si>
  <si>
    <t>573</t>
  </si>
  <si>
    <t>01466091001009</t>
  </si>
  <si>
    <t>01466091001270</t>
  </si>
  <si>
    <t>01466091001351</t>
  </si>
  <si>
    <t>01466091001513</t>
  </si>
  <si>
    <t>01466091001785</t>
  </si>
  <si>
    <t>RUA TADASHI KATAYAMA</t>
  </si>
  <si>
    <t>100</t>
  </si>
  <si>
    <t>PARQUE INDUSTRIAL</t>
  </si>
  <si>
    <t>GUARARAPES</t>
  </si>
  <si>
    <t>282</t>
  </si>
  <si>
    <t>01466091002242</t>
  </si>
  <si>
    <t>Avenida   Zilá Corrêa Machado</t>
  </si>
  <si>
    <t>6530</t>
  </si>
  <si>
    <t>Moreninha</t>
  </si>
  <si>
    <t>LOTE B1 SALA B</t>
  </si>
  <si>
    <t>161</t>
  </si>
  <si>
    <t>01557353000150</t>
  </si>
  <si>
    <t>PETROSERRA DISTRIBUIDORA DE PETRÓLEO LTDA</t>
  </si>
  <si>
    <t>ROD BR 116</t>
  </si>
  <si>
    <t>Vila Rodoviária</t>
  </si>
  <si>
    <t>KM 706</t>
  </si>
  <si>
    <t>JEQUIE</t>
  </si>
  <si>
    <t>1</t>
  </si>
  <si>
    <t>01557353000583</t>
  </si>
  <si>
    <t>RUA BENTO GONÇALVES</t>
  </si>
  <si>
    <t>LOTE 02, QUADRA B, VIA DAS TORRES</t>
  </si>
  <si>
    <t>CANDEIAS</t>
  </si>
  <si>
    <t>422</t>
  </si>
  <si>
    <t>01557353000826</t>
  </si>
  <si>
    <t>BR 101</t>
  </si>
  <si>
    <t>KM 884 - VIA D3</t>
  </si>
  <si>
    <t>TEIXEIRA DE FREITAS</t>
  </si>
  <si>
    <t>116</t>
  </si>
  <si>
    <t>01557353001393</t>
  </si>
  <si>
    <t>Rua   Ilha Verde</t>
  </si>
  <si>
    <t>CENTRO INDUSTRIAL</t>
  </si>
  <si>
    <t>SALA 03 CASA PH</t>
  </si>
  <si>
    <t>361</t>
  </si>
  <si>
    <t>01557353001555</t>
  </si>
  <si>
    <t>Avenida   Japão</t>
  </si>
  <si>
    <t>91</t>
  </si>
  <si>
    <t>Parque Industrial Clarita</t>
  </si>
  <si>
    <t>LOTE 01, QUADRA 01</t>
  </si>
  <si>
    <t>JANAUBA</t>
  </si>
  <si>
    <t>799</t>
  </si>
  <si>
    <t>01560835000169</t>
  </si>
  <si>
    <t>COMÉRCIO DE DERIVADOS DE PETRÓLEO ISABELLA LTDA.</t>
  </si>
  <si>
    <t>RUA CIANORTE</t>
  </si>
  <si>
    <t>JARDIM PARANÁ</t>
  </si>
  <si>
    <t>QD 57</t>
  </si>
  <si>
    <t>ASSIS CHATEAUBRIAND</t>
  </si>
  <si>
    <t>212</t>
  </si>
  <si>
    <t>01561464000300</t>
  </si>
  <si>
    <t>TRIANGULO DISTRIBUIDORA DE PETRÓLEO LTDA</t>
  </si>
  <si>
    <t>01595949000144</t>
  </si>
  <si>
    <t>ATLANTA DISTRIBUIDORA DE PETRÓLEO LTDA.</t>
  </si>
  <si>
    <t>Avenida Onofre Quinan</t>
  </si>
  <si>
    <t>763</t>
  </si>
  <si>
    <t>SÍTIO BOM JESUS</t>
  </si>
  <si>
    <t>534</t>
  </si>
  <si>
    <t>01602498000125</t>
  </si>
  <si>
    <t>WALENDOWSKY DISTRIBUIDORA DE COMBUSTÍVEIS LTDA</t>
  </si>
  <si>
    <t>RUA ALBERTO MULLER</t>
  </si>
  <si>
    <t>5.000</t>
  </si>
  <si>
    <t>DISTRITO DE LIMEIRA</t>
  </si>
  <si>
    <t>BRUSQUE</t>
  </si>
  <si>
    <t>410</t>
  </si>
  <si>
    <t>01617593000798</t>
  </si>
  <si>
    <t>MONVALLE DISTRIBUIDORA DE PETROLEO LTDA</t>
  </si>
  <si>
    <t>01683557000218</t>
  </si>
  <si>
    <t>SOLL DISTRIBUIDORA DE PETRÓLEO LTDA</t>
  </si>
  <si>
    <t>01683557001290</t>
  </si>
  <si>
    <t>01787793000446</t>
  </si>
  <si>
    <t>IDAZA DISTRIBUIDORA DE PETRÓLEO LTDA</t>
  </si>
  <si>
    <t>Rodovia BR 163</t>
  </si>
  <si>
    <t>Área Rural de Sinop</t>
  </si>
  <si>
    <t>KM 817,5</t>
  </si>
  <si>
    <t>SINOP</t>
  </si>
  <si>
    <t>329</t>
  </si>
  <si>
    <t>01787793000799</t>
  </si>
  <si>
    <t>Rua   F-O</t>
  </si>
  <si>
    <t>726</t>
  </si>
  <si>
    <t>LOTE 48 A 58 QUADRA 17</t>
  </si>
  <si>
    <t>01787793001841</t>
  </si>
  <si>
    <t>Avenida   Manoel Antunes Pessoa</t>
  </si>
  <si>
    <t>1022</t>
  </si>
  <si>
    <t>SÃO MIGUEL</t>
  </si>
  <si>
    <t>LAGES</t>
  </si>
  <si>
    <t>940</t>
  </si>
  <si>
    <t>01787793001922</t>
  </si>
  <si>
    <t>RODOVIA BR 277</t>
  </si>
  <si>
    <t>CAPÃO DO LEANDRO</t>
  </si>
  <si>
    <t>KM 351,5</t>
  </si>
  <si>
    <t>GUARAPUAVA</t>
  </si>
  <si>
    <t>549</t>
  </si>
  <si>
    <t>01787793002066</t>
  </si>
  <si>
    <t>Área   Rural</t>
  </si>
  <si>
    <t>Área Rural de Cascavel</t>
  </si>
  <si>
    <t>SETOR ACESSO BR 277, KM 569</t>
  </si>
  <si>
    <t>CASCAVEL</t>
  </si>
  <si>
    <t>770</t>
  </si>
  <si>
    <t>01787793002147</t>
  </si>
  <si>
    <t>Rua Doutor  Eli Volpato</t>
  </si>
  <si>
    <t>600</t>
  </si>
  <si>
    <t>Chapada</t>
  </si>
  <si>
    <t>533</t>
  </si>
  <si>
    <t>01787793002228</t>
  </si>
  <si>
    <t>AV. TANAKA (RODOVIA BR 101 - KM 101,5 - S/N.º)</t>
  </si>
  <si>
    <t>503</t>
  </si>
  <si>
    <t>SANTO ANTONIO</t>
  </si>
  <si>
    <t>BALNEARIO PICARRAS</t>
  </si>
  <si>
    <t>323</t>
  </si>
  <si>
    <t>01799935000142</t>
  </si>
  <si>
    <t>RAIZEN MIME COMBUSTIVEIS S/A.</t>
  </si>
  <si>
    <t>RUA MANOEL FRANCISCO DA COSTA</t>
  </si>
  <si>
    <t>2000</t>
  </si>
  <si>
    <t>VIEIRA</t>
  </si>
  <si>
    <t>JARAGUA DO SUL</t>
  </si>
  <si>
    <t>570</t>
  </si>
  <si>
    <t>01799935000223</t>
  </si>
  <si>
    <t>RODOVIA BR 153, KM 63</t>
  </si>
  <si>
    <t>ALTO IRANI</t>
  </si>
  <si>
    <t>km 62</t>
  </si>
  <si>
    <t>IRANI</t>
  </si>
  <si>
    <t>318</t>
  </si>
  <si>
    <t>01799935000304</t>
  </si>
  <si>
    <t>RUA JOSE DEMO</t>
  </si>
  <si>
    <t>2538</t>
  </si>
  <si>
    <t>POÇO TRES</t>
  </si>
  <si>
    <t>ICARA</t>
  </si>
  <si>
    <t>294</t>
  </si>
  <si>
    <t>01799935000576</t>
  </si>
  <si>
    <t>AVENIDA BENJAMIM DAGNONI</t>
  </si>
  <si>
    <t>905</t>
  </si>
  <si>
    <t>RIO DO MEIO</t>
  </si>
  <si>
    <t>364</t>
  </si>
  <si>
    <t>01804345000160</t>
  </si>
  <si>
    <t>ESTRADA DISTRIBUIDORA DE DERIVADOS DE PETRÓLEO LTDA.</t>
  </si>
  <si>
    <t>BR 277 KM 579</t>
  </si>
  <si>
    <t>CENTRALITO</t>
  </si>
  <si>
    <t>RODOVIA</t>
  </si>
  <si>
    <t>228</t>
  </si>
  <si>
    <t>01902563000219</t>
  </si>
  <si>
    <t>DISTRIBUIDORA DE COMBUSTÍVEL TORRÃO LTDA.</t>
  </si>
  <si>
    <t>2037</t>
  </si>
  <si>
    <t>327</t>
  </si>
  <si>
    <t>01902563000308</t>
  </si>
  <si>
    <t>ESTRADA VELHA DE GUARULHOS</t>
  </si>
  <si>
    <t>JARDIM ARAPONGA</t>
  </si>
  <si>
    <t>GUARULHOS</t>
  </si>
  <si>
    <t>782</t>
  </si>
  <si>
    <t>01902563000723</t>
  </si>
  <si>
    <t>AVENIDA V</t>
  </si>
  <si>
    <t>995</t>
  </si>
  <si>
    <t>815</t>
  </si>
  <si>
    <t>01902563000804</t>
  </si>
  <si>
    <t>01902563000995</t>
  </si>
  <si>
    <t>01902563001029</t>
  </si>
  <si>
    <t>ESTRADA PLN 410</t>
  </si>
  <si>
    <t>1007</t>
  </si>
  <si>
    <t>SÍTIO BOA VISTA</t>
  </si>
  <si>
    <t>651</t>
  </si>
  <si>
    <t>01902563001100</t>
  </si>
  <si>
    <t>01902563001290</t>
  </si>
  <si>
    <t>01911853000148</t>
  </si>
  <si>
    <t>DISTRIBUIDORA MONTEPETRO DE PETRÓLEO LTDA.</t>
  </si>
  <si>
    <t>Rua  do Prata</t>
  </si>
  <si>
    <t>1200</t>
  </si>
  <si>
    <t>Chácaras Bonanza</t>
  </si>
  <si>
    <t>52</t>
  </si>
  <si>
    <t>01973067001066</t>
  </si>
  <si>
    <t>AMERICANOIL DISTRIBUIDORA DE DERIVADOS DE PETRÓLEO LTDA.</t>
  </si>
  <si>
    <t>02044526000280</t>
  </si>
  <si>
    <t>SMALL DISTRIBUIDORA DE DERIVADOS DE PETRÓLEO LTDA.</t>
  </si>
  <si>
    <t>AVENIDA SOLON PADILHA</t>
  </si>
  <si>
    <t>1131</t>
  </si>
  <si>
    <t>NOVA CAMPO GRANDE</t>
  </si>
  <si>
    <t>107</t>
  </si>
  <si>
    <t>02044526000360</t>
  </si>
  <si>
    <t>RODOVIA ASSIS CHATEAUBRIAND</t>
  </si>
  <si>
    <t>VILA MARIA</t>
  </si>
  <si>
    <t>KM 457</t>
  </si>
  <si>
    <t>PRESIDENTE PRUDENTE</t>
  </si>
  <si>
    <t>316</t>
  </si>
  <si>
    <t>02044526001090</t>
  </si>
  <si>
    <t>RUA CANELA</t>
  </si>
  <si>
    <t>62</t>
  </si>
  <si>
    <t>ALTO DA GLÓRIA</t>
  </si>
  <si>
    <t>226</t>
  </si>
  <si>
    <t>02123223000171</t>
  </si>
  <si>
    <t>PETRONAC DISTRIBUIDORA NACIONAL DE DERIVADOS DE PETRÓLEO E ALCOOL LTDA</t>
  </si>
  <si>
    <t>02275017000187</t>
  </si>
  <si>
    <t>MAR AZUL DISTRIBUIDORA DE COMBUSTIVEIS LTDA</t>
  </si>
  <si>
    <t>Avenida   Ayrton Senna da Silva</t>
  </si>
  <si>
    <t>3456</t>
  </si>
  <si>
    <t>SALA 1</t>
  </si>
  <si>
    <t>680</t>
  </si>
  <si>
    <t>02284585000810</t>
  </si>
  <si>
    <t>DISTRIBUIDORA TABOCÃO LTDA.</t>
  </si>
  <si>
    <t>02293021000178</t>
  </si>
  <si>
    <t>JACAR DISTRIBUIDORA DE PETRÓLEO LTDA.</t>
  </si>
  <si>
    <t>Avenida Ulisses Pompeu de Campos (LOT JD AMERICA)</t>
  </si>
  <si>
    <t>888</t>
  </si>
  <si>
    <t>23 de Setembro</t>
  </si>
  <si>
    <t>SALA 03 E 05</t>
  </si>
  <si>
    <t>50</t>
  </si>
  <si>
    <t>02299645000283</t>
  </si>
  <si>
    <t>HORA DISTRIBUIDORA DE PETRÓLEO LTDA.</t>
  </si>
  <si>
    <t>02299645000445</t>
  </si>
  <si>
    <t>02368373000145</t>
  </si>
  <si>
    <t>DISTRIBUIDORA DE COMBUSTIVEIS MASUT LTDA</t>
  </si>
  <si>
    <t>AVENIDA AIRTON BORGES DA SILVA</t>
  </si>
  <si>
    <t>2543</t>
  </si>
  <si>
    <t>TAIAMAM</t>
  </si>
  <si>
    <t>SALA 03</t>
  </si>
  <si>
    <t>169</t>
  </si>
  <si>
    <t>02368373000498</t>
  </si>
  <si>
    <t>SIN</t>
  </si>
  <si>
    <t>s/n</t>
  </si>
  <si>
    <t>SIA</t>
  </si>
  <si>
    <t>577</t>
  </si>
  <si>
    <t>02494950000145</t>
  </si>
  <si>
    <t>DISTRIBUIDORA SUL DE PETRÓLEO LTDA.</t>
  </si>
  <si>
    <t>RUA HILÁRIO JOSÉ DE MELO</t>
  </si>
  <si>
    <t>REVOREDO</t>
  </si>
  <si>
    <t>TUBARAO</t>
  </si>
  <si>
    <t>401</t>
  </si>
  <si>
    <t>02780845000253</t>
  </si>
  <si>
    <t>E. A. - ENERGIA AVANCADA LTDA</t>
  </si>
  <si>
    <t>02798067000904</t>
  </si>
  <si>
    <t>ECOLÓGICA DISTRIBUIDORA DE COMBUSTÍVEIS LTDA.</t>
  </si>
  <si>
    <t>02805889000290</t>
  </si>
  <si>
    <t>LARCO COMERCIAL DE PRODUTOS DE PETRÓLEO LTDA.</t>
  </si>
  <si>
    <t>Avenida Tote Lomanto</t>
  </si>
  <si>
    <t>3100</t>
  </si>
  <si>
    <t>Suíssa</t>
  </si>
  <si>
    <t>623</t>
  </si>
  <si>
    <t>02805889000703</t>
  </si>
  <si>
    <t>02805889000886</t>
  </si>
  <si>
    <t>Rua   Glauber Rocha</t>
  </si>
  <si>
    <t>2514</t>
  </si>
  <si>
    <t>820</t>
  </si>
  <si>
    <t>02805889000967</t>
  </si>
  <si>
    <t>Rua   Industrial 8</t>
  </si>
  <si>
    <t>08</t>
  </si>
  <si>
    <t>Polo Empresarial Maria Pires Perillo</t>
  </si>
  <si>
    <t>QUADRA 08 SETOR 904 LOTE 01</t>
  </si>
  <si>
    <t>89</t>
  </si>
  <si>
    <t>02805889001009</t>
  </si>
  <si>
    <t>ESTRADA PARA JABEQUARA DAS FLORES</t>
  </si>
  <si>
    <t>LOTEAMENTO PÓLO DE COMBUSTÍVEL</t>
  </si>
  <si>
    <t>267</t>
  </si>
  <si>
    <t>02805889002820</t>
  </si>
  <si>
    <t>02805889002900</t>
  </si>
  <si>
    <t>Avenida Antônio Conselheiro</t>
  </si>
  <si>
    <t>0</t>
  </si>
  <si>
    <t>659</t>
  </si>
  <si>
    <t>02805889003710</t>
  </si>
  <si>
    <t>02886685000140</t>
  </si>
  <si>
    <t>PONTUAL BRASIL PETRÓLEO LTDA</t>
  </si>
  <si>
    <t>666</t>
  </si>
  <si>
    <t>02909530000425</t>
  </si>
  <si>
    <t>FEDERAL ENERGIA S/A</t>
  </si>
  <si>
    <t>02909530001901</t>
  </si>
  <si>
    <t>02913444000143</t>
  </si>
  <si>
    <t>REDE SOL FUEL DISTRIBUIDORA S/A.</t>
  </si>
  <si>
    <t>RUA BRASIL ALTO FURQUINI</t>
  </si>
  <si>
    <t>AREA INDUSTRIAL ADIB RASSI</t>
  </si>
  <si>
    <t>SALA 03 QUADRAB LOTE 02</t>
  </si>
  <si>
    <t>JARDINOPOLIS</t>
  </si>
  <si>
    <t>42</t>
  </si>
  <si>
    <t>02913444000739</t>
  </si>
  <si>
    <t>02913444001034</t>
  </si>
  <si>
    <t>02913444001204</t>
  </si>
  <si>
    <t>RODOVIA MG 050</t>
  </si>
  <si>
    <t>DISTRITO INDUSTRIAL II</t>
  </si>
  <si>
    <t>KM 327,5</t>
  </si>
  <si>
    <t>PASSOS</t>
  </si>
  <si>
    <t>835</t>
  </si>
  <si>
    <t>02924588000286</t>
  </si>
  <si>
    <t>PETROEXPRESS DISTRIBUIDORA DE COMBUSTÍVEIS E DERIVADOS DE PETRÓLEO LTDA.</t>
  </si>
  <si>
    <t>02924588001177</t>
  </si>
  <si>
    <t>03016811000179</t>
  </si>
  <si>
    <t>PETROLUZ DISTRIBUIDORA LTDA.</t>
  </si>
  <si>
    <t>Avenida   Júlio Domingos de Campos</t>
  </si>
  <si>
    <t>5111</t>
  </si>
  <si>
    <t>SANTA ISABEL</t>
  </si>
  <si>
    <t>SALA 18</t>
  </si>
  <si>
    <t>03128979000176</t>
  </si>
  <si>
    <t>DISTRIBUIDORA EQUADOR DE PRODUTOS DE PETRÓLEO LTDA.</t>
  </si>
  <si>
    <t>RUA PAJURÁ</t>
  </si>
  <si>
    <t>895</t>
  </si>
  <si>
    <t>VILA BURITI</t>
  </si>
  <si>
    <t>MANAUS</t>
  </si>
  <si>
    <t>AM</t>
  </si>
  <si>
    <t>138</t>
  </si>
  <si>
    <t>03128979000257</t>
  </si>
  <si>
    <t>RODOVIA BR 364</t>
  </si>
  <si>
    <t>KM 9</t>
  </si>
  <si>
    <t>SENADOR GUIOMARD</t>
  </si>
  <si>
    <t>AC</t>
  </si>
  <si>
    <t>1121</t>
  </si>
  <si>
    <t>03128979000680</t>
  </si>
  <si>
    <t>ROD. BR 364</t>
  </si>
  <si>
    <t>KM 703</t>
  </si>
  <si>
    <t>VILHENA</t>
  </si>
  <si>
    <t>RO</t>
  </si>
  <si>
    <t>663</t>
  </si>
  <si>
    <t>03128979001148</t>
  </si>
  <si>
    <t>693</t>
  </si>
  <si>
    <t>LOT DIST IND ST INDL</t>
  </si>
  <si>
    <t>495</t>
  </si>
  <si>
    <t>03565937000100</t>
  </si>
  <si>
    <t>D`MAIS DISTRIBUIDORA DE PETRÓLEO LTDA.</t>
  </si>
  <si>
    <t>03609381000107</t>
  </si>
  <si>
    <t>GP DISTRIBUIDORA DE COMBUSTÍVEIS S/A.</t>
  </si>
  <si>
    <t>03774231000140</t>
  </si>
  <si>
    <t>UNIBRASPE BRASILEIRA DE PETRÓLEO S/A.</t>
  </si>
  <si>
    <t>03774231000302</t>
  </si>
  <si>
    <t>RUA ROSEMARI COLOMBO</t>
  </si>
  <si>
    <t>400</t>
  </si>
  <si>
    <t>INDUSTRIAL</t>
  </si>
  <si>
    <t>ESTEIO</t>
  </si>
  <si>
    <t>718</t>
  </si>
  <si>
    <t>03851841000109</t>
  </si>
  <si>
    <t>ECOMAT - ECOLÓGICA MATO GROSSO INDÚSTRIA E COMÉRCIO LTDA.</t>
  </si>
  <si>
    <t>Rua   S</t>
  </si>
  <si>
    <t>724</t>
  </si>
  <si>
    <t>SALA 02 QUADR 14 LOTES 14 A 30 E 52 A 60</t>
  </si>
  <si>
    <t>109</t>
  </si>
  <si>
    <t>03908643000126</t>
  </si>
  <si>
    <t>WATT DISTRIBUIDORA BRASILEIRA DE COMBUSTÍVEIS E DERIVADOS DE PETRÓLEO LTDA</t>
  </si>
  <si>
    <t>KM 16</t>
  </si>
  <si>
    <t>886</t>
  </si>
  <si>
    <t>03908643000550</t>
  </si>
  <si>
    <t>RUA PA103</t>
  </si>
  <si>
    <t>LOTE 1 QUADRA11</t>
  </si>
  <si>
    <t>GUARANTA DO NORTE</t>
  </si>
  <si>
    <t>227</t>
  </si>
  <si>
    <t>03933842000194</t>
  </si>
  <si>
    <t>ART PETRO DISTRIBUIDORA DE COMBUSTÍVEIS LTDA.</t>
  </si>
  <si>
    <t>AVENIDA MERCOSUL</t>
  </si>
  <si>
    <t>PARQUE INDUSTRIAL III</t>
  </si>
  <si>
    <t>QD 2, LT 9/10 E 22/23/24</t>
  </si>
  <si>
    <t>NOVA ESPERANCA</t>
  </si>
  <si>
    <t>148</t>
  </si>
  <si>
    <t>03980754000305</t>
  </si>
  <si>
    <t>REDEPETRO DISTRIBUIDORA DE PETRÓLEO LTDA.</t>
  </si>
  <si>
    <t>Rodovia Alexandre Balbo</t>
  </si>
  <si>
    <t>SN</t>
  </si>
  <si>
    <t>ENGENHEIRO CARLOS DE LACERDA CHAVES</t>
  </si>
  <si>
    <t>KM 327 E 940 MTS</t>
  </si>
  <si>
    <t>689</t>
  </si>
  <si>
    <t>03980754000577</t>
  </si>
  <si>
    <t>Rua Sebastião Barroso Sobrinho</t>
  </si>
  <si>
    <t>Jardim do Vale</t>
  </si>
  <si>
    <t>78</t>
  </si>
  <si>
    <t>03987364000103</t>
  </si>
  <si>
    <t>ATEM' S DISTRIBUIDORA DE PETRÓLEO S.A.</t>
  </si>
  <si>
    <t>103</t>
  </si>
  <si>
    <t>787</t>
  </si>
  <si>
    <t>03987364000286</t>
  </si>
  <si>
    <t>RUA BENJAMIN CONSTANT</t>
  </si>
  <si>
    <t>01</t>
  </si>
  <si>
    <t>REMANSO</t>
  </si>
  <si>
    <t>CRUZEIRO DO SUL</t>
  </si>
  <si>
    <t>847</t>
  </si>
  <si>
    <t>03987364000367</t>
  </si>
  <si>
    <t>ESTRADA DO BELMONT</t>
  </si>
  <si>
    <t>10878</t>
  </si>
  <si>
    <t>NACIONAL</t>
  </si>
  <si>
    <t>PORTO VELHO</t>
  </si>
  <si>
    <t>469</t>
  </si>
  <si>
    <t>03987364000448</t>
  </si>
  <si>
    <t>Avenida Itauba</t>
  </si>
  <si>
    <t>13955</t>
  </si>
  <si>
    <t>S-11</t>
  </si>
  <si>
    <t>338</t>
  </si>
  <si>
    <t>03987364000871</t>
  </si>
  <si>
    <t>RUA PROJETADA 10</t>
  </si>
  <si>
    <t>5530</t>
  </si>
  <si>
    <t>MIRITITUBA</t>
  </si>
  <si>
    <t>VICINAL TRANSPORTOS</t>
  </si>
  <si>
    <t>ITAITUBA</t>
  </si>
  <si>
    <t>PA</t>
  </si>
  <si>
    <t>03987364000952</t>
  </si>
  <si>
    <t>Rodovia Artur Bernardes</t>
  </si>
  <si>
    <t>5.511</t>
  </si>
  <si>
    <t>Tapanã (Icoaraci)</t>
  </si>
  <si>
    <t>BELEM</t>
  </si>
  <si>
    <t>03987364001177</t>
  </si>
  <si>
    <t>Rua   Transmaicá</t>
  </si>
  <si>
    <t>701 B</t>
  </si>
  <si>
    <t>Área Verde</t>
  </si>
  <si>
    <t>LOTE 01 B</t>
  </si>
  <si>
    <t>SANTAREM</t>
  </si>
  <si>
    <t>114</t>
  </si>
  <si>
    <t>03987364001258</t>
  </si>
  <si>
    <t>ROD MT 423</t>
  </si>
  <si>
    <t>KM 03</t>
  </si>
  <si>
    <t>177</t>
  </si>
  <si>
    <t>04117163000290</t>
  </si>
  <si>
    <t>FLAG DISTRIBUIDORA DE PETRÓLEO LTDA.</t>
  </si>
  <si>
    <t>Rua Jorge Schneyder Filho Quadra</t>
  </si>
  <si>
    <t>3-99</t>
  </si>
  <si>
    <t>Parque Paulista</t>
  </si>
  <si>
    <t>BAURU</t>
  </si>
  <si>
    <t>884</t>
  </si>
  <si>
    <t>04138529000631</t>
  </si>
  <si>
    <t>MONTE CABRAL DISTRIBUIDORA DE COMBUSTÍVEIS LTDA.</t>
  </si>
  <si>
    <t>AV. ROMA</t>
  </si>
  <si>
    <t>650</t>
  </si>
  <si>
    <t>255</t>
  </si>
  <si>
    <t>04169215000272</t>
  </si>
  <si>
    <t>PETRÓLEO SABBÁ S.A.</t>
  </si>
  <si>
    <t>RUA RIO QUIXITO</t>
  </si>
  <si>
    <t>2</t>
  </si>
  <si>
    <t>764</t>
  </si>
  <si>
    <t>04169215001406</t>
  </si>
  <si>
    <t>AVENIDA DEPUTADO PAULO FERRAZ</t>
  </si>
  <si>
    <t>ITARARE</t>
  </si>
  <si>
    <t>TERESINA</t>
  </si>
  <si>
    <t>PI</t>
  </si>
  <si>
    <t>840</t>
  </si>
  <si>
    <t>04169215001678</t>
  </si>
  <si>
    <t>Travessa   Quinze de Agosto</t>
  </si>
  <si>
    <t>18140</t>
  </si>
  <si>
    <t>924</t>
  </si>
  <si>
    <t>04169215001759</t>
  </si>
  <si>
    <t>Avenida Engenheiro Emiliano Macieira</t>
  </si>
  <si>
    <t>(BR 135)</t>
  </si>
  <si>
    <t>Itaqui</t>
  </si>
  <si>
    <t>módulo G do DISAL</t>
  </si>
  <si>
    <t>SAO LUIS</t>
  </si>
  <si>
    <t>04169215001910</t>
  </si>
  <si>
    <t>Estrada doBelmont</t>
  </si>
  <si>
    <t>10268</t>
  </si>
  <si>
    <t>Nacional</t>
  </si>
  <si>
    <t>134</t>
  </si>
  <si>
    <t>04169215002054</t>
  </si>
  <si>
    <t>RUA VERA PAZ</t>
  </si>
  <si>
    <t>VERA PAZ</t>
  </si>
  <si>
    <t>484</t>
  </si>
  <si>
    <t>04169215002216</t>
  </si>
  <si>
    <t>AVENIDA SALGADO FILHO</t>
  </si>
  <si>
    <t>MIRAMAR</t>
  </si>
  <si>
    <t>853</t>
  </si>
  <si>
    <t>04169215002801</t>
  </si>
  <si>
    <t>ESTRADA  DO QUINQUAGESIMO TERCEIRO BIS</t>
  </si>
  <si>
    <t>BOM JARDIM</t>
  </si>
  <si>
    <t>LAT 4º16'43,50"S LONG 56º0'33,74"O</t>
  </si>
  <si>
    <t>205</t>
  </si>
  <si>
    <t>04169215003530</t>
  </si>
  <si>
    <t>RODOVIA BR 222</t>
  </si>
  <si>
    <t>PARQUE DO PEQUIA</t>
  </si>
  <si>
    <t>KM 306</t>
  </si>
  <si>
    <t>ACAILANDIA</t>
  </si>
  <si>
    <t>04169215003611</t>
  </si>
  <si>
    <t>Rua   Ivete Vargas</t>
  </si>
  <si>
    <t>MARABA</t>
  </si>
  <si>
    <t>785</t>
  </si>
  <si>
    <t>04201170000195</t>
  </si>
  <si>
    <t>CARBOPETRO DISTRIBUIDORA DE PETRÓLEO LTDA.</t>
  </si>
  <si>
    <t>04414127000108</t>
  </si>
  <si>
    <t>RM PETRÓLEO LTDA</t>
  </si>
  <si>
    <t>AVENIDA ANTÔNIO FADIN</t>
  </si>
  <si>
    <t>751</t>
  </si>
  <si>
    <t>BONFIM</t>
  </si>
  <si>
    <t>CONJUNTO 08</t>
  </si>
  <si>
    <t>133</t>
  </si>
  <si>
    <t>05068412000500</t>
  </si>
  <si>
    <t>RODOPETRO DISTRIBUIDORA DE PETRÓLEO LTDA.</t>
  </si>
  <si>
    <t>ESTRADA VELHA DO PILAR</t>
  </si>
  <si>
    <t>3355</t>
  </si>
  <si>
    <t>CHACARA RIO PETROLPOLIS</t>
  </si>
  <si>
    <t>DUQUE DE CAXIAS</t>
  </si>
  <si>
    <t>RJ</t>
  </si>
  <si>
    <t>562</t>
  </si>
  <si>
    <t>05315244000187</t>
  </si>
  <si>
    <t>DANPETRO DISTRIBUIDORA DE PETRÓLEO S.A.</t>
  </si>
  <si>
    <t>Rodovia BR 324 (Rua Tapirai, nº 300)</t>
  </si>
  <si>
    <t>km 99</t>
  </si>
  <si>
    <t>FEIRA DE SANTANA</t>
  </si>
  <si>
    <t>698</t>
  </si>
  <si>
    <t>05315244000500</t>
  </si>
  <si>
    <t>RUA  DIVANI</t>
  </si>
  <si>
    <t xml:space="preserve"> 185</t>
  </si>
  <si>
    <t>05380369000352</t>
  </si>
  <si>
    <t>FAN - DISTRIBUIDORA DE PETRÓLEO LTDA.</t>
  </si>
  <si>
    <t>FAZENDA CRAVO</t>
  </si>
  <si>
    <t>Fazenda Cravo</t>
  </si>
  <si>
    <t>05470445000159</t>
  </si>
  <si>
    <t>PETROGOIÁS DISTRIBUIDORA DE PETRÓLEO LTDA.</t>
  </si>
  <si>
    <t>05482271001205</t>
  </si>
  <si>
    <t>PETROX DISTRIBUIDORA LTDA.</t>
  </si>
  <si>
    <t>RODOVIA ESTADUAL 090, KM 04</t>
  </si>
  <si>
    <t>10.855588S, 37.115091W</t>
  </si>
  <si>
    <t>NOSSA SENHORA DO SOCORRO</t>
  </si>
  <si>
    <t>SE</t>
  </si>
  <si>
    <t>701</t>
  </si>
  <si>
    <t>05552292000199</t>
  </si>
  <si>
    <t>ATLÂNTICA PRODUTOS DE PETRÓLEO LTDA.</t>
  </si>
  <si>
    <t>RUA NOVE</t>
  </si>
  <si>
    <t>CIVIT II</t>
  </si>
  <si>
    <t>LOTES UE-VII/UE-VIII</t>
  </si>
  <si>
    <t>SERRA</t>
  </si>
  <si>
    <t>ES</t>
  </si>
  <si>
    <t>05673133000142</t>
  </si>
  <si>
    <t>SR BRASIL PETRÓLEO LTDA.</t>
  </si>
  <si>
    <t>05673133000495</t>
  </si>
  <si>
    <t>05759383000108</t>
  </si>
  <si>
    <t>TOBRAS DISTRIBUIDORA DE COMBUSTÍVEIS LTDA.</t>
  </si>
  <si>
    <t>Rua Miguel de Cervantes</t>
  </si>
  <si>
    <t>Campos Elíseos</t>
  </si>
  <si>
    <t>VILA ACTURA</t>
  </si>
  <si>
    <t>05759383001333</t>
  </si>
  <si>
    <t>05759383001686</t>
  </si>
  <si>
    <t>05759383002062</t>
  </si>
  <si>
    <t>Avenida   Sidney Cardon de Oliveira</t>
  </si>
  <si>
    <t>1325</t>
  </si>
  <si>
    <t>131</t>
  </si>
  <si>
    <t>06031802000145</t>
  </si>
  <si>
    <t>MINUANO PETRÓLEO LTDA.</t>
  </si>
  <si>
    <t>Rua   Miguel de Cervantes</t>
  </si>
  <si>
    <t>365</t>
  </si>
  <si>
    <t>130</t>
  </si>
  <si>
    <t>06240179000130</t>
  </si>
  <si>
    <t>IMPERIAL DISTRIBUIDORA DE PETRÓLEO LTDA.</t>
  </si>
  <si>
    <t>RODOVIA DOS IMIGRANTES</t>
  </si>
  <si>
    <t>JEANNE</t>
  </si>
  <si>
    <t>KM 21,86</t>
  </si>
  <si>
    <t>93</t>
  </si>
  <si>
    <t>06278750000106</t>
  </si>
  <si>
    <t>SANTA LUCIA DISTRIBUIDORA DE COMBUSTIVEIS LTDA</t>
  </si>
  <si>
    <t>Rodovia   BR-287</t>
  </si>
  <si>
    <t>9400</t>
  </si>
  <si>
    <t>CAMOBI</t>
  </si>
  <si>
    <t>KM 240 + 600 M, LADO ESQUERDO</t>
  </si>
  <si>
    <t>SANTA MARIA</t>
  </si>
  <si>
    <t>06536758000125</t>
  </si>
  <si>
    <t>DIRECIONAL DISTRIBUIDORA DE DERIVADOS DE PETRÓLEO LTDA.</t>
  </si>
  <si>
    <t>RUA TADEU KOSCIUSKO</t>
  </si>
  <si>
    <t>199</t>
  </si>
  <si>
    <t>Vila Actura</t>
  </si>
  <si>
    <t>LOTE 06/REMEMBRADO QUADRA35</t>
  </si>
  <si>
    <t>489</t>
  </si>
  <si>
    <t>06536758000206</t>
  </si>
  <si>
    <t>AVENIDA MONROE</t>
  </si>
  <si>
    <t>321</t>
  </si>
  <si>
    <t>312</t>
  </si>
  <si>
    <t>06537572000190</t>
  </si>
  <si>
    <t>FGC DISTRIBUIDORA DE COMBUSTÍVEIS LTDA.</t>
  </si>
  <si>
    <t>06958597000168</t>
  </si>
  <si>
    <t>ORCA DISTRIBUIDORA DE PETRÓLEO LTDA.</t>
  </si>
  <si>
    <t>ROD PR 486</t>
  </si>
  <si>
    <t>CEDRO</t>
  </si>
  <si>
    <t>KM 96 LOTE 13-N E 13-N-1B SALA 04A</t>
  </si>
  <si>
    <t>PEROBAL</t>
  </si>
  <si>
    <t>598</t>
  </si>
  <si>
    <t>06983874000354</t>
  </si>
  <si>
    <t>GOL COMBUSTÍVEIS S.A</t>
  </si>
  <si>
    <t>06983874000605</t>
  </si>
  <si>
    <t>RUA   JOAO PESSOA</t>
  </si>
  <si>
    <t>FAZ ENGENHO REDEMOINHO ANEXO A DA SEDE SALA 04</t>
  </si>
  <si>
    <t>CHA DE ALEGRIA</t>
  </si>
  <si>
    <t>PE</t>
  </si>
  <si>
    <t>07013489000266</t>
  </si>
  <si>
    <t>ACOL DISTRIBUIDORA DE COMBUSTÍVEIS LTDA.</t>
  </si>
  <si>
    <t>07013489000690</t>
  </si>
  <si>
    <t>07115453000102</t>
  </si>
  <si>
    <t>CENTRO OESTE BRASIL PETRÓLEO LTDA.</t>
  </si>
  <si>
    <t>07135653000208</t>
  </si>
  <si>
    <t>GRAN PETRO DISTRIBUIDORA DE COMBUSTÍVEIS LTDA.</t>
  </si>
  <si>
    <t>07135653000470</t>
  </si>
  <si>
    <t>07192860000113</t>
  </si>
  <si>
    <t>ALFA DISTRIBUIDORA DE PETRÓLEO LTDA.</t>
  </si>
  <si>
    <t>Rua Paulo Masayuki Uezato</t>
  </si>
  <si>
    <t>1634</t>
  </si>
  <si>
    <t>QUADRA 07, LOTES 70 A 74 E 160 A 164</t>
  </si>
  <si>
    <t>305</t>
  </si>
  <si>
    <t>07243624000189</t>
  </si>
  <si>
    <t>PETROQUALITY DISTRIBUIDORA DE COMBUSTÍVEIS LTDA.</t>
  </si>
  <si>
    <t>07243624000260</t>
  </si>
  <si>
    <t>07520438000220</t>
  </si>
  <si>
    <t>RODOIL DISTRIBUIDORA DE COMBUSTÍVEIS LTDA</t>
  </si>
  <si>
    <t>07520438001030</t>
  </si>
  <si>
    <t>Rodovia PR-280, km 176, nº 100</t>
  </si>
  <si>
    <t>RENASCENCA</t>
  </si>
  <si>
    <t>10</t>
  </si>
  <si>
    <t>07520438001707</t>
  </si>
  <si>
    <t>RUA ORCULANO BERNARDES</t>
  </si>
  <si>
    <t>852</t>
  </si>
  <si>
    <t>XAXIM</t>
  </si>
  <si>
    <t>645</t>
  </si>
  <si>
    <t>07723581000139</t>
  </si>
  <si>
    <t>CRUZ DE MALTA DISTRIBUIDORA DE PETRÓLEO LTDA.</t>
  </si>
  <si>
    <t>07857168000167</t>
  </si>
  <si>
    <t>SIM DISTRIBUIDORA DE COMBUSTIVEIS LTDA</t>
  </si>
  <si>
    <t>Avenida Presidente Vargas</t>
  </si>
  <si>
    <t>3700</t>
  </si>
  <si>
    <t>São Sebastião</t>
  </si>
  <si>
    <t>599</t>
  </si>
  <si>
    <t>07857168000400</t>
  </si>
  <si>
    <t>RUA DR ELI VOLPATO</t>
  </si>
  <si>
    <t>948</t>
  </si>
  <si>
    <t>220</t>
  </si>
  <si>
    <t>07857168001643</t>
  </si>
  <si>
    <t>Rodovia BR-392</t>
  </si>
  <si>
    <t>4139</t>
  </si>
  <si>
    <t>Tomazetti</t>
  </si>
  <si>
    <t>406</t>
  </si>
  <si>
    <t>08543600000108</t>
  </si>
  <si>
    <t>ECO DISTRIBUIDORA DE PETRÓLEO S/A</t>
  </si>
  <si>
    <t>RUA N</t>
  </si>
  <si>
    <t>LOTES 60 A 64 - SALA 2</t>
  </si>
  <si>
    <t>789</t>
  </si>
  <si>
    <t>08569652000153</t>
  </si>
  <si>
    <t>GASOIL DISTRIBUIDORA DE PETROLEO LTDA</t>
  </si>
  <si>
    <t>08768527000172</t>
  </si>
  <si>
    <t>SADA COMBUSTÍVEIS LTDA</t>
  </si>
  <si>
    <t xml:space="preserve"> Lote 3022 D</t>
  </si>
  <si>
    <t>Gleba 1</t>
  </si>
  <si>
    <t>Projeto Jaíba Etapa II, Mocambinho</t>
  </si>
  <si>
    <t>JAIBA</t>
  </si>
  <si>
    <t>744</t>
  </si>
  <si>
    <t>08892436000144</t>
  </si>
  <si>
    <t>FLEXPETRO DISTRIBUIDORA DE DERIVADOS DE PETRÓLEO S.A.</t>
  </si>
  <si>
    <t>08944957000106</t>
  </si>
  <si>
    <t>PETROWORLD COMBUSTÍVEIS S/A.</t>
  </si>
  <si>
    <t>09056321000263</t>
  </si>
  <si>
    <t>RZD DISTRIBUIDORA DE DERIVADOS DE PETRÓLEO LTDA.</t>
  </si>
  <si>
    <t>09056321000425</t>
  </si>
  <si>
    <t>Rodovia BR 174</t>
  </si>
  <si>
    <t>Zona Rural Gleba</t>
  </si>
  <si>
    <t>Lote 11</t>
  </si>
  <si>
    <t>BOA VISTA</t>
  </si>
  <si>
    <t>RR</t>
  </si>
  <si>
    <t>376</t>
  </si>
  <si>
    <t>09059136000141</t>
  </si>
  <si>
    <t>NIMO ENERGIA * DISTRIBUIDORA E COMERCIO DE COMBUSTIVEIS LIMITADA</t>
  </si>
  <si>
    <t>09158456000159</t>
  </si>
  <si>
    <t>PHOENIX DISTRIBUIDORA DE COMBUSTÍVEIS LTDA.</t>
  </si>
  <si>
    <t>AVENIDA TROPICAL</t>
  </si>
  <si>
    <t>DISTRITO INDUSTRIAL BRASIL CENTRAL</t>
  </si>
  <si>
    <t>QUADRA MÓDULO - LOTE 08</t>
  </si>
  <si>
    <t>09201095000186</t>
  </si>
  <si>
    <t>ALCOOLBRAS - ÁLCOOL DO BRASIL DISTRIBUIDORA DE COMBUSTÍVEIS LTDA.</t>
  </si>
  <si>
    <t>RUA JC-19</t>
  </si>
  <si>
    <t>S/N.°</t>
  </si>
  <si>
    <t>JARDIM CANEDO II</t>
  </si>
  <si>
    <t>QUADRA 28, LOTE APMS 14/15</t>
  </si>
  <si>
    <t>286</t>
  </si>
  <si>
    <t>09250921000187</t>
  </si>
  <si>
    <t>ON PETRO - DISTRIBUIDORA DE COMBUSTÍVEIS LTDA</t>
  </si>
  <si>
    <t>09250921000934</t>
  </si>
  <si>
    <t>09371943000448</t>
  </si>
  <si>
    <t>PETRONOL DISTRIBUIDORA DE PETRÓLEO E ETANOL LTDA.</t>
  </si>
  <si>
    <t>09371943000529</t>
  </si>
  <si>
    <t>EST DO CAMUNDONGO</t>
  </si>
  <si>
    <t>Humildes</t>
  </si>
  <si>
    <t>GLEBA 02 KM 90 RODOVIA BR 324</t>
  </si>
  <si>
    <t>487</t>
  </si>
  <si>
    <t>09565834000208</t>
  </si>
  <si>
    <t>TAG DISTRIBUIDORA DE COMBUSTÍVEIS S/A.</t>
  </si>
  <si>
    <t>AVENIDA   JAIRO PACHECO</t>
  </si>
  <si>
    <t>LOTEAMENTO POLO EMPRESARIAL OESTE</t>
  </si>
  <si>
    <t>LOTE 22 R - QUADRA 07</t>
  </si>
  <si>
    <t>270</t>
  </si>
  <si>
    <t>09596665000184</t>
  </si>
  <si>
    <t>MAX DISTRIBUIDORA DE PETRÓLEO LTDA.</t>
  </si>
  <si>
    <t>10204914000128</t>
  </si>
  <si>
    <t>COPERCANA DISTRIBUIDORA DE COMBUSTIVEIS LTDA</t>
  </si>
  <si>
    <t>10354704000620</t>
  </si>
  <si>
    <t>ALPES DISTRIBUIDORA DE PETRÓLEO LTDA.</t>
  </si>
  <si>
    <t>10383235000163</t>
  </si>
  <si>
    <t>EVEREST DISTRIBUIDORA DE DERIVADOS DE PETRÓLEO LTDA</t>
  </si>
  <si>
    <t>ROD BR-153, KM 6635 GLEBA 8 II ETAPA LOTE 38 - D LOTE FAZ. SANTO ANTONIO</t>
  </si>
  <si>
    <t>S/N,</t>
  </si>
  <si>
    <t>SETOR CENTRAL</t>
  </si>
  <si>
    <t>GURUPI</t>
  </si>
  <si>
    <t>251</t>
  </si>
  <si>
    <t>10767247000191</t>
  </si>
  <si>
    <t>RUMOS DISTRIBUIDORA DE PETROLEO S/A</t>
  </si>
  <si>
    <t>10767247000604</t>
  </si>
  <si>
    <t>AVENIDA RODRIGUES ALVES</t>
  </si>
  <si>
    <t>28-51</t>
  </si>
  <si>
    <t>VILA CARDIA</t>
  </si>
  <si>
    <t>SALA 11</t>
  </si>
  <si>
    <t>118</t>
  </si>
  <si>
    <t>10767247000868</t>
  </si>
  <si>
    <t>1284</t>
  </si>
  <si>
    <t>140</t>
  </si>
  <si>
    <t>10775497000173</t>
  </si>
  <si>
    <t>FLAGLER COMBUSTIVEIS S/A</t>
  </si>
  <si>
    <t>10775497000335</t>
  </si>
  <si>
    <t>10806429000124</t>
  </si>
  <si>
    <t>TERRA BRASIL DISTRIBUIDORA DE PETRÓLEO LTDA</t>
  </si>
  <si>
    <t>10911906000200</t>
  </si>
  <si>
    <t>AGILE LOGISTICA E DISTRIBUIÇÃO DE COMBUSTÍVEIS LTDA</t>
  </si>
  <si>
    <t>10911906000383</t>
  </si>
  <si>
    <t>1425</t>
  </si>
  <si>
    <t>LOTE 7B QUADRAS S/D QUARTEIRÃO 2007 LT. CENTRO IND</t>
  </si>
  <si>
    <t>11325330000254</t>
  </si>
  <si>
    <t>STANG DISTRIBUIDORA DE PETRÓLEO LTDA.</t>
  </si>
  <si>
    <t>Rod. PR 468</t>
  </si>
  <si>
    <t>s/n.º</t>
  </si>
  <si>
    <t>Zona III</t>
  </si>
  <si>
    <t>km 05</t>
  </si>
  <si>
    <t>UMUARAMA</t>
  </si>
  <si>
    <t>304</t>
  </si>
  <si>
    <t>11325330000335</t>
  </si>
  <si>
    <t>Rua   Benjamin Dagnoni</t>
  </si>
  <si>
    <t>1300</t>
  </si>
  <si>
    <t>Rio do Meio</t>
  </si>
  <si>
    <t>812</t>
  </si>
  <si>
    <t>11325330000505</t>
  </si>
  <si>
    <t>RUA JOPER MARGRAF LOPES</t>
  </si>
  <si>
    <t>185</t>
  </si>
  <si>
    <t>GLEBA JACUTINGA</t>
  </si>
  <si>
    <t>LONDRINA</t>
  </si>
  <si>
    <t>11325330000688</t>
  </si>
  <si>
    <t>Rua Doutor Eli Volpato</t>
  </si>
  <si>
    <t>191</t>
  </si>
  <si>
    <t>11361333000324</t>
  </si>
  <si>
    <t>PETROSALVADOR DISTRIBUIDORA DE COMBUSTÍVEIS LTDA.</t>
  </si>
  <si>
    <t>11428668000231</t>
  </si>
  <si>
    <t>REALCOOL DISTRIBUIDORA DE PETROLEO LTDA.</t>
  </si>
  <si>
    <t>11775945000100</t>
  </si>
  <si>
    <t>YPETRO DISTRIBUIDORA DE COMBUSTIVEIS S.A.</t>
  </si>
  <si>
    <t>AVENIDA QUARTO ANEL VIARIO</t>
  </si>
  <si>
    <t>JACANAU</t>
  </si>
  <si>
    <t>KM 12,5</t>
  </si>
  <si>
    <t>MARACANAU</t>
  </si>
  <si>
    <t>11898169000208</t>
  </si>
  <si>
    <t>GREEN DISTRIBUIDORA DE PETRÓLEO LTDA</t>
  </si>
  <si>
    <t>AC LUGAR USINA VELHA</t>
  </si>
  <si>
    <t>3º DISTRITO</t>
  </si>
  <si>
    <t>CAXIAS</t>
  </si>
  <si>
    <t>1028</t>
  </si>
  <si>
    <t>11920216000353</t>
  </si>
  <si>
    <t>BIOSTRATUM DISTRIBUIDORA DE COMBUSTÍVEIS LTDA</t>
  </si>
  <si>
    <t>11989750000154</t>
  </si>
  <si>
    <t>76 OIL DISTRIBUIDORA DE COMBUSTÍVEIS S/A</t>
  </si>
  <si>
    <t>RUA   02</t>
  </si>
  <si>
    <t>55</t>
  </si>
  <si>
    <t>LOTEAMENTO FAZENDA CACHOEIRA</t>
  </si>
  <si>
    <t>LOTE 02 / QUADRA B</t>
  </si>
  <si>
    <t>BARRA MANSA</t>
  </si>
  <si>
    <t>661</t>
  </si>
  <si>
    <t>13210610000242</t>
  </si>
  <si>
    <t>MAXXI DISTRIBUIDORA DE PETRÓLEO LTDA.</t>
  </si>
  <si>
    <t>13485658000425</t>
  </si>
  <si>
    <t>BIOPETRÓLEO DO BRASIL DISTRIBUIDORA DE COMBUSTÍVEIS LTDA</t>
  </si>
  <si>
    <t>13485658000930</t>
  </si>
  <si>
    <t>13569712000178</t>
  </si>
  <si>
    <t>ECO BRASIL DISTRIBUIDORA DE COMBUSTÍVEIS LTDA.</t>
  </si>
  <si>
    <t>13622746000189</t>
  </si>
  <si>
    <t>MIDAS COMÉRCIO DE COMBUSTÍVEIS LTDA</t>
  </si>
  <si>
    <t>14385558000147</t>
  </si>
  <si>
    <t>REAL DISTRIBUIDORA DE PETROLEO LTDA</t>
  </si>
  <si>
    <t>14385558000228</t>
  </si>
  <si>
    <t>Avenida   Jairo Pacheco</t>
  </si>
  <si>
    <t>70</t>
  </si>
  <si>
    <t>Polo Empresarial Oeste</t>
  </si>
  <si>
    <t>390</t>
  </si>
  <si>
    <t>14546191000104</t>
  </si>
  <si>
    <t>STOCK DISTRIBUIDORA DE PETRÓLEO LTDA</t>
  </si>
  <si>
    <t>Rua   Ganges</t>
  </si>
  <si>
    <t>30</t>
  </si>
  <si>
    <t>Jardim Campestre</t>
  </si>
  <si>
    <t>16978251000185</t>
  </si>
  <si>
    <t>RAVATO DISTRIBUIDORA DE COMBUSTIVEIS LTDA.</t>
  </si>
  <si>
    <t>RUA JOÃO BETTEGA</t>
  </si>
  <si>
    <t>2873</t>
  </si>
  <si>
    <t>SAO MATEUS DO SUL</t>
  </si>
  <si>
    <t>192</t>
  </si>
  <si>
    <t>19700983000105</t>
  </si>
  <si>
    <t>MIDAS DISTRIBUIDORA DE COMBUSTIVEIS S.A.</t>
  </si>
  <si>
    <t>19924948000161</t>
  </si>
  <si>
    <t>VAISHIA DISTRIBUIDORA E TRANSPORTADORA DE COMBUSTIVEIS EIRELI</t>
  </si>
  <si>
    <t>Rua Emilio Barbosa da Silva</t>
  </si>
  <si>
    <t>196</t>
  </si>
  <si>
    <t>Jardim Alvorada</t>
  </si>
  <si>
    <t>JANDIRA</t>
  </si>
  <si>
    <t>476</t>
  </si>
  <si>
    <t>20306024000261</t>
  </si>
  <si>
    <t>DELTA DISTRIBUIDORA DE COMBUSTIVEIS LTDA</t>
  </si>
  <si>
    <t>Rua   Z</t>
  </si>
  <si>
    <t>460</t>
  </si>
  <si>
    <t>SALA A2</t>
  </si>
  <si>
    <t>21873748000179</t>
  </si>
  <si>
    <t>BIOPETRO DISTRIBUIDORA DE COMBUSTIVEIS</t>
  </si>
  <si>
    <t>22355152000140</t>
  </si>
  <si>
    <t>J.R DISTRIBUIDORA DE PETRÓLEO LTDA</t>
  </si>
  <si>
    <t>RODOVIA ARTUR BERNARDES</t>
  </si>
  <si>
    <t>VAL-DE-CANS</t>
  </si>
  <si>
    <t>LOTE 16-C -TERMINAL PETROQUÍMICO MIRAMAR</t>
  </si>
  <si>
    <t>332</t>
  </si>
  <si>
    <t>23314594000887</t>
  </si>
  <si>
    <t>ALE COMBUSTIVEIS S.A.</t>
  </si>
  <si>
    <t>810</t>
  </si>
  <si>
    <t>LOTE 3 - QUADRA 26</t>
  </si>
  <si>
    <t>937</t>
  </si>
  <si>
    <t>23314594001000</t>
  </si>
  <si>
    <t>AVENIDA DAS PIRÂMIDES</t>
  </si>
  <si>
    <t>627</t>
  </si>
  <si>
    <t>JARDIM CALIFORNIA INDUSTRIAL</t>
  </si>
  <si>
    <t> </t>
  </si>
  <si>
    <t>GOIANIA</t>
  </si>
  <si>
    <t>17</t>
  </si>
  <si>
    <t>23314594001697</t>
  </si>
  <si>
    <t>35</t>
  </si>
  <si>
    <t>PIMENTAS</t>
  </si>
  <si>
    <t>135</t>
  </si>
  <si>
    <t>23314594002073</t>
  </si>
  <si>
    <t>AVENIDA DOUTOR CENOBELINO DE BARROS SERRA</t>
  </si>
  <si>
    <t>290</t>
  </si>
  <si>
    <t>SAO JOSE DO RIO PRETO</t>
  </si>
  <si>
    <t>1081</t>
  </si>
  <si>
    <t>23314594002820</t>
  </si>
  <si>
    <t>23314594003045</t>
  </si>
  <si>
    <t>RODOVIA BR 381/262</t>
  </si>
  <si>
    <t>Distrito Industrial Paulo Camilo Sul</t>
  </si>
  <si>
    <t>KM 427</t>
  </si>
  <si>
    <t>23314594003800</t>
  </si>
  <si>
    <t>351</t>
  </si>
  <si>
    <t>23314594004289</t>
  </si>
  <si>
    <t>23314594004955</t>
  </si>
  <si>
    <t>RUA BURLE MARX</t>
  </si>
  <si>
    <t>2.938</t>
  </si>
  <si>
    <t>CHACARA PARAÍSO</t>
  </si>
  <si>
    <t>23314594006737</t>
  </si>
  <si>
    <t>2209</t>
  </si>
  <si>
    <t>SETOR VIBRA</t>
  </si>
  <si>
    <t>601</t>
  </si>
  <si>
    <t>24347045000103</t>
  </si>
  <si>
    <t>BEST FUEL DISTRIBUIDORA DE PETROLEO LTDA</t>
  </si>
  <si>
    <t>Avenida   Guaraná</t>
  </si>
  <si>
    <t>1446</t>
  </si>
  <si>
    <t>497</t>
  </si>
  <si>
    <t>26574808000176</t>
  </si>
  <si>
    <t>MEG DISTRIBUIDORA DE COMBUSTÍVEIS LTDA</t>
  </si>
  <si>
    <t>26723599000185</t>
  </si>
  <si>
    <t>BRASPETRO DISTRIBUIDORA DE PETROLEO LTDA.</t>
  </si>
  <si>
    <t>27587084000168</t>
  </si>
  <si>
    <t>ACAI PETROLEO MATO GROSSO LTDA</t>
  </si>
  <si>
    <t>Rodovia MT 419</t>
  </si>
  <si>
    <t>30474838000188</t>
  </si>
  <si>
    <t>ALL DISTRIBUIDORA DE COMBUSTÍVEIS EIRELI</t>
  </si>
  <si>
    <t>30630087000141</t>
  </si>
  <si>
    <t>BV DISTRIBUIDORA DE COMBUSTÍVEIS LTDA</t>
  </si>
  <si>
    <t>30743935000129</t>
  </si>
  <si>
    <t>MONTE ALEGRE COMBUSTIVEIS LTDA.</t>
  </si>
  <si>
    <t>FAZ MONTE ALEGRE</t>
  </si>
  <si>
    <t>USINA MONTE ALEGRE - ZONA RURAL</t>
  </si>
  <si>
    <t>MONTE BELO</t>
  </si>
  <si>
    <t>877</t>
  </si>
  <si>
    <t>31864869000370</t>
  </si>
  <si>
    <t>BP COMERCIALIZADORA DE ENERGIA LTDA</t>
  </si>
  <si>
    <t>33337122002090</t>
  </si>
  <si>
    <t>IPIRANGA PRODUTOS DE PETRÓLEO S.A</t>
  </si>
  <si>
    <t>AVENIDA DO ESTADO</t>
  </si>
  <si>
    <t>2950</t>
  </si>
  <si>
    <t>VILA PROSPERIDADE</t>
  </si>
  <si>
    <t>SAO CAETANO DO SUL</t>
  </si>
  <si>
    <t>808</t>
  </si>
  <si>
    <t>33337122002251</t>
  </si>
  <si>
    <t>29/45</t>
  </si>
  <si>
    <t>340</t>
  </si>
  <si>
    <t>33337122002413</t>
  </si>
  <si>
    <t>RUA FELIPE SOARES LIMA</t>
  </si>
  <si>
    <t>1481</t>
  </si>
  <si>
    <t>VILA ALBEGAY</t>
  </si>
  <si>
    <t>CRUZ ALTA</t>
  </si>
  <si>
    <t>386</t>
  </si>
  <si>
    <t>33337122002502</t>
  </si>
  <si>
    <t>RUA ARCÂNGELO FAVARIM</t>
  </si>
  <si>
    <t>80</t>
  </si>
  <si>
    <t>SÃO JOSÉ</t>
  </si>
  <si>
    <t>473</t>
  </si>
  <si>
    <t>33337122002766</t>
  </si>
  <si>
    <t>RUA ALBERTO ANTONI</t>
  </si>
  <si>
    <t>455</t>
  </si>
  <si>
    <t>JARDIM SANTANA</t>
  </si>
  <si>
    <t>145</t>
  </si>
  <si>
    <t>33337122002928</t>
  </si>
  <si>
    <t>Avenida Cenobelino de Barros Serra</t>
  </si>
  <si>
    <t>244</t>
  </si>
  <si>
    <t>Parque Industrial</t>
  </si>
  <si>
    <t>637</t>
  </si>
  <si>
    <t>33337122003495</t>
  </si>
  <si>
    <t>RUA ANTONIO DE C. LAGES FILHO</t>
  </si>
  <si>
    <t>777</t>
  </si>
  <si>
    <t>SILO 3</t>
  </si>
  <si>
    <t>384</t>
  </si>
  <si>
    <t>33337122003738</t>
  </si>
  <si>
    <t>RUA ATALIBA LEONEL</t>
  </si>
  <si>
    <t>359</t>
  </si>
  <si>
    <t>OURINHOS</t>
  </si>
  <si>
    <t>334</t>
  </si>
  <si>
    <t>33337122004114</t>
  </si>
  <si>
    <t>KM 573,5</t>
  </si>
  <si>
    <t>VILA PRINCIPAL</t>
  </si>
  <si>
    <t>298</t>
  </si>
  <si>
    <t>33337122004203</t>
  </si>
  <si>
    <t>RODOVIA ARTHUR  BERNARDES</t>
  </si>
  <si>
    <t>25</t>
  </si>
  <si>
    <t>33337122004467</t>
  </si>
  <si>
    <t>RUA PAJURA</t>
  </si>
  <si>
    <t>943</t>
  </si>
  <si>
    <t>33337122004700</t>
  </si>
  <si>
    <t>AVENIDA   LINCOLN ALVES DOS SANTOS</t>
  </si>
  <si>
    <t>56</t>
  </si>
  <si>
    <t>PARTE 4</t>
  </si>
  <si>
    <t>MONTES CLAROS</t>
  </si>
  <si>
    <t>288</t>
  </si>
  <si>
    <t>33337122004890</t>
  </si>
  <si>
    <t>950</t>
  </si>
  <si>
    <t>33337122005358</t>
  </si>
  <si>
    <t>AV. SIDNEY CARDON DE OLIVEIRA</t>
  </si>
  <si>
    <t>1879</t>
  </si>
  <si>
    <t>625</t>
  </si>
  <si>
    <t>33337122005609</t>
  </si>
  <si>
    <t>AVENIDA CENOBELINO DE BARROS SERRA</t>
  </si>
  <si>
    <t>619</t>
  </si>
  <si>
    <t>33337122005943</t>
  </si>
  <si>
    <t>RUA ÁLVARES CABRAL</t>
  </si>
  <si>
    <t>1000</t>
  </si>
  <si>
    <t>VILA PETRÓPOLIS</t>
  </si>
  <si>
    <t>ÁREA 06 - DISTRITO INDUSTRIAL DE INVERNADINHA</t>
  </si>
  <si>
    <t>PASSO FUNDO</t>
  </si>
  <si>
    <t>33337122006168</t>
  </si>
  <si>
    <t>RUA CORONEL SOARES FERREIRA</t>
  </si>
  <si>
    <t>VILA BRETAS</t>
  </si>
  <si>
    <t>PARTE</t>
  </si>
  <si>
    <t>GOVERNADOR VALADARES</t>
  </si>
  <si>
    <t>1052</t>
  </si>
  <si>
    <t>33337122006591</t>
  </si>
  <si>
    <t>RUA N,</t>
  </si>
  <si>
    <t>1530</t>
  </si>
  <si>
    <t>QD 07 - LT 34 A 38 - LT 124 A 128</t>
  </si>
  <si>
    <t>667</t>
  </si>
  <si>
    <t>33337122006834</t>
  </si>
  <si>
    <t>RODOVIA WASHINGTON LUIZ</t>
  </si>
  <si>
    <t>CAMPOS ELISEOS</t>
  </si>
  <si>
    <t>KM 11,5</t>
  </si>
  <si>
    <t>33337122007059</t>
  </si>
  <si>
    <t>Rua Sampaio Marques</t>
  </si>
  <si>
    <t>JARAGUÁ</t>
  </si>
  <si>
    <t>ANEXO ZONA PORTUÁRIA 6 - ÁREA OPERACIONAL 14</t>
  </si>
  <si>
    <t>MACEIO</t>
  </si>
  <si>
    <t>AL</t>
  </si>
  <si>
    <t>478</t>
  </si>
  <si>
    <t>33337122007300</t>
  </si>
  <si>
    <t>Rua ConselheiroJosé Fernandes</t>
  </si>
  <si>
    <t>TAPERA</t>
  </si>
  <si>
    <t>CAMPOS DOS GOYTACAZES</t>
  </si>
  <si>
    <t>642</t>
  </si>
  <si>
    <t>33337122007482</t>
  </si>
  <si>
    <t>SETOR POLO SUPRIMENTO</t>
  </si>
  <si>
    <t>LOTE 4, QUADRA C</t>
  </si>
  <si>
    <t>33337122007563</t>
  </si>
  <si>
    <t>AVENIDA ANTÔNIO SIMÕES</t>
  </si>
  <si>
    <t>PRAINHA</t>
  </si>
  <si>
    <t>776</t>
  </si>
  <si>
    <t>33337122007644</t>
  </si>
  <si>
    <t>ESTRADA DO QÜINQUAGÉSIMO QUATORZE BIS</t>
  </si>
  <si>
    <t>PAREDÃO</t>
  </si>
  <si>
    <t>33337122007725</t>
  </si>
  <si>
    <t>Rua Ramal da Olaria</t>
  </si>
  <si>
    <t>Comercial</t>
  </si>
  <si>
    <t>SANTANA</t>
  </si>
  <si>
    <t>AP</t>
  </si>
  <si>
    <t>513</t>
  </si>
  <si>
    <t>33337122007997</t>
  </si>
  <si>
    <t xml:space="preserve"> ROD FERNAO DIAS BR 381</t>
  </si>
  <si>
    <t>IMBIRUCU</t>
  </si>
  <si>
    <t>KM 485,5</t>
  </si>
  <si>
    <t>596</t>
  </si>
  <si>
    <t>33337122008101</t>
  </si>
  <si>
    <t>RUA ALBERTO MINSKI</t>
  </si>
  <si>
    <t>VILA BELA</t>
  </si>
  <si>
    <t>756</t>
  </si>
  <si>
    <t>33337122008454</t>
  </si>
  <si>
    <t>LOTES 14 B E 14C</t>
  </si>
  <si>
    <t>SETOR DE INFLAMÁVEIS SUL</t>
  </si>
  <si>
    <t>524</t>
  </si>
  <si>
    <t>33337122008969</t>
  </si>
  <si>
    <t>33337122009183</t>
  </si>
  <si>
    <t>RUA JOSE GOMES FERREIRA</t>
  </si>
  <si>
    <t>1020</t>
  </si>
  <si>
    <t>IMBIRUÇU</t>
  </si>
  <si>
    <t>373</t>
  </si>
  <si>
    <t>33337122010009</t>
  </si>
  <si>
    <t>CAMINHO  DO PILOES</t>
  </si>
  <si>
    <t>241</t>
  </si>
  <si>
    <t>FABRIL</t>
  </si>
  <si>
    <t>Latitude: 23º 53'17.18"S, Longitude: 46º 26'37.58"</t>
  </si>
  <si>
    <t>CUBATAO</t>
  </si>
  <si>
    <t>33337122010432</t>
  </si>
  <si>
    <t>33337122011323</t>
  </si>
  <si>
    <t>Rua Javari</t>
  </si>
  <si>
    <t>200</t>
  </si>
  <si>
    <t>Tamboré</t>
  </si>
  <si>
    <t>BARUERI</t>
  </si>
  <si>
    <t>830</t>
  </si>
  <si>
    <t>33337122013377</t>
  </si>
  <si>
    <t>33337122013962</t>
  </si>
  <si>
    <t>33337122015230</t>
  </si>
  <si>
    <t>Rio Jari</t>
  </si>
  <si>
    <t>Vila de Munguba</t>
  </si>
  <si>
    <t>ALMEIRIM</t>
  </si>
  <si>
    <t>6</t>
  </si>
  <si>
    <t>33337122015906</t>
  </si>
  <si>
    <t>RUA CARLOS FAGUNDES DE MELLO</t>
  </si>
  <si>
    <t>CANOAS</t>
  </si>
  <si>
    <t>33337122016635</t>
  </si>
  <si>
    <t>RODOVIA DO XISTO</t>
  </si>
  <si>
    <t>THOMAZ COELHO</t>
  </si>
  <si>
    <t>BR 476</t>
  </si>
  <si>
    <t>65</t>
  </si>
  <si>
    <t>33337122017607</t>
  </si>
  <si>
    <t>SÃO FRANCISCO</t>
  </si>
  <si>
    <t>QUADRA Q1-A</t>
  </si>
  <si>
    <t>414</t>
  </si>
  <si>
    <t>33337122017950</t>
  </si>
  <si>
    <t>ESTRADA DOM JOSÉ ANTONIO DO COUTO,</t>
  </si>
  <si>
    <t>JARDIM AMERICANO</t>
  </si>
  <si>
    <t>SAO JOSE DOS CAMPOS</t>
  </si>
  <si>
    <t>550</t>
  </si>
  <si>
    <t>33337122018174</t>
  </si>
  <si>
    <t>ALEXANDRE BALBO</t>
  </si>
  <si>
    <t>ANEL VIÁRIO</t>
  </si>
  <si>
    <t>KM 335</t>
  </si>
  <si>
    <t>826</t>
  </si>
  <si>
    <t>33337122018921</t>
  </si>
  <si>
    <t>10658</t>
  </si>
  <si>
    <t>MILAGRES</t>
  </si>
  <si>
    <t>KM 05</t>
  </si>
  <si>
    <t>33337122019227</t>
  </si>
  <si>
    <t>278</t>
  </si>
  <si>
    <t>33337122020233</t>
  </si>
  <si>
    <t>AVENIDA BRUXELAS</t>
  </si>
  <si>
    <t>JARDIM NOVO MUNDO</t>
  </si>
  <si>
    <t>QUADRA 260</t>
  </si>
  <si>
    <t>7</t>
  </si>
  <si>
    <t>33337122020314</t>
  </si>
  <si>
    <t>RODOVIA PE 60</t>
  </si>
  <si>
    <t>DISTRITO INDUSTRIAL SUAPE</t>
  </si>
  <si>
    <t>KM 10</t>
  </si>
  <si>
    <t>IPOJUCA</t>
  </si>
  <si>
    <t>807</t>
  </si>
  <si>
    <t>33337122020900</t>
  </si>
  <si>
    <t>33337122021124</t>
  </si>
  <si>
    <t>Rodovia BR-381 Fernão Dias</t>
  </si>
  <si>
    <t>Distrito Industrial Jardim Piemont Norte</t>
  </si>
  <si>
    <t>KM 481.5 PARTE</t>
  </si>
  <si>
    <t>842</t>
  </si>
  <si>
    <t>33337122021396</t>
  </si>
  <si>
    <t>AVENIDA PRESIDENTE ANTONIO CARLOS</t>
  </si>
  <si>
    <t>ÁREA B</t>
  </si>
  <si>
    <t>1221</t>
  </si>
  <si>
    <t>33337122022104</t>
  </si>
  <si>
    <t>SUÍSSA</t>
  </si>
  <si>
    <t>33337122022368</t>
  </si>
  <si>
    <t>33337122023178</t>
  </si>
  <si>
    <t>AVENIDA   ALDO BORGES LEAO</t>
  </si>
  <si>
    <t>5001</t>
  </si>
  <si>
    <t>36</t>
  </si>
  <si>
    <t>33453598000980</t>
  </si>
  <si>
    <t>RAIZEN S.A.</t>
  </si>
  <si>
    <t>33453598001014</t>
  </si>
  <si>
    <t>CAMPOS ELÍSEOS</t>
  </si>
  <si>
    <t>33453598001790</t>
  </si>
  <si>
    <t>35-87</t>
  </si>
  <si>
    <t>VILA MONLEVADE</t>
  </si>
  <si>
    <t>175</t>
  </si>
  <si>
    <t>33453598003068</t>
  </si>
  <si>
    <t>33453598003653</t>
  </si>
  <si>
    <t>RODOVIA RIO BAHIA</t>
  </si>
  <si>
    <t>KM 550</t>
  </si>
  <si>
    <t>397</t>
  </si>
  <si>
    <t>33453598004625</t>
  </si>
  <si>
    <t>AV. PROJETADA A</t>
  </si>
  <si>
    <t>896</t>
  </si>
  <si>
    <t>33453598005273</t>
  </si>
  <si>
    <t>33453598005788</t>
  </si>
  <si>
    <t>33453598006830</t>
  </si>
  <si>
    <t>33453598007489</t>
  </si>
  <si>
    <t>33453598007721</t>
  </si>
  <si>
    <t>ESTRADA JOAO CAZERTA</t>
  </si>
  <si>
    <t>JARDIM FERNANDO LABORIU</t>
  </si>
  <si>
    <t>ARACATUBA</t>
  </si>
  <si>
    <t>387</t>
  </si>
  <si>
    <t>33453598007993</t>
  </si>
  <si>
    <t>33453598009260</t>
  </si>
  <si>
    <t>FERROVIA NORTE SUL LOTE 14</t>
  </si>
  <si>
    <t>PÁTIO DE INTEGRAÇÃO MULTIMODAL DE PORTO NACIONAL</t>
  </si>
  <si>
    <t>33453598009937</t>
  </si>
  <si>
    <t>33453598010781</t>
  </si>
  <si>
    <t>RUA DAS CHÁCARAS</t>
  </si>
  <si>
    <t>1091</t>
  </si>
  <si>
    <t>OSVALDO ARANHA</t>
  </si>
  <si>
    <t>IJUI</t>
  </si>
  <si>
    <t>425</t>
  </si>
  <si>
    <t>33453598010862</t>
  </si>
  <si>
    <t>RODOVIA FERNÃO DIAS</t>
  </si>
  <si>
    <t>DISTRITO INDUSTRIAL PAULO CAMILO SUL</t>
  </si>
  <si>
    <t>BR 381 KM 485,8</t>
  </si>
  <si>
    <t>1073</t>
  </si>
  <si>
    <t>33453598011320</t>
  </si>
  <si>
    <t>RUA   98</t>
  </si>
  <si>
    <t>302</t>
  </si>
  <si>
    <t>VILA NOVA CAMPO GRANDE</t>
  </si>
  <si>
    <t>BLOCO 12</t>
  </si>
  <si>
    <t>722</t>
  </si>
  <si>
    <t>33453598012059</t>
  </si>
  <si>
    <t>AV. PRESIDENTE WILSON</t>
  </si>
  <si>
    <t>6352</t>
  </si>
  <si>
    <t>Vila CARIOCA</t>
  </si>
  <si>
    <t>SAO PAULO</t>
  </si>
  <si>
    <t>714</t>
  </si>
  <si>
    <t>33453598012997</t>
  </si>
  <si>
    <t>RUA   SALVADOR SCHENEIDER</t>
  </si>
  <si>
    <t>2570</t>
  </si>
  <si>
    <t>BOQUEIRAO</t>
  </si>
  <si>
    <t>33453598013101</t>
  </si>
  <si>
    <t>Avenida Prefeito Sincler Sambatti</t>
  </si>
  <si>
    <t>11007</t>
  </si>
  <si>
    <t>Jardim Bertioga</t>
  </si>
  <si>
    <t>LOTE 520/521</t>
  </si>
  <si>
    <t>MARINGA</t>
  </si>
  <si>
    <t>363</t>
  </si>
  <si>
    <t>33453598013616</t>
  </si>
  <si>
    <t>33453598013705</t>
  </si>
  <si>
    <t>AVENIDA PRESIDENTE VARGAS</t>
  </si>
  <si>
    <t>4016</t>
  </si>
  <si>
    <t>584</t>
  </si>
  <si>
    <t>33453598013969</t>
  </si>
  <si>
    <t>RODOVIA CANDEIAS/MADRE DE DEUS</t>
  </si>
  <si>
    <t>KM. 6,9</t>
  </si>
  <si>
    <t>105</t>
  </si>
  <si>
    <t>33453598016631</t>
  </si>
  <si>
    <t>AVENIDA SIDNEY CARDON OLIVEIRA</t>
  </si>
  <si>
    <t>2365</t>
  </si>
  <si>
    <t>438</t>
  </si>
  <si>
    <t>33453598017794</t>
  </si>
  <si>
    <t>RODOVIA PRESIDENTE CASTELO BRANCO</t>
  </si>
  <si>
    <t>KM. 21,5</t>
  </si>
  <si>
    <t>86</t>
  </si>
  <si>
    <t>33453598018766</t>
  </si>
  <si>
    <t>33453598019304</t>
  </si>
  <si>
    <t>33453598021635</t>
  </si>
  <si>
    <t>AVENIDA CENOBELINO BARROS SERRA</t>
  </si>
  <si>
    <t>64</t>
  </si>
  <si>
    <t>07</t>
  </si>
  <si>
    <t>33453598026432</t>
  </si>
  <si>
    <t>33453598026866</t>
  </si>
  <si>
    <t>33453598032327</t>
  </si>
  <si>
    <t>33453598042802</t>
  </si>
  <si>
    <t>33453598044414</t>
  </si>
  <si>
    <t>33453598045143</t>
  </si>
  <si>
    <t>33461567000700</t>
  </si>
  <si>
    <t>MANGUINHOS DISTRIBUIDORA S. A.</t>
  </si>
  <si>
    <t>RUA MONROE</t>
  </si>
  <si>
    <t>515</t>
  </si>
  <si>
    <t>ESQ C/ ISC JETI</t>
  </si>
  <si>
    <t>13</t>
  </si>
  <si>
    <t>33777842000294</t>
  </si>
  <si>
    <t>DISTRIBUIDORA RODOBRAS COMERCIO DE COMBUSTIVEIS LTDA</t>
  </si>
  <si>
    <t>33823764000136</t>
  </si>
  <si>
    <t>ECONOMY DISTRIBUIDORA DE PETROLEO LTDA</t>
  </si>
  <si>
    <t>Rodovia Papa João Paulo II</t>
  </si>
  <si>
    <t>969</t>
  </si>
  <si>
    <t>Três Poços</t>
  </si>
  <si>
    <t>VOLTA REDONDA</t>
  </si>
  <si>
    <t>263</t>
  </si>
  <si>
    <t>33923421000143</t>
  </si>
  <si>
    <t>SMART OIL LOGISTICA E ARMAZENS LTDA</t>
  </si>
  <si>
    <t>34226839000164</t>
  </si>
  <si>
    <t>PETRO NORTE DISTRIBUIDORA DE PETROLEO LTDA</t>
  </si>
  <si>
    <t>RODOVIA TO-080 KM 45 +300 MTS</t>
  </si>
  <si>
    <t>LOTES 77,78 E 79</t>
  </si>
  <si>
    <t>PARAISO DO TOCANTINS</t>
  </si>
  <si>
    <t>34274233001257</t>
  </si>
  <si>
    <t>VIBRA ENERGIA S.A</t>
  </si>
  <si>
    <t>SETOR IN</t>
  </si>
  <si>
    <t>LOTE 15</t>
  </si>
  <si>
    <t>640</t>
  </si>
  <si>
    <t>34274233001680</t>
  </si>
  <si>
    <t>RODOVIA MT 100</t>
  </si>
  <si>
    <t>TERMINAL OLACYR DE MORAES</t>
  </si>
  <si>
    <t>KM 6</t>
  </si>
  <si>
    <t>ALTO TAQUARI</t>
  </si>
  <si>
    <t>435</t>
  </si>
  <si>
    <t>34274233002571</t>
  </si>
  <si>
    <t>Estrada   Contorno da Petrobrás</t>
  </si>
  <si>
    <t>909</t>
  </si>
  <si>
    <t>34274233002652</t>
  </si>
  <si>
    <t>34274233002903</t>
  </si>
  <si>
    <t>AVENIDA PERIMETRAL</t>
  </si>
  <si>
    <t>500</t>
  </si>
  <si>
    <t>TRECHO JOSÉ SABÓIA</t>
  </si>
  <si>
    <t>18</t>
  </si>
  <si>
    <t>34274233003462</t>
  </si>
  <si>
    <t>34274233004000</t>
  </si>
  <si>
    <t>Avenida   Dante Michelini, 5500</t>
  </si>
  <si>
    <t>5500</t>
  </si>
  <si>
    <t>VITORIA</t>
  </si>
  <si>
    <t>547</t>
  </si>
  <si>
    <t>34274233005910</t>
  </si>
  <si>
    <t>AVENIDA ALMIRANTE DELAMARE</t>
  </si>
  <si>
    <t>1335</t>
  </si>
  <si>
    <t>HELIÓPOLIS</t>
  </si>
  <si>
    <t>339</t>
  </si>
  <si>
    <t>34274233006488</t>
  </si>
  <si>
    <t>RODOVIA CASTELO BRANCO</t>
  </si>
  <si>
    <t>S/M</t>
  </si>
  <si>
    <t>KM 20</t>
  </si>
  <si>
    <t>417</t>
  </si>
  <si>
    <t>34274233006569</t>
  </si>
  <si>
    <t>PAULÍNIA</t>
  </si>
  <si>
    <t>932</t>
  </si>
  <si>
    <t>34274233006801</t>
  </si>
  <si>
    <t>AVENIDA GETÚLIO VARGAS</t>
  </si>
  <si>
    <t>11181</t>
  </si>
  <si>
    <t>367</t>
  </si>
  <si>
    <t>34274233008006</t>
  </si>
  <si>
    <t>RODOVIA CANDEIAS - MADRE DE DEUS</t>
  </si>
  <si>
    <t>KM 6,2</t>
  </si>
  <si>
    <t>34274233009150</t>
  </si>
  <si>
    <t>171</t>
  </si>
  <si>
    <t>444</t>
  </si>
  <si>
    <t>34274233009584</t>
  </si>
  <si>
    <t>KM 112,2</t>
  </si>
  <si>
    <t>433</t>
  </si>
  <si>
    <t>34274233009665</t>
  </si>
  <si>
    <t>RUA N, 298 - 910</t>
  </si>
  <si>
    <t>31</t>
  </si>
  <si>
    <t>34274233009746</t>
  </si>
  <si>
    <t>Rua do Terminal Petrobrás</t>
  </si>
  <si>
    <t>337</t>
  </si>
  <si>
    <t>34274233009908</t>
  </si>
  <si>
    <t>RODOVIA RN 221</t>
  </si>
  <si>
    <t>KM 25</t>
  </si>
  <si>
    <t>265</t>
  </si>
  <si>
    <t>34274233010167</t>
  </si>
  <si>
    <t>AVENIDA JOAQUIM MIGUEL COUTO</t>
  </si>
  <si>
    <t>1985</t>
  </si>
  <si>
    <t>Vila Paulista</t>
  </si>
  <si>
    <t>511</t>
  </si>
  <si>
    <t>34274233010914</t>
  </si>
  <si>
    <t>RODOVIA BR 230 (ALTAMIRA/MARABÁ)</t>
  </si>
  <si>
    <t>RURAL</t>
  </si>
  <si>
    <t>KM 64</t>
  </si>
  <si>
    <t>VITORIA DO XINGU</t>
  </si>
  <si>
    <t>34274233012372</t>
  </si>
  <si>
    <t>AVENIDA INTEGRAÇÃO</t>
  </si>
  <si>
    <t>2079</t>
  </si>
  <si>
    <t>38</t>
  </si>
  <si>
    <t>34274233014588</t>
  </si>
  <si>
    <t>AVENIDA DOUTOR ZANY</t>
  </si>
  <si>
    <t>CARACARAI</t>
  </si>
  <si>
    <t>141</t>
  </si>
  <si>
    <t>34274233014669</t>
  </si>
  <si>
    <t>ESTRADA DA INVERNADA</t>
  </si>
  <si>
    <t>1.700</t>
  </si>
  <si>
    <t>RIO BRANCO</t>
  </si>
  <si>
    <t>127</t>
  </si>
  <si>
    <t>34274233014901</t>
  </si>
  <si>
    <t>PORTO DE ITAQUI</t>
  </si>
  <si>
    <t>ITAQUI</t>
  </si>
  <si>
    <t>292</t>
  </si>
  <si>
    <t>34274233016360</t>
  </si>
  <si>
    <t>RUA PROFESSORA ZENITA ALCANTARA NOGUEIRA</t>
  </si>
  <si>
    <t>1-70</t>
  </si>
  <si>
    <t>1213</t>
  </si>
  <si>
    <t>34274233017412</t>
  </si>
  <si>
    <t>RODOVIA RAPOSO TAVARES</t>
  </si>
  <si>
    <t>KM 563</t>
  </si>
  <si>
    <t>34274233018494</t>
  </si>
  <si>
    <t>ENSEADA DO LAGO GRANDE DO JURUTI</t>
  </si>
  <si>
    <t>JURUTI</t>
  </si>
  <si>
    <t>34274233020391</t>
  </si>
  <si>
    <t>RODOVIA GO 565, KM 6,02</t>
  </si>
  <si>
    <t>BARRO ALTO</t>
  </si>
  <si>
    <t>441</t>
  </si>
  <si>
    <t>34274233020715</t>
  </si>
  <si>
    <t>34274233021100</t>
  </si>
  <si>
    <t>34274233021797</t>
  </si>
  <si>
    <t>34274233023145</t>
  </si>
  <si>
    <t>Avenida Industrial  Cícero Tolêdo</t>
  </si>
  <si>
    <t>Jaraguá</t>
  </si>
  <si>
    <t>1142</t>
  </si>
  <si>
    <t>34274233023811</t>
  </si>
  <si>
    <t>RODOVIA TO-080, KM 23, LOTE 12</t>
  </si>
  <si>
    <t>PÁTIO DE INTEGRAÇÃO DA FERROVIA NORTE SU</t>
  </si>
  <si>
    <t>34274233025431</t>
  </si>
  <si>
    <t>RUA PARAIBA</t>
  </si>
  <si>
    <t>669</t>
  </si>
  <si>
    <t>34274233025512</t>
  </si>
  <si>
    <t>RODOVIA ARTHUR BERNARDES</t>
  </si>
  <si>
    <t>289</t>
  </si>
  <si>
    <t>34274233025601</t>
  </si>
  <si>
    <t>MARGEM ESQUERDA RIO TROBETAS</t>
  </si>
  <si>
    <t>PORTO TROMBETAS</t>
  </si>
  <si>
    <t>ORIXIMINA</t>
  </si>
  <si>
    <t>77</t>
  </si>
  <si>
    <t>34274233025946</t>
  </si>
  <si>
    <t>34274233026160</t>
  </si>
  <si>
    <t>RUA MONTEIRO LOBATO</t>
  </si>
  <si>
    <t>617</t>
  </si>
  <si>
    <t>453</t>
  </si>
  <si>
    <t>34274233026241</t>
  </si>
  <si>
    <t>34274233026594</t>
  </si>
  <si>
    <t>RUA PROFESSOR EDUARDO GOMES DE MATOS</t>
  </si>
  <si>
    <t>111</t>
  </si>
  <si>
    <t>MURITI</t>
  </si>
  <si>
    <t>CRATO</t>
  </si>
  <si>
    <t>204</t>
  </si>
  <si>
    <t>34274233027213</t>
  </si>
  <si>
    <t>RUA BENZENO</t>
  </si>
  <si>
    <t>1080</t>
  </si>
  <si>
    <t>SEDE</t>
  </si>
  <si>
    <t>POLO PETROQUÍMICO</t>
  </si>
  <si>
    <t>CAMACARI</t>
  </si>
  <si>
    <t>560</t>
  </si>
  <si>
    <t>34274233028023</t>
  </si>
  <si>
    <t>RODOVIA PRESIDENTE DUTRA</t>
  </si>
  <si>
    <t>KM 314</t>
  </si>
  <si>
    <t>170</t>
  </si>
  <si>
    <t>34274233028295</t>
  </si>
  <si>
    <t>RODOVIA SE 221</t>
  </si>
  <si>
    <t>PEDRA BRANCA</t>
  </si>
  <si>
    <t>LARANJEIRAS</t>
  </si>
  <si>
    <t>34274233028376</t>
  </si>
  <si>
    <t>34274233028457</t>
  </si>
  <si>
    <t>34274233028619</t>
  </si>
  <si>
    <t>RUA JOSÉ GABRIEL</t>
  </si>
  <si>
    <t>578</t>
  </si>
  <si>
    <t>11</t>
  </si>
  <si>
    <t>34274233028880</t>
  </si>
  <si>
    <t>34274233029500</t>
  </si>
  <si>
    <t>34274233030605</t>
  </si>
  <si>
    <t>34274233032489</t>
  </si>
  <si>
    <t>ESTRADA DE FERRO CARAJÁS</t>
  </si>
  <si>
    <t>KM 738</t>
  </si>
  <si>
    <t>531</t>
  </si>
  <si>
    <t>34274233032802</t>
  </si>
  <si>
    <t>34274233033027</t>
  </si>
  <si>
    <t>PARQUE PIQUIÁ</t>
  </si>
  <si>
    <t>551</t>
  </si>
  <si>
    <t>34274233033370</t>
  </si>
  <si>
    <t>RUA   ALCENIR BUENO</t>
  </si>
  <si>
    <t>CILO 3</t>
  </si>
  <si>
    <t>34274233036719</t>
  </si>
  <si>
    <t>RODOVIA PA 481</t>
  </si>
  <si>
    <t>PORTO VILA DO CONDE</t>
  </si>
  <si>
    <t>KM 2,3</t>
  </si>
  <si>
    <t>BARCARENA</t>
  </si>
  <si>
    <t>347</t>
  </si>
  <si>
    <t>34274233038762</t>
  </si>
  <si>
    <t>34274233039734</t>
  </si>
  <si>
    <t>34274233040660</t>
  </si>
  <si>
    <t>34274233040902</t>
  </si>
  <si>
    <t>34274233041127</t>
  </si>
  <si>
    <t>35220232000130</t>
  </si>
  <si>
    <t>ALLGREEN DISTRIBUIDORA DE COMBUSTÍVEIS LTDA.</t>
  </si>
  <si>
    <t>FAZENDA SITIO</t>
  </si>
  <si>
    <t>UNIAO</t>
  </si>
  <si>
    <t>106</t>
  </si>
  <si>
    <t>35464692000103</t>
  </si>
  <si>
    <t>WEBPETRO DISTRIBUIDORA DE COMBUSTÍVEIS LTDA.</t>
  </si>
  <si>
    <t>36154691000125</t>
  </si>
  <si>
    <t>ACAI PARA COMERCIO DE PETROLEO LTDA</t>
  </si>
  <si>
    <t>LOT LOTE 369 GLEBA SANTA CRUZ B</t>
  </si>
  <si>
    <t>RUROPOLIS</t>
  </si>
  <si>
    <t>809</t>
  </si>
  <si>
    <t>36357116000120</t>
  </si>
  <si>
    <t>PHAENARETE DISTRIBUIDORA DE COMBUSTIVEIS LTDA</t>
  </si>
  <si>
    <t>36688765000103</t>
  </si>
  <si>
    <t>WORLD COMERCIO ATACADISTA DE COMBUSTIVEIS LTDA</t>
  </si>
  <si>
    <t>37020090000192</t>
  </si>
  <si>
    <t>PETRORIENTE DISTRIBUIDORA DE COMBUSTIVEIS S.A</t>
  </si>
  <si>
    <t>37339109000168</t>
  </si>
  <si>
    <t>EASY PETRO DISTRIBUIDORA DE COMBUSTIVEIS LTDA</t>
  </si>
  <si>
    <t>37779606000187</t>
  </si>
  <si>
    <t>GAZ PRIME DISTRIBUIDORA DE COMBUSTIVEIS LTDA</t>
  </si>
  <si>
    <t>39334434000163</t>
  </si>
  <si>
    <t>START PETROLEO S.A.</t>
  </si>
  <si>
    <t>39476085000114</t>
  </si>
  <si>
    <t>THEX COMBUSTIVEIS LTDA</t>
  </si>
  <si>
    <t>ROD BR 226</t>
  </si>
  <si>
    <t>670</t>
  </si>
  <si>
    <t>KM 233</t>
  </si>
  <si>
    <t>TUNTUM</t>
  </si>
  <si>
    <t>39554973000299</t>
  </si>
  <si>
    <t>ORIZONA COMBUSTIVEIS S/A</t>
  </si>
  <si>
    <t>39783308000196</t>
  </si>
  <si>
    <t>WELLPETRO COMÉRCIO DE COMBUSTÍVEIS LTDA</t>
  </si>
  <si>
    <t>41080722000938</t>
  </si>
  <si>
    <t>DISLUB COMBUSTÍVEIS S/A</t>
  </si>
  <si>
    <t>41593247000146</t>
  </si>
  <si>
    <t>ARAUPETRO DISTRIBUIDORA DE COMBUSTIVEIS LTDA</t>
  </si>
  <si>
    <t>41967089000228</t>
  </si>
  <si>
    <t>CARINTHIA DISTRIBUIDORA S.A.</t>
  </si>
  <si>
    <t>44248274000170</t>
  </si>
  <si>
    <t>INTEGRACAO COMBUSTIVEIS LTDA</t>
  </si>
  <si>
    <t>44257742000172</t>
  </si>
  <si>
    <t>IGUATEMI PETROLEO LTDA</t>
  </si>
  <si>
    <t>44297367001166</t>
  </si>
  <si>
    <t>WK PRODUTOS DE PETROLEO LTDA</t>
  </si>
  <si>
    <t>46201869000790</t>
  </si>
  <si>
    <t>ARGEMIL DISTRIBUIDORA DE COMBUSTIVEIS E ARMAZENS GERAIS S/A.</t>
  </si>
  <si>
    <t>47993239000173</t>
  </si>
  <si>
    <t>GASTECH PETROLEO DISTRIBUIDORA DE COMBUSTIVEIS LTDA</t>
  </si>
  <si>
    <t>48580847000119</t>
  </si>
  <si>
    <t>AVANT COMBUSTIVEIS LTDA</t>
  </si>
  <si>
    <t>48700586000123</t>
  </si>
  <si>
    <t>CENTROESTE DISTRIBUICAO DE DERIVADOS DE PETROLEO S/A</t>
  </si>
  <si>
    <t>Rua Brasil</t>
  </si>
  <si>
    <t>1150</t>
  </si>
  <si>
    <t>Loteamento Alto da Glória</t>
  </si>
  <si>
    <t>82</t>
  </si>
  <si>
    <t>48700586000204</t>
  </si>
  <si>
    <t>ROD. MT 100</t>
  </si>
  <si>
    <t>KM 86</t>
  </si>
  <si>
    <t>48700586000395</t>
  </si>
  <si>
    <t>RUA   N</t>
  </si>
  <si>
    <t>48700586000557</t>
  </si>
  <si>
    <t>Área Rural de Rondonópolis</t>
  </si>
  <si>
    <t>KM 95, LOTE 09</t>
  </si>
  <si>
    <t>RONDONOPOLIS</t>
  </si>
  <si>
    <t>123</t>
  </si>
  <si>
    <t>48880263000169</t>
  </si>
  <si>
    <t>PARANA DISTRIBUIDORA DE COMBUSTIVEIS LTDA</t>
  </si>
  <si>
    <t>49871139000108</t>
  </si>
  <si>
    <t>ARAPETRO DISTRIBUIDORA DE COMBUSTIVEIS LTDA</t>
  </si>
  <si>
    <t>EST. DIVANI</t>
  </si>
  <si>
    <t>DAS CHÁCARAS</t>
  </si>
  <si>
    <t>LOTE 185-A, QUADRA 02</t>
  </si>
  <si>
    <t>707</t>
  </si>
  <si>
    <t>52467942000188</t>
  </si>
  <si>
    <t>SOLIS PETRO - TRADING E DISTRIBUIDORA DE COMBUSTIVEIS LTDA</t>
  </si>
  <si>
    <t>53567188000200</t>
  </si>
  <si>
    <t>EVOLUTION DISTRIBUIDORA DE COMBUSTÍVEIS LTDA</t>
  </si>
  <si>
    <t>Rua   Benedito Jose Kume</t>
  </si>
  <si>
    <t>Centro de Desenvolvimento de Assis</t>
  </si>
  <si>
    <t>ASSIS</t>
  </si>
  <si>
    <t>791</t>
  </si>
  <si>
    <t>55483564000467</t>
  </si>
  <si>
    <t>SETTA COMBUSTIVEIS LTDA</t>
  </si>
  <si>
    <t>56211027000269</t>
  </si>
  <si>
    <t>TMP TERMINAIS S/A</t>
  </si>
  <si>
    <t>ZONA INDUSTRIAL PORTUÁRIA DE SUAPE</t>
  </si>
  <si>
    <t>PORTO DE SUAPE</t>
  </si>
  <si>
    <t>ANP Nº 226</t>
  </si>
  <si>
    <t>56443671000181</t>
  </si>
  <si>
    <t>VINCE DISTRIBUIDORA DE COMBUSTIVEL LTDA</t>
  </si>
  <si>
    <t>Rua  das Rosas</t>
  </si>
  <si>
    <t>579</t>
  </si>
  <si>
    <t>Jardim das Flores</t>
  </si>
  <si>
    <t>PONTA PORA</t>
  </si>
  <si>
    <t>268</t>
  </si>
  <si>
    <t>57450090000130</t>
  </si>
  <si>
    <t>PETROTORQUE JC DISTRIBUIDORA DE COMBUSTIVEIS LTDA</t>
  </si>
  <si>
    <t>Estrada Municipal Paraíso/Palmares,</t>
  </si>
  <si>
    <t>ZONA INDUSTRIAL</t>
  </si>
  <si>
    <t>km 2 + 30m</t>
  </si>
  <si>
    <t>PARAISO</t>
  </si>
  <si>
    <t>58823121000113</t>
  </si>
  <si>
    <t>DUVALE DISTRIBUIDORA DE PETRÓLEO E ÁLCOOL LTDA.</t>
  </si>
  <si>
    <t>59615312000152</t>
  </si>
  <si>
    <t>VIVA DISTRIBUIDORA LTDA</t>
  </si>
  <si>
    <t>68110501000326</t>
  </si>
  <si>
    <t>TOWER BRASIL PETRÓLEO LTDA.</t>
  </si>
  <si>
    <t>69209575000387</t>
  </si>
  <si>
    <t>FERA LUBRIFICANTES LTDA.</t>
  </si>
  <si>
    <t>RUA NEW JERSEY</t>
  </si>
  <si>
    <t>LOTE 2 - QUADRA G</t>
  </si>
  <si>
    <t>ARUJA</t>
  </si>
  <si>
    <t>71770689000696</t>
  </si>
  <si>
    <t>NEXTA DISTRIBUIDORA LTDA</t>
  </si>
  <si>
    <t>71770689000858</t>
  </si>
  <si>
    <t>RUA 1</t>
  </si>
  <si>
    <t>QUADRAS 1 E 2, LOTES 11 A 50</t>
  </si>
  <si>
    <t>BARRA DO GARCAS</t>
  </si>
  <si>
    <t>71770689001404</t>
  </si>
  <si>
    <t>Rua do Prata</t>
  </si>
  <si>
    <t>1383</t>
  </si>
  <si>
    <t>CHÁCARAS BONANZA</t>
  </si>
  <si>
    <t>897</t>
  </si>
  <si>
    <t>71770689001668</t>
  </si>
  <si>
    <t>71770689001820</t>
  </si>
  <si>
    <t>71770689002044</t>
  </si>
  <si>
    <t>76994177000112</t>
  </si>
  <si>
    <t>UNI COMBUSTÍVEIS LTDA</t>
  </si>
  <si>
    <t>ESTRADA DA GRACIOSA</t>
  </si>
  <si>
    <t>2.700</t>
  </si>
  <si>
    <t>Atuba</t>
  </si>
  <si>
    <t>PINHAIS</t>
  </si>
  <si>
    <t>496</t>
  </si>
  <si>
    <t>76994177000546</t>
  </si>
  <si>
    <t>AVENIDA PRESIDENTE KENNEDY</t>
  </si>
  <si>
    <t>1600</t>
  </si>
  <si>
    <t>SANTA PAULA</t>
  </si>
  <si>
    <t>PONTA GROSSA</t>
  </si>
  <si>
    <t>457</t>
  </si>
  <si>
    <t>80795727000222</t>
  </si>
  <si>
    <t>POTENCIAL PETRÓLEO LTDA</t>
  </si>
  <si>
    <t>80795727000656</t>
  </si>
  <si>
    <t>Distrito Industrial Jardim Piemont Sul</t>
  </si>
  <si>
    <t>SALA 05 - KM 485</t>
  </si>
  <si>
    <t>80795727001202</t>
  </si>
  <si>
    <t>80795727001628</t>
  </si>
  <si>
    <t>84634682000699</t>
  </si>
  <si>
    <t>PETRO AMAZON PETRÓLEO DA AMAZONIA LTDA</t>
  </si>
  <si>
    <t>PRÓXIMO AV. S. MAROJA TELÉGRAFO</t>
  </si>
  <si>
    <t>350</t>
  </si>
  <si>
    <t>86910148000189</t>
  </si>
  <si>
    <t>DIBRAPE DISTRIBUIDORA BRASILEIRA DE PETRÓLEO LTDA.</t>
  </si>
  <si>
    <t>RUA MARCIONILO DOS SANTOS</t>
  </si>
  <si>
    <t>1450</t>
  </si>
  <si>
    <t>CORTICEIRA</t>
  </si>
  <si>
    <t>GUARAMIRIM</t>
  </si>
  <si>
    <t>97471676000286</t>
  </si>
  <si>
    <t>DISTRIBUIDORA DE COMBUSTÍVEIS SAARA S.A.</t>
  </si>
  <si>
    <t>RODOVIA BR 369</t>
  </si>
  <si>
    <t>KM 517</t>
  </si>
  <si>
    <t>499</t>
  </si>
  <si>
    <t>TIPO</t>
  </si>
  <si>
    <t xml:space="preserve">DISLUB COMBUSTÍVEIS </t>
  </si>
  <si>
    <t xml:space="preserve">FEDERAL ENERGIA </t>
  </si>
  <si>
    <t xml:space="preserve">FLAGLER COMBUSTIVEIS </t>
  </si>
  <si>
    <t xml:space="preserve">ORIZONA COMBUSTIVEIS </t>
  </si>
  <si>
    <t xml:space="preserve">PETROBAHIA </t>
  </si>
  <si>
    <t>PETROWORLD COMBUSTÍVEIS .</t>
  </si>
  <si>
    <t>RAIZEN MIME COMBUSTIVEIS .</t>
  </si>
  <si>
    <t xml:space="preserve">TMP TERMINAIS </t>
  </si>
  <si>
    <t>UNIBRASPE BRASILEIRA DE PETRÓLEO .</t>
  </si>
  <si>
    <t xml:space="preserve">ACAI PARA COMERCIO DE PETROLEO </t>
  </si>
  <si>
    <t xml:space="preserve">ACAI PETROLEO MATO GROSSO </t>
  </si>
  <si>
    <t>ATLÂNTICA PRODUTOS DE PETRÓLEO .</t>
  </si>
  <si>
    <t xml:space="preserve">AVANT COMBUSTIVEIS </t>
  </si>
  <si>
    <t xml:space="preserve">BP COMERCIALIZADORA DE ENERGIA </t>
  </si>
  <si>
    <t>CENTRO OESTE BRASIL PETRÓLEO .</t>
  </si>
  <si>
    <t>COMÉRCIO DE DERIVADOS DE PETRÓLEO ISABELLA .</t>
  </si>
  <si>
    <t xml:space="preserve">E. A. - ENERGIA AVANCADA </t>
  </si>
  <si>
    <t>ECOMAT - ECOLÓGICA MATO GROSSO INDÚSTRIA E COMÉRCIO .</t>
  </si>
  <si>
    <t>FERA LUBRIFICANTES .</t>
  </si>
  <si>
    <t xml:space="preserve">IGUATEMI PETROLEO </t>
  </si>
  <si>
    <t xml:space="preserve">INTEGRACAO COMBUSTIVEIS </t>
  </si>
  <si>
    <t>LARCO COMERCIAL DE PRODUTOS DE PETRÓLEO .</t>
  </si>
  <si>
    <t xml:space="preserve">MIDAS COMÉRCIO DE COMBUSTÍVEIS </t>
  </si>
  <si>
    <t>MINUANO PETRÓLEO .</t>
  </si>
  <si>
    <t>MONTE ALEGRE COMBUSTIVEIS .</t>
  </si>
  <si>
    <t xml:space="preserve">PETRO AMAZON PETRÓLEO DA AMAZONIA </t>
  </si>
  <si>
    <t>PETRO DALLAS DO BRASIL .</t>
  </si>
  <si>
    <t xml:space="preserve">PONTUAL BRASIL PETRÓLEO </t>
  </si>
  <si>
    <t xml:space="preserve">POTENCIAL PETRÓLEO </t>
  </si>
  <si>
    <t xml:space="preserve">RDP ENERGIA </t>
  </si>
  <si>
    <t xml:space="preserve">RM PETRÓLEO </t>
  </si>
  <si>
    <t xml:space="preserve">SADA COMBUSTÍVEIS </t>
  </si>
  <si>
    <t xml:space="preserve">SETTA COMBUSTIVEIS </t>
  </si>
  <si>
    <t xml:space="preserve">SMART OIL LOGISTICA E ARMAZENS </t>
  </si>
  <si>
    <t>SR BRASIL PETRÓLEO .</t>
  </si>
  <si>
    <t xml:space="preserve">THEX COMBUSTIVEIS </t>
  </si>
  <si>
    <t>TOWER BRASIL PETRÓLEO .</t>
  </si>
  <si>
    <t xml:space="preserve">TRANSO COMBUSTÍVEIS </t>
  </si>
  <si>
    <t xml:space="preserve">UNI COMBUSTÍVEIS </t>
  </si>
  <si>
    <t xml:space="preserve">WELLPETRO COMÉRCIO DE COMBUSTÍVEIS </t>
  </si>
  <si>
    <t xml:space="preserve">WK PRODUTOS DE PETROLEO </t>
  </si>
  <si>
    <t xml:space="preserve">WORLD COMERCIO ATACADISTA DE COMBUSTIVEIS </t>
  </si>
  <si>
    <t xml:space="preserve">76 OIL  </t>
  </si>
  <si>
    <t>ACOL  .</t>
  </si>
  <si>
    <t>ALCOOLBRAS - ÁLCOOL DO BRASIL  .</t>
  </si>
  <si>
    <t>ALL  EIRELI</t>
  </si>
  <si>
    <t>ALLGREEN  .</t>
  </si>
  <si>
    <t>ART PETRO  .</t>
  </si>
  <si>
    <t xml:space="preserve">BIOPETRÓLEO DO BRASIL  </t>
  </si>
  <si>
    <t xml:space="preserve">BIOSTRATUM  </t>
  </si>
  <si>
    <t xml:space="preserve">BV  </t>
  </si>
  <si>
    <t xml:space="preserve">CIAPETRO  </t>
  </si>
  <si>
    <t>ECO BRASIL  .</t>
  </si>
  <si>
    <t>ECOLÓGICA  .</t>
  </si>
  <si>
    <t xml:space="preserve">EVOLUTION  </t>
  </si>
  <si>
    <t xml:space="preserve">FÉLIX  </t>
  </si>
  <si>
    <t>FGC  .</t>
  </si>
  <si>
    <t>GP  .</t>
  </si>
  <si>
    <t>GRAN PETRO  .</t>
  </si>
  <si>
    <t>MAXSUL  .</t>
  </si>
  <si>
    <t xml:space="preserve">MEG  </t>
  </si>
  <si>
    <t>MONTE CABRAL  .</t>
  </si>
  <si>
    <t xml:space="preserve">ON PETRO -  </t>
  </si>
  <si>
    <t>PETROEXPRESS  E DERIVADOS DE PETRÓLEO .</t>
  </si>
  <si>
    <t>PETROQUALITY  .</t>
  </si>
  <si>
    <t>PETROSALVADOR  .</t>
  </si>
  <si>
    <t>PHOENIX  .</t>
  </si>
  <si>
    <t xml:space="preserve">RODOIL  </t>
  </si>
  <si>
    <t>TAG  .</t>
  </si>
  <si>
    <t>TDC  .</t>
  </si>
  <si>
    <t>TOBRAS  .</t>
  </si>
  <si>
    <t xml:space="preserve">WALENDOWSKY  </t>
  </si>
  <si>
    <t>WEBPETRO  .</t>
  </si>
  <si>
    <t xml:space="preserve">ARAPETRO  </t>
  </si>
  <si>
    <t xml:space="preserve">ARAUPETRO  </t>
  </si>
  <si>
    <t>ARGEMIL  E ARMAZENS GERAIS .</t>
  </si>
  <si>
    <t xml:space="preserve">BIOPETRO </t>
  </si>
  <si>
    <t xml:space="preserve">COPERCANA  </t>
  </si>
  <si>
    <t xml:space="preserve">DELTA  </t>
  </si>
  <si>
    <t xml:space="preserve"> MASUT </t>
  </si>
  <si>
    <t xml:space="preserve">EASY PETRO  </t>
  </si>
  <si>
    <t xml:space="preserve">GASTECH PETROLEO  </t>
  </si>
  <si>
    <t xml:space="preserve">GAZ PRIME  </t>
  </si>
  <si>
    <t xml:space="preserve">MAR AZUL  </t>
  </si>
  <si>
    <t xml:space="preserve">PARANA  </t>
  </si>
  <si>
    <t>PETRORIENTE  S.A</t>
  </si>
  <si>
    <t xml:space="preserve">PETROTORQUE JC  </t>
  </si>
  <si>
    <t xml:space="preserve">PHAENARETE  </t>
  </si>
  <si>
    <t>RAVATO  .</t>
  </si>
  <si>
    <t xml:space="preserve">SANTA LUCIA  </t>
  </si>
  <si>
    <t xml:space="preserve">SIM  </t>
  </si>
  <si>
    <t xml:space="preserve">SOLIS PETRO - TRADING E  </t>
  </si>
  <si>
    <t>AMERICANOIL  .</t>
  </si>
  <si>
    <t>DIRECIONAL  .</t>
  </si>
  <si>
    <t>ESTRADA  .</t>
  </si>
  <si>
    <t xml:space="preserve">EVEREST  </t>
  </si>
  <si>
    <t xml:space="preserve">ROYAL FIC  </t>
  </si>
  <si>
    <t>RZD  .</t>
  </si>
  <si>
    <t>SIMARELLI  .</t>
  </si>
  <si>
    <t>SMALL  .</t>
  </si>
  <si>
    <t>ALFA  .</t>
  </si>
  <si>
    <t>ALPES  .</t>
  </si>
  <si>
    <t>ATLANTA  .</t>
  </si>
  <si>
    <t>CARBOPETRO  .</t>
  </si>
  <si>
    <t>CRUZ DE MALTA  .</t>
  </si>
  <si>
    <t>D`MAIS  .</t>
  </si>
  <si>
    <t>DUVALE  E ÁLCOOL .</t>
  </si>
  <si>
    <t xml:space="preserve">ECO  </t>
  </si>
  <si>
    <t>FAN -  .</t>
  </si>
  <si>
    <t>FLAG  .</t>
  </si>
  <si>
    <t xml:space="preserve">GREEN  </t>
  </si>
  <si>
    <t>HORA  .</t>
  </si>
  <si>
    <t xml:space="preserve">IDAZA  </t>
  </si>
  <si>
    <t>IMPERIAL  .</t>
  </si>
  <si>
    <t xml:space="preserve">J.R  </t>
  </si>
  <si>
    <t>JACAR  .</t>
  </si>
  <si>
    <t xml:space="preserve">LIDERPETRO  </t>
  </si>
  <si>
    <t>MAX  .</t>
  </si>
  <si>
    <t>MAXXI  .</t>
  </si>
  <si>
    <t>ORCA  .</t>
  </si>
  <si>
    <t xml:space="preserve">PELIKANO  </t>
  </si>
  <si>
    <t>PETROGOIÁS  .</t>
  </si>
  <si>
    <t>PETRONOL  E ETANOL .</t>
  </si>
  <si>
    <t xml:space="preserve">PETROSERRA  </t>
  </si>
  <si>
    <t>REDEPETRO  .</t>
  </si>
  <si>
    <t>RODOPETRO  .</t>
  </si>
  <si>
    <t xml:space="preserve">RUFF CJ  </t>
  </si>
  <si>
    <t xml:space="preserve">SOLL  </t>
  </si>
  <si>
    <t xml:space="preserve">SP INDÚSTRIA E  </t>
  </si>
  <si>
    <t>STANG  .</t>
  </si>
  <si>
    <t xml:space="preserve">STOCK  </t>
  </si>
  <si>
    <t xml:space="preserve">TAURUS  </t>
  </si>
  <si>
    <t xml:space="preserve">TERRA BRASIL  </t>
  </si>
  <si>
    <t xml:space="preserve">TRIANGULO  </t>
  </si>
  <si>
    <t xml:space="preserve">ALE COMBUSTIVEIS </t>
  </si>
  <si>
    <t xml:space="preserve">ATEM' S  </t>
  </si>
  <si>
    <t xml:space="preserve">DANPETRO  </t>
  </si>
  <si>
    <t xml:space="preserve"> SAARA </t>
  </si>
  <si>
    <t xml:space="preserve">FLEXPETRO  </t>
  </si>
  <si>
    <t xml:space="preserve">JOAPI  </t>
  </si>
  <si>
    <t xml:space="preserve">MIDAS  </t>
  </si>
  <si>
    <t xml:space="preserve">PETRÓLEO SABBÁ </t>
  </si>
  <si>
    <t xml:space="preserve">RAIZEN </t>
  </si>
  <si>
    <t xml:space="preserve">START PETROLEO </t>
  </si>
  <si>
    <t xml:space="preserve">YPETRO  </t>
  </si>
  <si>
    <t xml:space="preserve">AGILE LOGISTICA E  </t>
  </si>
  <si>
    <t xml:space="preserve">CENTROESTE </t>
  </si>
  <si>
    <t>BRASPETRO</t>
  </si>
  <si>
    <t>REALCOOL</t>
  </si>
  <si>
    <t>TORRÃO .</t>
  </si>
  <si>
    <t>BEST FUEL</t>
  </si>
  <si>
    <t>ECONOMY</t>
  </si>
  <si>
    <t>GASOIL</t>
  </si>
  <si>
    <t>MONVALLE</t>
  </si>
  <si>
    <t>PETRO NORTE</t>
  </si>
  <si>
    <t>REAL</t>
  </si>
  <si>
    <t>RUMOS</t>
  </si>
  <si>
    <t xml:space="preserve">CARINTHIA </t>
  </si>
  <si>
    <t>DIBRAPE BRASILEIRA DE PETRÓLEO .</t>
  </si>
  <si>
    <t>MANGUINHOS S. A.</t>
  </si>
  <si>
    <t xml:space="preserve">NEXTA </t>
  </si>
  <si>
    <t>NIMO ENERGIA * E COMERCIO DE COMBUSTIVEIS LIMITADA</t>
  </si>
  <si>
    <t>PETROLUZ .</t>
  </si>
  <si>
    <t xml:space="preserve">PETROSUL TRANSPORTADORA E COMÉRCIO DE COMBUSTÍVEIS </t>
  </si>
  <si>
    <t>PETROX .</t>
  </si>
  <si>
    <t>REDE SOL FUEL .</t>
  </si>
  <si>
    <t>VAISHIA E TRANSPORTADORA DE COMBUSTIVEIS EIRELI</t>
  </si>
  <si>
    <t xml:space="preserve">VINCE DE COMBUSTIVEL </t>
  </si>
  <si>
    <t xml:space="preserve">VIVA </t>
  </si>
  <si>
    <t xml:space="preserve">WATT BRASILEIRA DE COMBUSTÍVEIS E DERIVADOS DE PETRÓLEO </t>
  </si>
  <si>
    <t xml:space="preserve"> CHARRUA </t>
  </si>
  <si>
    <t xml:space="preserve"> EQUADOR DE PRODUTOS DE PETRÓLEO .</t>
  </si>
  <si>
    <t xml:space="preserve"> MONTEPETRO DE PETRÓLEO .</t>
  </si>
  <si>
    <t xml:space="preserve"> RIO BRANCO DE PETRÓLEO .</t>
  </si>
  <si>
    <t xml:space="preserve"> RODOBRAS COMERCIO DE COMBUSTIVEIS </t>
  </si>
  <si>
    <t xml:space="preserve"> SUL DE PETRÓLEO .</t>
  </si>
  <si>
    <t xml:space="preserve"> TABOCÃO .</t>
  </si>
  <si>
    <t xml:space="preserve">PETRONAC NACIONAL </t>
  </si>
  <si>
    <t>MAJOR</t>
  </si>
  <si>
    <t>CONC MERC</t>
  </si>
  <si>
    <t>REGIONAL</t>
  </si>
  <si>
    <t>NOME REDUZIDO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</si>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</sst>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/mm/yyyy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666666"/>
        </left>
        <right style="medium">
          <color rgb="FF666666"/>
        </right>
        <top style="medium">
          <color rgb="FF666666"/>
        </top>
        <bottom style="medium">
          <color rgb="FF66666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lha1" displayName="folha1" ref="A1:P473" totalsRowShown="0">
  <autoFilter ref="A1:P473" xr:uid="{00000000-0009-0000-0100-000001000000}"/>
  <tableColumns count="16">
    <tableColumn id="1" xr3:uid="{00000000-0010-0000-0000-000001000000}" name="CNPJ"/>
    <tableColumn id="2" xr3:uid="{00000000-0010-0000-0000-000002000000}" name="Razão Social"/>
    <tableColumn id="3" xr3:uid="{00000000-0010-0000-0000-000003000000}" name="NOME REDUZIDO">
      <calculatedColumnFormula>VLOOKUP(folha1[[#This Row],[Razão Social]],Planilha1!A:C,2,0)</calculatedColumnFormula>
    </tableColumn>
    <tableColumn id="4" xr3:uid="{00000000-0010-0000-0000-000004000000}" name="Tipo de Instalação"/>
    <tableColumn id="5" xr3:uid="{00000000-0010-0000-0000-000005000000}" name="CLASSIFICAÇÃO">
      <calculatedColumnFormula>VLOOKUP(folha1[[#This Row],[Razão Social]],Planilha1!A:C,3,0)</calculatedColumnFormula>
    </tableColumn>
    <tableColumn id="6" xr3:uid="{00000000-0010-0000-0000-000006000000}" name="Endereço da Matriz"/>
    <tableColumn id="7" xr3:uid="{00000000-0010-0000-0000-000007000000}" name="Número"/>
    <tableColumn id="8" xr3:uid="{00000000-0010-0000-0000-000008000000}" name="Bairro"/>
    <tableColumn id="9" xr3:uid="{00000000-0010-0000-0000-000009000000}" name="Complemento"/>
    <tableColumn id="10" xr3:uid="{00000000-0010-0000-0000-00000A000000}" name="Município"/>
    <tableColumn id="11" xr3:uid="{00000000-0010-0000-0000-00000B000000}" name="UF"/>
    <tableColumn id="12" xr3:uid="{00000000-0010-0000-0000-00000C000000}" name="Capacidade Total"/>
    <tableColumn id="13" xr3:uid="{00000000-0010-0000-0000-00000D000000}" name="Participação (%)"/>
    <tableColumn id="14" xr3:uid="{00000000-0010-0000-0000-00000E000000}" name="TIPO" dataDxfId="0">
      <calculatedColumnFormula>IF(folha1[[#This Row],[Participação (%)]]=100,"BASE PRÓPRIA","BASE POOL")</calculatedColumnFormula>
    </tableColumn>
    <tableColumn id="15" xr3:uid="{00000000-0010-0000-0000-00000F000000}" name="Número Autorização"/>
    <tableColumn id="16" xr3:uid="{00000000-0010-0000-0000-000010000000}" name="Data Publicação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3"/>
  <sheetViews>
    <sheetView tabSelected="1" topLeftCell="C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7.44140625" customWidth="1"/>
    <col min="2" max="2" width="83" bestFit="1" customWidth="1"/>
    <col min="3" max="3" width="59.21875" bestFit="1" customWidth="1"/>
    <col min="4" max="4" width="39.6640625" bestFit="1" customWidth="1"/>
    <col min="5" max="5" width="15.77734375" bestFit="1" customWidth="1"/>
    <col min="6" max="6" width="83" bestFit="1" customWidth="1"/>
    <col min="7" max="7" width="14.77734375" bestFit="1" customWidth="1"/>
    <col min="8" max="8" width="56.21875" bestFit="1" customWidth="1"/>
    <col min="9" max="9" width="64.44140625" bestFit="1" customWidth="1"/>
    <col min="10" max="10" width="33.77734375" bestFit="1" customWidth="1"/>
    <col min="11" max="11" width="7.77734375" bestFit="1" customWidth="1"/>
    <col min="12" max="13" width="24.21875" bestFit="1" customWidth="1"/>
    <col min="14" max="14" width="21.88671875" bestFit="1" customWidth="1"/>
    <col min="15" max="15" width="26.6640625" bestFit="1" customWidth="1"/>
    <col min="16" max="16" width="25.44140625" bestFit="1" customWidth="1"/>
  </cols>
  <sheetData>
    <row r="1" spans="1:16" ht="19.95" customHeight="1" thickBot="1" x14ac:dyDescent="0.35">
      <c r="A1" s="1" t="s">
        <v>0</v>
      </c>
      <c r="B1" s="1" t="s">
        <v>1</v>
      </c>
      <c r="C1" s="2" t="s">
        <v>2034</v>
      </c>
      <c r="D1" s="1" t="s">
        <v>2</v>
      </c>
      <c r="E1" s="2" t="s">
        <v>2035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1852</v>
      </c>
      <c r="O1" s="1" t="s">
        <v>11</v>
      </c>
      <c r="P1" s="1" t="s">
        <v>12</v>
      </c>
    </row>
    <row r="2" spans="1:16" ht="19.95" customHeight="1" thickBot="1" x14ac:dyDescent="0.35">
      <c r="A2" s="3" t="s">
        <v>13</v>
      </c>
      <c r="B2" s="3" t="s">
        <v>14</v>
      </c>
      <c r="C2" s="6" t="str">
        <f>VLOOKUP(folha1[[#This Row],[Razão Social]],Planilha1!A:C,2,0)</f>
        <v xml:space="preserve">PETROSUL TRANSPORTADORA E COMÉRCIO DE COMBUSTÍVEIS </v>
      </c>
      <c r="D2" s="3" t="s">
        <v>15</v>
      </c>
      <c r="E2" s="6" t="str">
        <f>VLOOKUP(folha1[[#This Row],[Razão Social]],Planilha1!A:C,3,0)</f>
        <v>REGIONAL</v>
      </c>
      <c r="F2" s="3" t="s">
        <v>16</v>
      </c>
      <c r="G2" s="3" t="s">
        <v>17</v>
      </c>
      <c r="H2" s="3" t="s">
        <v>18</v>
      </c>
      <c r="I2" s="3"/>
      <c r="J2" s="3" t="s">
        <v>19</v>
      </c>
      <c r="K2" s="3" t="s">
        <v>20</v>
      </c>
      <c r="L2" s="4">
        <v>11718.58</v>
      </c>
      <c r="M2" s="4">
        <v>61.6</v>
      </c>
      <c r="N2" s="4" t="str">
        <f>IF(folha1[[#This Row],[Participação (%)]]=100,"BASE PRÓPRIA","BASE POOL")</f>
        <v>BASE POOL</v>
      </c>
      <c r="O2" s="3" t="s">
        <v>21</v>
      </c>
      <c r="P2" s="5">
        <v>41949</v>
      </c>
    </row>
    <row r="3" spans="1:16" ht="19.95" customHeight="1" thickBot="1" x14ac:dyDescent="0.35">
      <c r="A3" s="3" t="s">
        <v>22</v>
      </c>
      <c r="B3" s="3" t="s">
        <v>14</v>
      </c>
      <c r="C3" s="6" t="str">
        <f>VLOOKUP(folha1[[#This Row],[Razão Social]],Planilha1!A:C,2,0)</f>
        <v xml:space="preserve">PETROSUL TRANSPORTADORA E COMÉRCIO DE COMBUSTÍVEIS </v>
      </c>
      <c r="D3" s="3" t="s">
        <v>15</v>
      </c>
      <c r="E3" s="6" t="str">
        <f>VLOOKUP(folha1[[#This Row],[Razão Social]],Planilha1!A:C,3,0)</f>
        <v>REGIONAL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4">
        <v>12289</v>
      </c>
      <c r="M3" s="4">
        <v>81.7</v>
      </c>
      <c r="N3" s="4" t="str">
        <f>IF(folha1[[#This Row],[Participação (%)]]=100,"BASE PRÓPRIA","BASE POOL")</f>
        <v>BASE POOL</v>
      </c>
      <c r="O3" s="3" t="s">
        <v>29</v>
      </c>
      <c r="P3" s="5">
        <v>45296</v>
      </c>
    </row>
    <row r="4" spans="1:16" ht="19.95" customHeight="1" thickBot="1" x14ac:dyDescent="0.35">
      <c r="A4" s="3" t="s">
        <v>30</v>
      </c>
      <c r="B4" s="3" t="s">
        <v>31</v>
      </c>
      <c r="C4" s="6" t="str">
        <f>VLOOKUP(folha1[[#This Row],[Razão Social]],Planilha1!A:C,2,0)</f>
        <v xml:space="preserve">RDP ENERGIA </v>
      </c>
      <c r="D4" s="3" t="s">
        <v>15</v>
      </c>
      <c r="E4" s="6" t="str">
        <f>VLOOKUP(folha1[[#This Row],[Razão Social]],Planilha1!A:C,3,0)</f>
        <v>REGIONAL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4">
        <v>6493.18</v>
      </c>
      <c r="M4" s="4">
        <v>100</v>
      </c>
      <c r="N4" s="4" t="str">
        <f>IF(folha1[[#This Row],[Participação (%)]]=100,"BASE PRÓPRIA","BASE POOL")</f>
        <v>BASE PRÓPRIA</v>
      </c>
      <c r="O4" s="3" t="s">
        <v>38</v>
      </c>
      <c r="P4" s="5">
        <v>41073</v>
      </c>
    </row>
    <row r="5" spans="1:16" ht="19.95" customHeight="1" thickBot="1" x14ac:dyDescent="0.35">
      <c r="A5" s="3" t="s">
        <v>39</v>
      </c>
      <c r="B5" s="3" t="s">
        <v>31</v>
      </c>
      <c r="C5" s="6" t="str">
        <f>VLOOKUP(folha1[[#This Row],[Razão Social]],Planilha1!A:C,2,0)</f>
        <v xml:space="preserve">RDP ENERGIA </v>
      </c>
      <c r="D5" s="3" t="s">
        <v>15</v>
      </c>
      <c r="E5" s="6" t="str">
        <f>VLOOKUP(folha1[[#This Row],[Razão Social]],Planilha1!A:C,3,0)</f>
        <v>REGIONAL</v>
      </c>
      <c r="F5" s="3" t="s">
        <v>40</v>
      </c>
      <c r="G5" s="3" t="s">
        <v>41</v>
      </c>
      <c r="H5" s="3" t="s">
        <v>42</v>
      </c>
      <c r="I5" s="3"/>
      <c r="J5" s="3" t="s">
        <v>43</v>
      </c>
      <c r="K5" s="3" t="s">
        <v>44</v>
      </c>
      <c r="L5" s="4">
        <v>12121.62</v>
      </c>
      <c r="M5" s="4">
        <v>100</v>
      </c>
      <c r="N5" s="4" t="str">
        <f>IF(folha1[[#This Row],[Participação (%)]]=100,"BASE PRÓPRIA","BASE POOL")</f>
        <v>BASE PRÓPRIA</v>
      </c>
      <c r="O5" s="3" t="s">
        <v>45</v>
      </c>
      <c r="P5" s="5">
        <v>42803</v>
      </c>
    </row>
    <row r="6" spans="1:16" ht="19.95" customHeight="1" thickBot="1" x14ac:dyDescent="0.35">
      <c r="A6" s="3" t="s">
        <v>46</v>
      </c>
      <c r="B6" s="3" t="s">
        <v>47</v>
      </c>
      <c r="C6" s="6" t="str">
        <f>VLOOKUP(folha1[[#This Row],[Razão Social]],Planilha1!A:C,2,0)</f>
        <v>MAXSUL  .</v>
      </c>
      <c r="D6" s="3" t="s">
        <v>15</v>
      </c>
      <c r="E6" s="6" t="str">
        <f>VLOOKUP(folha1[[#This Row],[Razão Social]],Planilha1!A:C,3,0)</f>
        <v>REGIONAL</v>
      </c>
      <c r="F6" s="3" t="s">
        <v>48</v>
      </c>
      <c r="G6" s="3" t="s">
        <v>49</v>
      </c>
      <c r="H6" s="3" t="s">
        <v>50</v>
      </c>
      <c r="I6" s="3"/>
      <c r="J6" s="3" t="s">
        <v>51</v>
      </c>
      <c r="K6" s="3" t="s">
        <v>37</v>
      </c>
      <c r="L6" s="4">
        <v>12392.43</v>
      </c>
      <c r="M6" s="4">
        <v>100</v>
      </c>
      <c r="N6" s="4" t="str">
        <f>IF(folha1[[#This Row],[Participação (%)]]=100,"BASE PRÓPRIA","BASE POOL")</f>
        <v>BASE PRÓPRIA</v>
      </c>
      <c r="O6" s="3" t="s">
        <v>52</v>
      </c>
      <c r="P6" s="5">
        <v>45764</v>
      </c>
    </row>
    <row r="7" spans="1:16" ht="19.95" customHeight="1" thickBot="1" x14ac:dyDescent="0.35">
      <c r="A7" s="3" t="s">
        <v>53</v>
      </c>
      <c r="B7" s="3" t="s">
        <v>54</v>
      </c>
      <c r="C7" s="6" t="str">
        <f>VLOOKUP(folha1[[#This Row],[Razão Social]],Planilha1!A:C,2,0)</f>
        <v xml:space="preserve">JOAPI  </v>
      </c>
      <c r="D7" s="3" t="s">
        <v>15</v>
      </c>
      <c r="E7" s="6" t="str">
        <f>VLOOKUP(folha1[[#This Row],[Razão Social]],Planilha1!A:C,3,0)</f>
        <v>REGIONAL</v>
      </c>
      <c r="F7" s="3" t="s">
        <v>55</v>
      </c>
      <c r="G7" s="3" t="s">
        <v>56</v>
      </c>
      <c r="H7" s="3" t="s">
        <v>57</v>
      </c>
      <c r="I7" s="3"/>
      <c r="J7" s="3" t="s">
        <v>58</v>
      </c>
      <c r="K7" s="3" t="s">
        <v>59</v>
      </c>
      <c r="L7" s="4">
        <v>840</v>
      </c>
      <c r="M7" s="4">
        <v>100</v>
      </c>
      <c r="N7" s="4" t="str">
        <f>IF(folha1[[#This Row],[Participação (%)]]=100,"BASE PRÓPRIA","BASE POOL")</f>
        <v>BASE PRÓPRIA</v>
      </c>
      <c r="O7" s="3" t="s">
        <v>60</v>
      </c>
      <c r="P7" s="5">
        <v>45964</v>
      </c>
    </row>
    <row r="8" spans="1:16" ht="19.95" customHeight="1" thickBot="1" x14ac:dyDescent="0.35">
      <c r="A8" s="3" t="s">
        <v>61</v>
      </c>
      <c r="B8" s="3" t="s">
        <v>62</v>
      </c>
      <c r="C8" s="6" t="str">
        <f>VLOOKUP(folha1[[#This Row],[Razão Social]],Planilha1!A:C,2,0)</f>
        <v xml:space="preserve">FÉLIX  </v>
      </c>
      <c r="D8" s="3" t="s">
        <v>15</v>
      </c>
      <c r="E8" s="6" t="str">
        <f>VLOOKUP(folha1[[#This Row],[Razão Social]],Planilha1!A:C,3,0)</f>
        <v>REGIONAL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K8" s="3" t="s">
        <v>68</v>
      </c>
      <c r="L8" s="4">
        <v>20120</v>
      </c>
      <c r="M8" s="4">
        <v>3.72</v>
      </c>
      <c r="N8" s="4" t="str">
        <f>IF(folha1[[#This Row],[Participação (%)]]=100,"BASE PRÓPRIA","BASE POOL")</f>
        <v>BASE POOL</v>
      </c>
      <c r="O8" s="3" t="s">
        <v>69</v>
      </c>
      <c r="P8" s="5">
        <v>45106</v>
      </c>
    </row>
    <row r="9" spans="1:16" ht="19.95" customHeight="1" thickBot="1" x14ac:dyDescent="0.35">
      <c r="A9" s="3" t="s">
        <v>70</v>
      </c>
      <c r="B9" s="3" t="s">
        <v>71</v>
      </c>
      <c r="C9" s="6" t="str">
        <f>VLOOKUP(folha1[[#This Row],[Razão Social]],Planilha1!A:C,2,0)</f>
        <v xml:space="preserve">RUFF CJ  </v>
      </c>
      <c r="D9" s="3" t="s">
        <v>15</v>
      </c>
      <c r="E9" s="6" t="str">
        <f>VLOOKUP(folha1[[#This Row],[Razão Social]],Planilha1!A:C,3,0)</f>
        <v>REGIONAL</v>
      </c>
      <c r="F9" s="3" t="s">
        <v>72</v>
      </c>
      <c r="G9" s="3" t="s">
        <v>73</v>
      </c>
      <c r="H9" s="3" t="s">
        <v>18</v>
      </c>
      <c r="I9" s="3"/>
      <c r="J9" s="3" t="s">
        <v>19</v>
      </c>
      <c r="K9" s="3" t="s">
        <v>20</v>
      </c>
      <c r="L9" s="4">
        <v>12900</v>
      </c>
      <c r="M9" s="4">
        <v>100</v>
      </c>
      <c r="N9" s="4" t="str">
        <f>IF(folha1[[#This Row],[Participação (%)]]=100,"BASE PRÓPRIA","BASE POOL")</f>
        <v>BASE PRÓPRIA</v>
      </c>
      <c r="O9" s="3" t="s">
        <v>74</v>
      </c>
      <c r="P9" s="5">
        <v>37939</v>
      </c>
    </row>
    <row r="10" spans="1:16" ht="19.95" customHeight="1" thickBot="1" x14ac:dyDescent="0.35">
      <c r="A10" s="3" t="s">
        <v>75</v>
      </c>
      <c r="B10" s="3" t="s">
        <v>71</v>
      </c>
      <c r="C10" s="6" t="str">
        <f>VLOOKUP(folha1[[#This Row],[Razão Social]],Planilha1!A:C,2,0)</f>
        <v xml:space="preserve">RUFF CJ  </v>
      </c>
      <c r="D10" s="3" t="s">
        <v>15</v>
      </c>
      <c r="E10" s="6" t="str">
        <f>VLOOKUP(folha1[[#This Row],[Razão Social]],Planilha1!A:C,3,0)</f>
        <v>REGIONAL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80</v>
      </c>
      <c r="K10" s="3" t="s">
        <v>20</v>
      </c>
      <c r="L10" s="4">
        <v>9940</v>
      </c>
      <c r="M10" s="4">
        <v>100</v>
      </c>
      <c r="N10" s="4" t="str">
        <f>IF(folha1[[#This Row],[Participação (%)]]=100,"BASE PRÓPRIA","BASE POOL")</f>
        <v>BASE PRÓPRIA</v>
      </c>
      <c r="O10" s="3" t="s">
        <v>81</v>
      </c>
      <c r="P10" s="5">
        <v>43983</v>
      </c>
    </row>
    <row r="11" spans="1:16" ht="19.95" customHeight="1" thickBot="1" x14ac:dyDescent="0.35">
      <c r="A11" s="3" t="s">
        <v>82</v>
      </c>
      <c r="B11" s="3" t="s">
        <v>71</v>
      </c>
      <c r="C11" s="6" t="str">
        <f>VLOOKUP(folha1[[#This Row],[Razão Social]],Planilha1!A:C,2,0)</f>
        <v xml:space="preserve">RUFF CJ  </v>
      </c>
      <c r="D11" s="3" t="s">
        <v>15</v>
      </c>
      <c r="E11" s="6" t="str">
        <f>VLOOKUP(folha1[[#This Row],[Razão Social]],Planilha1!A:C,3,0)</f>
        <v>REGIONAL</v>
      </c>
      <c r="F11" s="3" t="s">
        <v>83</v>
      </c>
      <c r="G11" s="3" t="s">
        <v>84</v>
      </c>
      <c r="H11" s="3" t="s">
        <v>85</v>
      </c>
      <c r="I11" s="3"/>
      <c r="J11" s="3" t="s">
        <v>86</v>
      </c>
      <c r="K11" s="3" t="s">
        <v>87</v>
      </c>
      <c r="L11" s="4">
        <v>833.27</v>
      </c>
      <c r="M11" s="4">
        <v>100</v>
      </c>
      <c r="N11" s="4" t="str">
        <f>IF(folha1[[#This Row],[Participação (%)]]=100,"BASE PRÓPRIA","BASE POOL")</f>
        <v>BASE PRÓPRIA</v>
      </c>
      <c r="O11" s="3" t="s">
        <v>88</v>
      </c>
      <c r="P11" s="5">
        <v>44468</v>
      </c>
    </row>
    <row r="12" spans="1:16" ht="19.95" customHeight="1" thickBot="1" x14ac:dyDescent="0.35">
      <c r="A12" s="3" t="s">
        <v>89</v>
      </c>
      <c r="B12" s="3" t="s">
        <v>71</v>
      </c>
      <c r="C12" s="6" t="str">
        <f>VLOOKUP(folha1[[#This Row],[Razão Social]],Planilha1!A:C,2,0)</f>
        <v xml:space="preserve">RUFF CJ  </v>
      </c>
      <c r="D12" s="3" t="s">
        <v>15</v>
      </c>
      <c r="E12" s="6" t="str">
        <f>VLOOKUP(folha1[[#This Row],[Razão Social]],Planilha1!A:C,3,0)</f>
        <v>REGIONAL</v>
      </c>
      <c r="F12" s="3" t="s">
        <v>90</v>
      </c>
      <c r="G12" s="3" t="s">
        <v>91</v>
      </c>
      <c r="H12" s="3" t="s">
        <v>92</v>
      </c>
      <c r="I12" s="3"/>
      <c r="J12" s="3" t="s">
        <v>93</v>
      </c>
      <c r="K12" s="3" t="s">
        <v>87</v>
      </c>
      <c r="L12" s="4">
        <v>1563.5</v>
      </c>
      <c r="M12" s="4">
        <v>100</v>
      </c>
      <c r="N12" s="4" t="str">
        <f>IF(folha1[[#This Row],[Participação (%)]]=100,"BASE PRÓPRIA","BASE POOL")</f>
        <v>BASE PRÓPRIA</v>
      </c>
      <c r="O12" s="3" t="s">
        <v>94</v>
      </c>
      <c r="P12" s="5">
        <v>44531</v>
      </c>
    </row>
    <row r="13" spans="1:16" ht="19.95" customHeight="1" thickBot="1" x14ac:dyDescent="0.35">
      <c r="A13" s="3" t="s">
        <v>95</v>
      </c>
      <c r="B13" s="3" t="s">
        <v>96</v>
      </c>
      <c r="C13" s="6" t="str">
        <f>VLOOKUP(folha1[[#This Row],[Razão Social]],Planilha1!A:C,2,0)</f>
        <v xml:space="preserve">PELIKANO  </v>
      </c>
      <c r="D13" s="3" t="s">
        <v>15</v>
      </c>
      <c r="E13" s="6" t="str">
        <f>VLOOKUP(folha1[[#This Row],[Razão Social]],Planilha1!A:C,3,0)</f>
        <v>REGIONAL</v>
      </c>
      <c r="F13" s="3" t="s">
        <v>97</v>
      </c>
      <c r="G13" s="3" t="s">
        <v>98</v>
      </c>
      <c r="H13" s="3" t="s">
        <v>99</v>
      </c>
      <c r="I13" s="3"/>
      <c r="J13" s="3" t="s">
        <v>43</v>
      </c>
      <c r="K13" s="3" t="s">
        <v>44</v>
      </c>
      <c r="L13" s="4">
        <v>1723.05</v>
      </c>
      <c r="M13" s="4">
        <v>100</v>
      </c>
      <c r="N13" s="4" t="str">
        <f>IF(folha1[[#This Row],[Participação (%)]]=100,"BASE PRÓPRIA","BASE POOL")</f>
        <v>BASE PRÓPRIA</v>
      </c>
      <c r="O13" s="3"/>
      <c r="P13" s="5"/>
    </row>
    <row r="14" spans="1:16" ht="19.95" customHeight="1" thickBot="1" x14ac:dyDescent="0.35">
      <c r="A14" s="3" t="s">
        <v>100</v>
      </c>
      <c r="B14" s="3" t="s">
        <v>101</v>
      </c>
      <c r="C14" s="6" t="str">
        <f>VLOOKUP(folha1[[#This Row],[Razão Social]],Planilha1!A:C,2,0)</f>
        <v>SIMARELLI  .</v>
      </c>
      <c r="D14" s="3" t="s">
        <v>15</v>
      </c>
      <c r="E14" s="6" t="str">
        <f>VLOOKUP(folha1[[#This Row],[Razão Social]],Planilha1!A:C,3,0)</f>
        <v>REGIONAL</v>
      </c>
      <c r="F14" s="3" t="s">
        <v>102</v>
      </c>
      <c r="G14" s="3" t="s">
        <v>103</v>
      </c>
      <c r="H14" s="3" t="s">
        <v>18</v>
      </c>
      <c r="I14" s="3" t="s">
        <v>104</v>
      </c>
      <c r="J14" s="3" t="s">
        <v>19</v>
      </c>
      <c r="K14" s="3" t="s">
        <v>20</v>
      </c>
      <c r="L14" s="4">
        <v>9269.2199999999993</v>
      </c>
      <c r="M14" s="4">
        <v>100</v>
      </c>
      <c r="N14" s="4" t="str">
        <f>IF(folha1[[#This Row],[Participação (%)]]=100,"BASE PRÓPRIA","BASE POOL")</f>
        <v>BASE PRÓPRIA</v>
      </c>
      <c r="O14" s="3" t="s">
        <v>105</v>
      </c>
      <c r="P14" s="5">
        <v>40939</v>
      </c>
    </row>
    <row r="15" spans="1:16" ht="19.95" customHeight="1" thickBot="1" x14ac:dyDescent="0.35">
      <c r="A15" s="3" t="s">
        <v>106</v>
      </c>
      <c r="B15" s="3" t="s">
        <v>101</v>
      </c>
      <c r="C15" s="6" t="str">
        <f>VLOOKUP(folha1[[#This Row],[Razão Social]],Planilha1!A:C,2,0)</f>
        <v>SIMARELLI  .</v>
      </c>
      <c r="D15" s="3" t="s">
        <v>15</v>
      </c>
      <c r="E15" s="6" t="str">
        <f>VLOOKUP(folha1[[#This Row],[Razão Social]],Planilha1!A:C,3,0)</f>
        <v>REGIONAL</v>
      </c>
      <c r="F15" s="3" t="s">
        <v>107</v>
      </c>
      <c r="G15" s="3" t="s">
        <v>108</v>
      </c>
      <c r="H15" s="3" t="s">
        <v>109</v>
      </c>
      <c r="I15" s="3" t="s">
        <v>110</v>
      </c>
      <c r="J15" s="3" t="s">
        <v>111</v>
      </c>
      <c r="K15" s="3" t="s">
        <v>68</v>
      </c>
      <c r="L15" s="4">
        <v>950</v>
      </c>
      <c r="M15" s="4">
        <v>100</v>
      </c>
      <c r="N15" s="4" t="str">
        <f>IF(folha1[[#This Row],[Participação (%)]]=100,"BASE PRÓPRIA","BASE POOL")</f>
        <v>BASE PRÓPRIA</v>
      </c>
      <c r="O15" s="3" t="s">
        <v>112</v>
      </c>
      <c r="P15" s="5">
        <v>44174</v>
      </c>
    </row>
    <row r="16" spans="1:16" ht="19.95" customHeight="1" thickBot="1" x14ac:dyDescent="0.35">
      <c r="A16" s="3" t="s">
        <v>113</v>
      </c>
      <c r="B16" s="3" t="s">
        <v>101</v>
      </c>
      <c r="C16" s="6" t="str">
        <f>VLOOKUP(folha1[[#This Row],[Razão Social]],Planilha1!A:C,2,0)</f>
        <v>SIMARELLI  .</v>
      </c>
      <c r="D16" s="3" t="s">
        <v>15</v>
      </c>
      <c r="E16" s="6" t="str">
        <f>VLOOKUP(folha1[[#This Row],[Razão Social]],Planilha1!A:C,3,0)</f>
        <v>REGIONAL</v>
      </c>
      <c r="F16" s="3" t="s">
        <v>114</v>
      </c>
      <c r="G16" s="3" t="s">
        <v>64</v>
      </c>
      <c r="H16" s="3" t="s">
        <v>115</v>
      </c>
      <c r="I16" s="3" t="s">
        <v>116</v>
      </c>
      <c r="J16" s="3" t="s">
        <v>117</v>
      </c>
      <c r="K16" s="3" t="s">
        <v>118</v>
      </c>
      <c r="L16" s="4">
        <v>855.41</v>
      </c>
      <c r="M16" s="4">
        <v>100</v>
      </c>
      <c r="N16" s="4" t="str">
        <f>IF(folha1[[#This Row],[Participação (%)]]=100,"BASE PRÓPRIA","BASE POOL")</f>
        <v>BASE PRÓPRIA</v>
      </c>
      <c r="O16" s="3" t="s">
        <v>119</v>
      </c>
      <c r="P16" s="5">
        <v>44061</v>
      </c>
    </row>
    <row r="17" spans="1:16" ht="19.95" customHeight="1" thickBot="1" x14ac:dyDescent="0.35">
      <c r="A17" s="3" t="s">
        <v>120</v>
      </c>
      <c r="B17" s="3" t="s">
        <v>121</v>
      </c>
      <c r="C17" s="6" t="str">
        <f>VLOOKUP(folha1[[#This Row],[Razão Social]],Planilha1!A:C,2,0)</f>
        <v xml:space="preserve">LIDERPETRO  </v>
      </c>
      <c r="D17" s="3" t="s">
        <v>15</v>
      </c>
      <c r="E17" s="6" t="str">
        <f>VLOOKUP(folha1[[#This Row],[Razão Social]],Planilha1!A:C,3,0)</f>
        <v>REGIONAL</v>
      </c>
      <c r="F17" s="3" t="s">
        <v>122</v>
      </c>
      <c r="G17" s="3" t="s">
        <v>123</v>
      </c>
      <c r="H17" s="3" t="s">
        <v>124</v>
      </c>
      <c r="I17" s="3" t="s">
        <v>125</v>
      </c>
      <c r="J17" s="3" t="s">
        <v>126</v>
      </c>
      <c r="K17" s="3" t="s">
        <v>87</v>
      </c>
      <c r="L17" s="4">
        <v>6123.7</v>
      </c>
      <c r="M17" s="4">
        <v>30.55</v>
      </c>
      <c r="N17" s="4" t="str">
        <f>IF(folha1[[#This Row],[Participação (%)]]=100,"BASE PRÓPRIA","BASE POOL")</f>
        <v>BASE POOL</v>
      </c>
      <c r="O17" s="3" t="s">
        <v>127</v>
      </c>
      <c r="P17" s="5">
        <v>46104</v>
      </c>
    </row>
    <row r="18" spans="1:16" ht="19.95" customHeight="1" thickBot="1" x14ac:dyDescent="0.35">
      <c r="A18" s="3" t="s">
        <v>128</v>
      </c>
      <c r="B18" s="3" t="s">
        <v>121</v>
      </c>
      <c r="C18" s="6" t="str">
        <f>VLOOKUP(folha1[[#This Row],[Razão Social]],Planilha1!A:C,2,0)</f>
        <v xml:space="preserve">LIDERPETRO  </v>
      </c>
      <c r="D18" s="3" t="s">
        <v>15</v>
      </c>
      <c r="E18" s="6" t="str">
        <f>VLOOKUP(folha1[[#This Row],[Razão Social]],Planilha1!A:C,3,0)</f>
        <v>REGIONAL</v>
      </c>
      <c r="F18" s="3" t="s">
        <v>129</v>
      </c>
      <c r="G18" s="3" t="s">
        <v>24</v>
      </c>
      <c r="H18" s="3" t="s">
        <v>130</v>
      </c>
      <c r="I18" s="3" t="s">
        <v>131</v>
      </c>
      <c r="J18" s="3" t="s">
        <v>27</v>
      </c>
      <c r="K18" s="3" t="s">
        <v>28</v>
      </c>
      <c r="L18" s="4">
        <v>13681.7</v>
      </c>
      <c r="M18" s="4">
        <v>6</v>
      </c>
      <c r="N18" s="4" t="str">
        <f>IF(folha1[[#This Row],[Participação (%)]]=100,"BASE PRÓPRIA","BASE POOL")</f>
        <v>BASE POOL</v>
      </c>
      <c r="O18" s="3" t="s">
        <v>132</v>
      </c>
      <c r="P18" s="5">
        <v>45817</v>
      </c>
    </row>
    <row r="19" spans="1:16" ht="19.95" customHeight="1" thickBot="1" x14ac:dyDescent="0.35">
      <c r="A19" s="3" t="s">
        <v>133</v>
      </c>
      <c r="B19" s="3" t="s">
        <v>134</v>
      </c>
      <c r="C19" s="6" t="str">
        <f>VLOOKUP(folha1[[#This Row],[Razão Social]],Planilha1!A:C,2,0)</f>
        <v xml:space="preserve">PETROBAHIA </v>
      </c>
      <c r="D19" s="3" t="s">
        <v>15</v>
      </c>
      <c r="E19" s="6" t="str">
        <f>VLOOKUP(folha1[[#This Row],[Razão Social]],Planilha1!A:C,3,0)</f>
        <v>REGIONAL</v>
      </c>
      <c r="F19" s="3" t="s">
        <v>135</v>
      </c>
      <c r="G19" s="3" t="s">
        <v>64</v>
      </c>
      <c r="H19" s="3" t="s">
        <v>136</v>
      </c>
      <c r="I19" s="3" t="s">
        <v>137</v>
      </c>
      <c r="J19" s="3" t="s">
        <v>138</v>
      </c>
      <c r="K19" s="3" t="s">
        <v>139</v>
      </c>
      <c r="L19" s="4">
        <v>5426.63</v>
      </c>
      <c r="M19" s="4">
        <v>100</v>
      </c>
      <c r="N19" s="4" t="str">
        <f>IF(folha1[[#This Row],[Participação (%)]]=100,"BASE PRÓPRIA","BASE POOL")</f>
        <v>BASE PRÓPRIA</v>
      </c>
      <c r="O19" s="3" t="s">
        <v>140</v>
      </c>
      <c r="P19" s="5">
        <v>43983</v>
      </c>
    </row>
    <row r="20" spans="1:16" ht="19.95" customHeight="1" thickBot="1" x14ac:dyDescent="0.35">
      <c r="A20" s="3" t="s">
        <v>141</v>
      </c>
      <c r="B20" s="3" t="s">
        <v>134</v>
      </c>
      <c r="C20" s="6" t="str">
        <f>VLOOKUP(folha1[[#This Row],[Razão Social]],Planilha1!A:C,2,0)</f>
        <v xml:space="preserve">PETROBAHIA </v>
      </c>
      <c r="D20" s="3" t="s">
        <v>15</v>
      </c>
      <c r="E20" s="6" t="str">
        <f>VLOOKUP(folha1[[#This Row],[Razão Social]],Planilha1!A:C,3,0)</f>
        <v>REGIONAL</v>
      </c>
      <c r="F20" s="3" t="s">
        <v>142</v>
      </c>
      <c r="G20" s="3" t="s">
        <v>24</v>
      </c>
      <c r="H20" s="3" t="s">
        <v>143</v>
      </c>
      <c r="I20" s="3"/>
      <c r="J20" s="3" t="s">
        <v>144</v>
      </c>
      <c r="K20" s="3" t="s">
        <v>139</v>
      </c>
      <c r="L20" s="4">
        <v>2024.6</v>
      </c>
      <c r="M20" s="4">
        <v>100</v>
      </c>
      <c r="N20" s="4" t="str">
        <f>IF(folha1[[#This Row],[Participação (%)]]=100,"BASE PRÓPRIA","BASE POOL")</f>
        <v>BASE PRÓPRIA</v>
      </c>
      <c r="O20" s="3" t="s">
        <v>145</v>
      </c>
      <c r="P20" s="5">
        <v>43601</v>
      </c>
    </row>
    <row r="21" spans="1:16" ht="19.95" customHeight="1" thickBot="1" x14ac:dyDescent="0.35">
      <c r="A21" s="3" t="s">
        <v>146</v>
      </c>
      <c r="B21" s="3" t="s">
        <v>134</v>
      </c>
      <c r="C21" s="6" t="str">
        <f>VLOOKUP(folha1[[#This Row],[Razão Social]],Planilha1!A:C,2,0)</f>
        <v xml:space="preserve">PETROBAHIA </v>
      </c>
      <c r="D21" s="3" t="s">
        <v>15</v>
      </c>
      <c r="E21" s="6" t="str">
        <f>VLOOKUP(folha1[[#This Row],[Razão Social]],Planilha1!A:C,3,0)</f>
        <v>REGIONAL</v>
      </c>
      <c r="F21" s="3" t="s">
        <v>147</v>
      </c>
      <c r="G21" s="3" t="s">
        <v>148</v>
      </c>
      <c r="H21" s="3" t="s">
        <v>149</v>
      </c>
      <c r="I21" s="3"/>
      <c r="J21" s="3" t="s">
        <v>150</v>
      </c>
      <c r="K21" s="3" t="s">
        <v>139</v>
      </c>
      <c r="L21" s="4">
        <v>3399.75</v>
      </c>
      <c r="M21" s="4">
        <v>100</v>
      </c>
      <c r="N21" s="4" t="str">
        <f>IF(folha1[[#This Row],[Participação (%)]]=100,"BASE PRÓPRIA","BASE POOL")</f>
        <v>BASE PRÓPRIA</v>
      </c>
      <c r="O21" s="3" t="s">
        <v>151</v>
      </c>
      <c r="P21" s="5">
        <v>45644</v>
      </c>
    </row>
    <row r="22" spans="1:16" ht="19.95" customHeight="1" thickBot="1" x14ac:dyDescent="0.35">
      <c r="A22" s="3" t="s">
        <v>152</v>
      </c>
      <c r="B22" s="3" t="s">
        <v>134</v>
      </c>
      <c r="C22" s="6" t="str">
        <f>VLOOKUP(folha1[[#This Row],[Razão Social]],Planilha1!A:C,2,0)</f>
        <v xml:space="preserve">PETROBAHIA </v>
      </c>
      <c r="D22" s="3" t="s">
        <v>15</v>
      </c>
      <c r="E22" s="6" t="str">
        <f>VLOOKUP(folha1[[#This Row],[Razão Social]],Planilha1!A:C,3,0)</f>
        <v>REGIONAL</v>
      </c>
      <c r="F22" s="3" t="s">
        <v>153</v>
      </c>
      <c r="G22" s="3" t="s">
        <v>64</v>
      </c>
      <c r="H22" s="3" t="s">
        <v>154</v>
      </c>
      <c r="I22" s="3" t="s">
        <v>155</v>
      </c>
      <c r="J22" s="3" t="s">
        <v>156</v>
      </c>
      <c r="K22" s="3" t="s">
        <v>139</v>
      </c>
      <c r="L22" s="4">
        <v>15864.46</v>
      </c>
      <c r="M22" s="4">
        <v>100</v>
      </c>
      <c r="N22" s="4" t="str">
        <f>IF(folha1[[#This Row],[Participação (%)]]=100,"BASE PRÓPRIA","BASE POOL")</f>
        <v>BASE PRÓPRIA</v>
      </c>
      <c r="O22" s="3" t="s">
        <v>157</v>
      </c>
      <c r="P22" s="5">
        <v>44606</v>
      </c>
    </row>
    <row r="23" spans="1:16" ht="19.95" customHeight="1" thickBot="1" x14ac:dyDescent="0.35">
      <c r="A23" s="3" t="s">
        <v>158</v>
      </c>
      <c r="B23" s="3" t="s">
        <v>134</v>
      </c>
      <c r="C23" s="6" t="str">
        <f>VLOOKUP(folha1[[#This Row],[Razão Social]],Planilha1!A:C,2,0)</f>
        <v xml:space="preserve">PETROBAHIA </v>
      </c>
      <c r="D23" s="3" t="s">
        <v>15</v>
      </c>
      <c r="E23" s="6" t="str">
        <f>VLOOKUP(folha1[[#This Row],[Razão Social]],Planilha1!A:C,3,0)</f>
        <v>REGIONAL</v>
      </c>
      <c r="F23" s="3" t="s">
        <v>159</v>
      </c>
      <c r="G23" s="3" t="s">
        <v>64</v>
      </c>
      <c r="H23" s="3" t="s">
        <v>92</v>
      </c>
      <c r="I23" s="3" t="s">
        <v>160</v>
      </c>
      <c r="J23" s="3" t="s">
        <v>161</v>
      </c>
      <c r="K23" s="3" t="s">
        <v>162</v>
      </c>
      <c r="L23" s="4">
        <v>1140</v>
      </c>
      <c r="M23" s="4">
        <v>100</v>
      </c>
      <c r="N23" s="4" t="str">
        <f>IF(folha1[[#This Row],[Participação (%)]]=100,"BASE PRÓPRIA","BASE POOL")</f>
        <v>BASE PRÓPRIA</v>
      </c>
      <c r="O23" s="3" t="s">
        <v>163</v>
      </c>
      <c r="P23" s="5">
        <v>45048</v>
      </c>
    </row>
    <row r="24" spans="1:16" ht="19.95" customHeight="1" thickBot="1" x14ac:dyDescent="0.35">
      <c r="A24" s="3" t="s">
        <v>164</v>
      </c>
      <c r="B24" s="3" t="s">
        <v>134</v>
      </c>
      <c r="C24" s="6" t="str">
        <f>VLOOKUP(folha1[[#This Row],[Razão Social]],Planilha1!A:C,2,0)</f>
        <v xml:space="preserve">PETROBAHIA </v>
      </c>
      <c r="D24" s="3" t="s">
        <v>15</v>
      </c>
      <c r="E24" s="6" t="str">
        <f>VLOOKUP(folha1[[#This Row],[Razão Social]],Planilha1!A:C,3,0)</f>
        <v>REGIONAL</v>
      </c>
      <c r="F24" s="3" t="s">
        <v>129</v>
      </c>
      <c r="G24" s="3" t="s">
        <v>24</v>
      </c>
      <c r="H24" s="3" t="s">
        <v>130</v>
      </c>
      <c r="I24" s="3" t="s">
        <v>131</v>
      </c>
      <c r="J24" s="3" t="s">
        <v>27</v>
      </c>
      <c r="K24" s="3" t="s">
        <v>28</v>
      </c>
      <c r="L24" s="4">
        <v>13681.7</v>
      </c>
      <c r="M24" s="4">
        <v>6</v>
      </c>
      <c r="N24" s="4" t="str">
        <f>IF(folha1[[#This Row],[Participação (%)]]=100,"BASE PRÓPRIA","BASE POOL")</f>
        <v>BASE POOL</v>
      </c>
      <c r="O24" s="3" t="s">
        <v>132</v>
      </c>
      <c r="P24" s="5">
        <v>45817</v>
      </c>
    </row>
    <row r="25" spans="1:16" ht="19.95" customHeight="1" thickBot="1" x14ac:dyDescent="0.35">
      <c r="A25" s="3" t="s">
        <v>165</v>
      </c>
      <c r="B25" s="3" t="s">
        <v>166</v>
      </c>
      <c r="C25" s="6" t="str">
        <f>VLOOKUP(folha1[[#This Row],[Razão Social]],Planilha1!A:C,2,0)</f>
        <v xml:space="preserve">TRANSO COMBUSTÍVEIS </v>
      </c>
      <c r="D25" s="3" t="s">
        <v>15</v>
      </c>
      <c r="E25" s="6" t="str">
        <f>VLOOKUP(folha1[[#This Row],[Razão Social]],Planilha1!A:C,3,0)</f>
        <v>REGIONAL</v>
      </c>
      <c r="F25" s="3" t="s">
        <v>167</v>
      </c>
      <c r="G25" s="3" t="s">
        <v>168</v>
      </c>
      <c r="H25" s="3" t="s">
        <v>169</v>
      </c>
      <c r="I25" s="3"/>
      <c r="J25" s="3" t="s">
        <v>19</v>
      </c>
      <c r="K25" s="3" t="s">
        <v>20</v>
      </c>
      <c r="L25" s="4">
        <v>19710</v>
      </c>
      <c r="M25" s="4">
        <v>69.900000000000006</v>
      </c>
      <c r="N25" s="4" t="str">
        <f>IF(folha1[[#This Row],[Participação (%)]]=100,"BASE PRÓPRIA","BASE POOL")</f>
        <v>BASE POOL</v>
      </c>
      <c r="O25" s="3" t="s">
        <v>170</v>
      </c>
      <c r="P25" s="5">
        <v>43810</v>
      </c>
    </row>
    <row r="26" spans="1:16" ht="19.95" customHeight="1" thickBot="1" x14ac:dyDescent="0.35">
      <c r="A26" s="3" t="s">
        <v>171</v>
      </c>
      <c r="B26" s="3" t="s">
        <v>172</v>
      </c>
      <c r="C26" s="6" t="str">
        <f>VLOOKUP(folha1[[#This Row],[Razão Social]],Planilha1!A:C,2,0)</f>
        <v>PETRO DALLAS DO BRASIL .</v>
      </c>
      <c r="D26" s="3" t="s">
        <v>15</v>
      </c>
      <c r="E26" s="6" t="str">
        <f>VLOOKUP(folha1[[#This Row],[Razão Social]],Planilha1!A:C,3,0)</f>
        <v>REGIONAL</v>
      </c>
      <c r="F26" s="3" t="s">
        <v>173</v>
      </c>
      <c r="G26" s="3" t="s">
        <v>174</v>
      </c>
      <c r="H26" s="3" t="s">
        <v>175</v>
      </c>
      <c r="I26" s="3"/>
      <c r="J26" s="3" t="s">
        <v>126</v>
      </c>
      <c r="K26" s="3" t="s">
        <v>87</v>
      </c>
      <c r="L26" s="4">
        <v>5531.92</v>
      </c>
      <c r="M26" s="4">
        <v>86.44</v>
      </c>
      <c r="N26" s="4" t="str">
        <f>IF(folha1[[#This Row],[Participação (%)]]=100,"BASE PRÓPRIA","BASE POOL")</f>
        <v>BASE POOL</v>
      </c>
      <c r="O26" s="3" t="s">
        <v>176</v>
      </c>
      <c r="P26" s="5">
        <v>46162</v>
      </c>
    </row>
    <row r="27" spans="1:16" ht="19.95" customHeight="1" thickBot="1" x14ac:dyDescent="0.35">
      <c r="A27" s="3" t="s">
        <v>177</v>
      </c>
      <c r="B27" s="3" t="s">
        <v>178</v>
      </c>
      <c r="C27" s="6" t="str">
        <f>VLOOKUP(folha1[[#This Row],[Razão Social]],Planilha1!A:C,2,0)</f>
        <v>TDC  .</v>
      </c>
      <c r="D27" s="3" t="s">
        <v>15</v>
      </c>
      <c r="E27" s="6" t="str">
        <f>VLOOKUP(folha1[[#This Row],[Razão Social]],Planilha1!A:C,3,0)</f>
        <v>REGIONAL</v>
      </c>
      <c r="F27" s="3" t="s">
        <v>179</v>
      </c>
      <c r="G27" s="3" t="s">
        <v>64</v>
      </c>
      <c r="H27" s="3" t="s">
        <v>180</v>
      </c>
      <c r="I27" s="3" t="s">
        <v>181</v>
      </c>
      <c r="J27" s="3" t="s">
        <v>156</v>
      </c>
      <c r="K27" s="3" t="s">
        <v>139</v>
      </c>
      <c r="L27" s="4">
        <v>7172</v>
      </c>
      <c r="M27" s="4">
        <v>100</v>
      </c>
      <c r="N27" s="4" t="str">
        <f>IF(folha1[[#This Row],[Participação (%)]]=100,"BASE PRÓPRIA","BASE POOL")</f>
        <v>BASE PRÓPRIA</v>
      </c>
      <c r="O27" s="3" t="s">
        <v>182</v>
      </c>
      <c r="P27" s="5">
        <v>45575</v>
      </c>
    </row>
    <row r="28" spans="1:16" ht="19.95" customHeight="1" thickBot="1" x14ac:dyDescent="0.35">
      <c r="A28" s="3" t="s">
        <v>183</v>
      </c>
      <c r="B28" s="3" t="s">
        <v>178</v>
      </c>
      <c r="C28" s="6" t="str">
        <f>VLOOKUP(folha1[[#This Row],[Razão Social]],Planilha1!A:C,2,0)</f>
        <v>TDC  .</v>
      </c>
      <c r="D28" s="3" t="s">
        <v>15</v>
      </c>
      <c r="E28" s="6" t="str">
        <f>VLOOKUP(folha1[[#This Row],[Razão Social]],Planilha1!A:C,3,0)</f>
        <v>REGIONAL</v>
      </c>
      <c r="F28" s="3" t="s">
        <v>129</v>
      </c>
      <c r="G28" s="3" t="s">
        <v>24</v>
      </c>
      <c r="H28" s="3" t="s">
        <v>130</v>
      </c>
      <c r="I28" s="3" t="s">
        <v>131</v>
      </c>
      <c r="J28" s="3" t="s">
        <v>27</v>
      </c>
      <c r="K28" s="3" t="s">
        <v>28</v>
      </c>
      <c r="L28" s="4">
        <v>13681.7</v>
      </c>
      <c r="M28" s="4">
        <v>21.98</v>
      </c>
      <c r="N28" s="4" t="str">
        <f>IF(folha1[[#This Row],[Participação (%)]]=100,"BASE PRÓPRIA","BASE POOL")</f>
        <v>BASE POOL</v>
      </c>
      <c r="O28" s="3" t="s">
        <v>132</v>
      </c>
      <c r="P28" s="5">
        <v>45817</v>
      </c>
    </row>
    <row r="29" spans="1:16" ht="19.95" customHeight="1" thickBot="1" x14ac:dyDescent="0.35">
      <c r="A29" s="3" t="s">
        <v>184</v>
      </c>
      <c r="B29" s="3" t="s">
        <v>178</v>
      </c>
      <c r="C29" s="6" t="str">
        <f>VLOOKUP(folha1[[#This Row],[Razão Social]],Planilha1!A:C,2,0)</f>
        <v>TDC  .</v>
      </c>
      <c r="D29" s="3" t="s">
        <v>15</v>
      </c>
      <c r="E29" s="6" t="str">
        <f>VLOOKUP(folha1[[#This Row],[Razão Social]],Planilha1!A:C,3,0)</f>
        <v>REGIONAL</v>
      </c>
      <c r="F29" s="3" t="s">
        <v>185</v>
      </c>
      <c r="G29" s="3" t="s">
        <v>64</v>
      </c>
      <c r="H29" s="3" t="s">
        <v>186</v>
      </c>
      <c r="I29" s="3" t="s">
        <v>187</v>
      </c>
      <c r="J29" s="3" t="s">
        <v>188</v>
      </c>
      <c r="K29" s="3" t="s">
        <v>189</v>
      </c>
      <c r="L29" s="4">
        <v>6329.87</v>
      </c>
      <c r="M29" s="4">
        <v>33.33</v>
      </c>
      <c r="N29" s="4" t="str">
        <f>IF(folha1[[#This Row],[Participação (%)]]=100,"BASE PRÓPRIA","BASE POOL")</f>
        <v>BASE POOL</v>
      </c>
      <c r="O29" s="3" t="s">
        <v>190</v>
      </c>
      <c r="P29" s="5">
        <v>44141</v>
      </c>
    </row>
    <row r="30" spans="1:16" ht="19.95" customHeight="1" thickBot="1" x14ac:dyDescent="0.35">
      <c r="A30" s="3" t="s">
        <v>191</v>
      </c>
      <c r="B30" s="3" t="s">
        <v>178</v>
      </c>
      <c r="C30" s="6" t="str">
        <f>VLOOKUP(folha1[[#This Row],[Razão Social]],Planilha1!A:C,2,0)</f>
        <v>TDC  .</v>
      </c>
      <c r="D30" s="3" t="s">
        <v>15</v>
      </c>
      <c r="E30" s="6" t="str">
        <f>VLOOKUP(folha1[[#This Row],[Razão Social]],Planilha1!A:C,3,0)</f>
        <v>REGIONAL</v>
      </c>
      <c r="F30" s="3" t="s">
        <v>192</v>
      </c>
      <c r="G30" s="3" t="s">
        <v>24</v>
      </c>
      <c r="H30" s="3" t="s">
        <v>148</v>
      </c>
      <c r="I30" s="3"/>
      <c r="J30" s="3" t="s">
        <v>156</v>
      </c>
      <c r="K30" s="3" t="s">
        <v>139</v>
      </c>
      <c r="L30" s="4">
        <v>6747.18</v>
      </c>
      <c r="M30" s="4">
        <v>100</v>
      </c>
      <c r="N30" s="4" t="str">
        <f>IF(folha1[[#This Row],[Participação (%)]]=100,"BASE PRÓPRIA","BASE POOL")</f>
        <v>BASE PRÓPRIA</v>
      </c>
      <c r="O30" s="3" t="s">
        <v>193</v>
      </c>
      <c r="P30" s="5">
        <v>42814</v>
      </c>
    </row>
    <row r="31" spans="1:16" ht="19.95" customHeight="1" thickBot="1" x14ac:dyDescent="0.35">
      <c r="A31" s="3" t="s">
        <v>194</v>
      </c>
      <c r="B31" s="3" t="s">
        <v>178</v>
      </c>
      <c r="C31" s="6" t="str">
        <f>VLOOKUP(folha1[[#This Row],[Razão Social]],Planilha1!A:C,2,0)</f>
        <v>TDC  .</v>
      </c>
      <c r="D31" s="3" t="s">
        <v>15</v>
      </c>
      <c r="E31" s="6" t="str">
        <f>VLOOKUP(folha1[[#This Row],[Razão Social]],Planilha1!A:C,3,0)</f>
        <v>REGIONAL</v>
      </c>
      <c r="F31" s="3" t="s">
        <v>122</v>
      </c>
      <c r="G31" s="3" t="s">
        <v>123</v>
      </c>
      <c r="H31" s="3" t="s">
        <v>124</v>
      </c>
      <c r="I31" s="3" t="s">
        <v>125</v>
      </c>
      <c r="J31" s="3" t="s">
        <v>126</v>
      </c>
      <c r="K31" s="3" t="s">
        <v>87</v>
      </c>
      <c r="L31" s="4">
        <v>6123.7</v>
      </c>
      <c r="M31" s="4">
        <v>12.25</v>
      </c>
      <c r="N31" s="4" t="str">
        <f>IF(folha1[[#This Row],[Participação (%)]]=100,"BASE PRÓPRIA","BASE POOL")</f>
        <v>BASE POOL</v>
      </c>
      <c r="O31" s="3" t="s">
        <v>127</v>
      </c>
      <c r="P31" s="5">
        <v>46104</v>
      </c>
    </row>
    <row r="32" spans="1:16" ht="19.95" customHeight="1" thickBot="1" x14ac:dyDescent="0.35">
      <c r="A32" s="3" t="s">
        <v>195</v>
      </c>
      <c r="B32" s="3" t="s">
        <v>178</v>
      </c>
      <c r="C32" s="6" t="str">
        <f>VLOOKUP(folha1[[#This Row],[Razão Social]],Planilha1!A:C,2,0)</f>
        <v>TDC  .</v>
      </c>
      <c r="D32" s="3" t="s">
        <v>15</v>
      </c>
      <c r="E32" s="6" t="str">
        <f>VLOOKUP(folha1[[#This Row],[Razão Social]],Planilha1!A:C,3,0)</f>
        <v>REGIONAL</v>
      </c>
      <c r="F32" s="3" t="s">
        <v>196</v>
      </c>
      <c r="G32" s="3" t="s">
        <v>64</v>
      </c>
      <c r="H32" s="3" t="s">
        <v>197</v>
      </c>
      <c r="I32" s="3"/>
      <c r="J32" s="3" t="s">
        <v>198</v>
      </c>
      <c r="K32" s="3" t="s">
        <v>199</v>
      </c>
      <c r="L32" s="4">
        <v>10685.25</v>
      </c>
      <c r="M32" s="4">
        <v>100</v>
      </c>
      <c r="N32" s="4" t="str">
        <f>IF(folha1[[#This Row],[Participação (%)]]=100,"BASE PRÓPRIA","BASE POOL")</f>
        <v>BASE PRÓPRIA</v>
      </c>
      <c r="O32" s="3" t="s">
        <v>200</v>
      </c>
      <c r="P32" s="5">
        <v>44280</v>
      </c>
    </row>
    <row r="33" spans="1:16" ht="19.95" customHeight="1" thickBot="1" x14ac:dyDescent="0.35">
      <c r="A33" s="3" t="s">
        <v>201</v>
      </c>
      <c r="B33" s="3" t="s">
        <v>202</v>
      </c>
      <c r="C33" s="6" t="str">
        <f>VLOOKUP(folha1[[#This Row],[Razão Social]],Planilha1!A:C,2,0)</f>
        <v xml:space="preserve"> RIO BRANCO DE PETRÓLEO .</v>
      </c>
      <c r="D33" s="3" t="s">
        <v>15</v>
      </c>
      <c r="E33" s="6" t="str">
        <f>VLOOKUP(folha1[[#This Row],[Razão Social]],Planilha1!A:C,3,0)</f>
        <v>REGIONAL</v>
      </c>
      <c r="F33" s="3" t="s">
        <v>203</v>
      </c>
      <c r="G33" s="3" t="s">
        <v>204</v>
      </c>
      <c r="H33" s="3" t="s">
        <v>205</v>
      </c>
      <c r="I33" s="3"/>
      <c r="J33" s="3" t="s">
        <v>206</v>
      </c>
      <c r="K33" s="3" t="s">
        <v>87</v>
      </c>
      <c r="L33" s="4">
        <v>790.05</v>
      </c>
      <c r="M33" s="4">
        <v>100</v>
      </c>
      <c r="N33" s="4" t="str">
        <f>IF(folha1[[#This Row],[Participação (%)]]=100,"BASE PRÓPRIA","BASE POOL")</f>
        <v>BASE PRÓPRIA</v>
      </c>
      <c r="O33" s="3" t="s">
        <v>207</v>
      </c>
      <c r="P33" s="5">
        <v>43873</v>
      </c>
    </row>
    <row r="34" spans="1:16" ht="19.95" customHeight="1" thickBot="1" x14ac:dyDescent="0.35">
      <c r="A34" s="3" t="s">
        <v>208</v>
      </c>
      <c r="B34" s="3" t="s">
        <v>202</v>
      </c>
      <c r="C34" s="6" t="str">
        <f>VLOOKUP(folha1[[#This Row],[Razão Social]],Planilha1!A:C,2,0)</f>
        <v xml:space="preserve"> RIO BRANCO DE PETRÓLEO .</v>
      </c>
      <c r="D34" s="3" t="s">
        <v>15</v>
      </c>
      <c r="E34" s="6" t="str">
        <f>VLOOKUP(folha1[[#This Row],[Razão Social]],Planilha1!A:C,3,0)</f>
        <v>REGIONAL</v>
      </c>
      <c r="F34" s="3" t="s">
        <v>129</v>
      </c>
      <c r="G34" s="3" t="s">
        <v>24</v>
      </c>
      <c r="H34" s="3" t="s">
        <v>130</v>
      </c>
      <c r="I34" s="3" t="s">
        <v>131</v>
      </c>
      <c r="J34" s="3" t="s">
        <v>27</v>
      </c>
      <c r="K34" s="3" t="s">
        <v>28</v>
      </c>
      <c r="L34" s="4">
        <v>13681.7</v>
      </c>
      <c r="M34" s="4">
        <v>6</v>
      </c>
      <c r="N34" s="4" t="str">
        <f>IF(folha1[[#This Row],[Participação (%)]]=100,"BASE PRÓPRIA","BASE POOL")</f>
        <v>BASE POOL</v>
      </c>
      <c r="O34" s="3" t="s">
        <v>132</v>
      </c>
      <c r="P34" s="5">
        <v>45817</v>
      </c>
    </row>
    <row r="35" spans="1:16" ht="19.95" customHeight="1" thickBot="1" x14ac:dyDescent="0.35">
      <c r="A35" s="3" t="s">
        <v>209</v>
      </c>
      <c r="B35" s="3" t="s">
        <v>202</v>
      </c>
      <c r="C35" s="6" t="str">
        <f>VLOOKUP(folha1[[#This Row],[Razão Social]],Planilha1!A:C,2,0)</f>
        <v xml:space="preserve"> RIO BRANCO DE PETRÓLEO .</v>
      </c>
      <c r="D35" s="3" t="s">
        <v>15</v>
      </c>
      <c r="E35" s="6" t="str">
        <f>VLOOKUP(folha1[[#This Row],[Razão Social]],Planilha1!A:C,3,0)</f>
        <v>REGIONAL</v>
      </c>
      <c r="F35" s="3" t="s">
        <v>122</v>
      </c>
      <c r="G35" s="3" t="s">
        <v>123</v>
      </c>
      <c r="H35" s="3" t="s">
        <v>124</v>
      </c>
      <c r="I35" s="3" t="s">
        <v>125</v>
      </c>
      <c r="J35" s="3" t="s">
        <v>126</v>
      </c>
      <c r="K35" s="3" t="s">
        <v>87</v>
      </c>
      <c r="L35" s="4">
        <v>6123.7</v>
      </c>
      <c r="M35" s="4">
        <v>12.25</v>
      </c>
      <c r="N35" s="4" t="str">
        <f>IF(folha1[[#This Row],[Participação (%)]]=100,"BASE PRÓPRIA","BASE POOL")</f>
        <v>BASE POOL</v>
      </c>
      <c r="O35" s="3" t="s">
        <v>127</v>
      </c>
      <c r="P35" s="5">
        <v>46104</v>
      </c>
    </row>
    <row r="36" spans="1:16" ht="19.95" customHeight="1" thickBot="1" x14ac:dyDescent="0.35">
      <c r="A36" s="3" t="s">
        <v>210</v>
      </c>
      <c r="B36" s="3" t="s">
        <v>202</v>
      </c>
      <c r="C36" s="6" t="str">
        <f>VLOOKUP(folha1[[#This Row],[Razão Social]],Planilha1!A:C,2,0)</f>
        <v xml:space="preserve"> RIO BRANCO DE PETRÓLEO .</v>
      </c>
      <c r="D36" s="3" t="s">
        <v>15</v>
      </c>
      <c r="E36" s="6" t="str">
        <f>VLOOKUP(folha1[[#This Row],[Razão Social]],Planilha1!A:C,3,0)</f>
        <v>REGIONAL</v>
      </c>
      <c r="F36" s="3" t="s">
        <v>211</v>
      </c>
      <c r="G36" s="3" t="s">
        <v>212</v>
      </c>
      <c r="H36" s="3" t="s">
        <v>213</v>
      </c>
      <c r="I36" s="3" t="s">
        <v>214</v>
      </c>
      <c r="J36" s="3" t="s">
        <v>215</v>
      </c>
      <c r="K36" s="3" t="s">
        <v>87</v>
      </c>
      <c r="L36" s="4">
        <v>8187.78</v>
      </c>
      <c r="M36" s="4">
        <v>30</v>
      </c>
      <c r="N36" s="4" t="str">
        <f>IF(folha1[[#This Row],[Participação (%)]]=100,"BASE PRÓPRIA","BASE POOL")</f>
        <v>BASE POOL</v>
      </c>
      <c r="O36" s="3" t="s">
        <v>112</v>
      </c>
      <c r="P36" s="5">
        <v>43801</v>
      </c>
    </row>
    <row r="37" spans="1:16" ht="19.95" customHeight="1" thickBot="1" x14ac:dyDescent="0.35">
      <c r="A37" s="3" t="s">
        <v>216</v>
      </c>
      <c r="B37" s="3" t="s">
        <v>202</v>
      </c>
      <c r="C37" s="6" t="str">
        <f>VLOOKUP(folha1[[#This Row],[Razão Social]],Planilha1!A:C,2,0)</f>
        <v xml:space="preserve"> RIO BRANCO DE PETRÓLEO .</v>
      </c>
      <c r="D37" s="3" t="s">
        <v>15</v>
      </c>
      <c r="E37" s="6" t="str">
        <f>VLOOKUP(folha1[[#This Row],[Razão Social]],Planilha1!A:C,3,0)</f>
        <v>REGIONAL</v>
      </c>
      <c r="F37" s="3" t="s">
        <v>217</v>
      </c>
      <c r="G37" s="3" t="s">
        <v>218</v>
      </c>
      <c r="H37" s="3" t="s">
        <v>219</v>
      </c>
      <c r="I37" s="3"/>
      <c r="J37" s="3" t="s">
        <v>80</v>
      </c>
      <c r="K37" s="3" t="s">
        <v>20</v>
      </c>
      <c r="L37" s="4">
        <v>11732.83</v>
      </c>
      <c r="M37" s="4">
        <v>5.95</v>
      </c>
      <c r="N37" s="4" t="str">
        <f>IF(folha1[[#This Row],[Participação (%)]]=100,"BASE PRÓPRIA","BASE POOL")</f>
        <v>BASE POOL</v>
      </c>
      <c r="O37" s="3" t="s">
        <v>220</v>
      </c>
      <c r="P37" s="5">
        <v>45183</v>
      </c>
    </row>
    <row r="38" spans="1:16" ht="19.95" customHeight="1" thickBot="1" x14ac:dyDescent="0.35">
      <c r="A38" s="3" t="s">
        <v>221</v>
      </c>
      <c r="B38" s="3" t="s">
        <v>222</v>
      </c>
      <c r="C38" s="6" t="str">
        <f>VLOOKUP(folha1[[#This Row],[Razão Social]],Planilha1!A:C,2,0)</f>
        <v xml:space="preserve"> CHARRUA </v>
      </c>
      <c r="D38" s="3" t="s">
        <v>15</v>
      </c>
      <c r="E38" s="6" t="str">
        <f>VLOOKUP(folha1[[#This Row],[Razão Social]],Planilha1!A:C,3,0)</f>
        <v>REGIONAL</v>
      </c>
      <c r="F38" s="3" t="s">
        <v>223</v>
      </c>
      <c r="G38" s="3" t="s">
        <v>224</v>
      </c>
      <c r="H38" s="3" t="s">
        <v>225</v>
      </c>
      <c r="I38" s="3"/>
      <c r="J38" s="3" t="s">
        <v>226</v>
      </c>
      <c r="K38" s="3" t="s">
        <v>59</v>
      </c>
      <c r="L38" s="4">
        <v>1807.87</v>
      </c>
      <c r="M38" s="4">
        <v>100</v>
      </c>
      <c r="N38" s="4" t="str">
        <f>IF(folha1[[#This Row],[Participação (%)]]=100,"BASE PRÓPRIA","BASE POOL")</f>
        <v>BASE PRÓPRIA</v>
      </c>
      <c r="O38" s="3" t="s">
        <v>227</v>
      </c>
      <c r="P38" s="5">
        <v>37834</v>
      </c>
    </row>
    <row r="39" spans="1:16" ht="19.95" customHeight="1" thickBot="1" x14ac:dyDescent="0.35">
      <c r="A39" s="3" t="s">
        <v>228</v>
      </c>
      <c r="B39" s="3" t="s">
        <v>222</v>
      </c>
      <c r="C39" s="6" t="str">
        <f>VLOOKUP(folha1[[#This Row],[Razão Social]],Planilha1!A:C,2,0)</f>
        <v xml:space="preserve"> CHARRUA </v>
      </c>
      <c r="D39" s="3" t="s">
        <v>15</v>
      </c>
      <c r="E39" s="6" t="str">
        <f>VLOOKUP(folha1[[#This Row],[Razão Social]],Planilha1!A:C,3,0)</f>
        <v>REGIONAL</v>
      </c>
      <c r="F39" s="3" t="s">
        <v>229</v>
      </c>
      <c r="G39" s="3" t="s">
        <v>64</v>
      </c>
      <c r="H39" s="3" t="s">
        <v>230</v>
      </c>
      <c r="I39" s="3" t="s">
        <v>231</v>
      </c>
      <c r="J39" s="3" t="s">
        <v>232</v>
      </c>
      <c r="K39" s="3" t="s">
        <v>59</v>
      </c>
      <c r="L39" s="4">
        <v>4441.4399999999996</v>
      </c>
      <c r="M39" s="4">
        <v>100</v>
      </c>
      <c r="N39" s="4" t="str">
        <f>IF(folha1[[#This Row],[Participação (%)]]=100,"BASE PRÓPRIA","BASE POOL")</f>
        <v>BASE PRÓPRIA</v>
      </c>
      <c r="O39" s="3" t="s">
        <v>233</v>
      </c>
      <c r="P39" s="5">
        <v>44355</v>
      </c>
    </row>
    <row r="40" spans="1:16" ht="19.95" customHeight="1" thickBot="1" x14ac:dyDescent="0.35">
      <c r="A40" s="3" t="s">
        <v>234</v>
      </c>
      <c r="B40" s="3" t="s">
        <v>235</v>
      </c>
      <c r="C40" s="6" t="str">
        <f>VLOOKUP(folha1[[#This Row],[Razão Social]],Planilha1!A:C,2,0)</f>
        <v xml:space="preserve">ROYAL FIC  </v>
      </c>
      <c r="D40" s="3" t="s">
        <v>15</v>
      </c>
      <c r="E40" s="6" t="str">
        <f>VLOOKUP(folha1[[#This Row],[Razão Social]],Planilha1!A:C,3,0)</f>
        <v>REGIONAL</v>
      </c>
      <c r="F40" s="3" t="s">
        <v>236</v>
      </c>
      <c r="G40" s="3" t="s">
        <v>237</v>
      </c>
      <c r="H40" s="3" t="s">
        <v>238</v>
      </c>
      <c r="I40" s="3" t="s">
        <v>239</v>
      </c>
      <c r="J40" s="3" t="s">
        <v>19</v>
      </c>
      <c r="K40" s="3" t="s">
        <v>20</v>
      </c>
      <c r="L40" s="4">
        <v>11741.72</v>
      </c>
      <c r="M40" s="4">
        <v>100</v>
      </c>
      <c r="N40" s="4" t="str">
        <f>IF(folha1[[#This Row],[Participação (%)]]=100,"BASE PRÓPRIA","BASE POOL")</f>
        <v>BASE PRÓPRIA</v>
      </c>
      <c r="O40" s="3" t="s">
        <v>240</v>
      </c>
      <c r="P40" s="5">
        <v>44525</v>
      </c>
    </row>
    <row r="41" spans="1:16" ht="19.95" customHeight="1" thickBot="1" x14ac:dyDescent="0.35">
      <c r="A41" s="3" t="s">
        <v>241</v>
      </c>
      <c r="B41" s="3" t="s">
        <v>235</v>
      </c>
      <c r="C41" s="6" t="str">
        <f>VLOOKUP(folha1[[#This Row],[Razão Social]],Planilha1!A:C,2,0)</f>
        <v xml:space="preserve">ROYAL FIC  </v>
      </c>
      <c r="D41" s="3" t="s">
        <v>15</v>
      </c>
      <c r="E41" s="6" t="str">
        <f>VLOOKUP(folha1[[#This Row],[Razão Social]],Planilha1!A:C,3,0)</f>
        <v>REGIONAL</v>
      </c>
      <c r="F41" s="3" t="s">
        <v>129</v>
      </c>
      <c r="G41" s="3" t="s">
        <v>24</v>
      </c>
      <c r="H41" s="3" t="s">
        <v>130</v>
      </c>
      <c r="I41" s="3" t="s">
        <v>131</v>
      </c>
      <c r="J41" s="3" t="s">
        <v>27</v>
      </c>
      <c r="K41" s="3" t="s">
        <v>28</v>
      </c>
      <c r="L41" s="4">
        <v>13681.7</v>
      </c>
      <c r="M41" s="4">
        <v>6</v>
      </c>
      <c r="N41" s="4" t="str">
        <f>IF(folha1[[#This Row],[Participação (%)]]=100,"BASE PRÓPRIA","BASE POOL")</f>
        <v>BASE POOL</v>
      </c>
      <c r="O41" s="3" t="s">
        <v>132</v>
      </c>
      <c r="P41" s="5">
        <v>45817</v>
      </c>
    </row>
    <row r="42" spans="1:16" ht="19.95" customHeight="1" thickBot="1" x14ac:dyDescent="0.35">
      <c r="A42" s="3" t="s">
        <v>242</v>
      </c>
      <c r="B42" s="3" t="s">
        <v>235</v>
      </c>
      <c r="C42" s="6" t="str">
        <f>VLOOKUP(folha1[[#This Row],[Razão Social]],Planilha1!A:C,2,0)</f>
        <v xml:space="preserve">ROYAL FIC  </v>
      </c>
      <c r="D42" s="3" t="s">
        <v>15</v>
      </c>
      <c r="E42" s="6" t="str">
        <f>VLOOKUP(folha1[[#This Row],[Razão Social]],Planilha1!A:C,3,0)</f>
        <v>REGIONAL</v>
      </c>
      <c r="F42" s="3" t="s">
        <v>243</v>
      </c>
      <c r="G42" s="3" t="s">
        <v>244</v>
      </c>
      <c r="H42" s="3" t="s">
        <v>175</v>
      </c>
      <c r="I42" s="3" t="s">
        <v>245</v>
      </c>
      <c r="J42" s="3" t="s">
        <v>117</v>
      </c>
      <c r="K42" s="3" t="s">
        <v>118</v>
      </c>
      <c r="L42" s="4">
        <v>7704.49</v>
      </c>
      <c r="M42" s="4">
        <v>100</v>
      </c>
      <c r="N42" s="4" t="str">
        <f>IF(folha1[[#This Row],[Participação (%)]]=100,"BASE PRÓPRIA","BASE POOL")</f>
        <v>BASE PRÓPRIA</v>
      </c>
      <c r="O42" s="3" t="s">
        <v>140</v>
      </c>
      <c r="P42" s="5">
        <v>40763</v>
      </c>
    </row>
    <row r="43" spans="1:16" ht="19.95" customHeight="1" thickBot="1" x14ac:dyDescent="0.35">
      <c r="A43" s="3" t="s">
        <v>246</v>
      </c>
      <c r="B43" s="3" t="s">
        <v>235</v>
      </c>
      <c r="C43" s="6" t="str">
        <f>VLOOKUP(folha1[[#This Row],[Razão Social]],Planilha1!A:C,2,0)</f>
        <v xml:space="preserve">ROYAL FIC  </v>
      </c>
      <c r="D43" s="3" t="s">
        <v>15</v>
      </c>
      <c r="E43" s="6" t="str">
        <f>VLOOKUP(folha1[[#This Row],[Razão Social]],Planilha1!A:C,3,0)</f>
        <v>REGIONAL</v>
      </c>
      <c r="F43" s="3" t="s">
        <v>247</v>
      </c>
      <c r="G43" s="3" t="s">
        <v>248</v>
      </c>
      <c r="H43" s="3" t="s">
        <v>249</v>
      </c>
      <c r="I43" s="3"/>
      <c r="J43" s="3" t="s">
        <v>215</v>
      </c>
      <c r="K43" s="3" t="s">
        <v>87</v>
      </c>
      <c r="L43" s="4">
        <v>14600</v>
      </c>
      <c r="M43" s="4">
        <v>100</v>
      </c>
      <c r="N43" s="4" t="str">
        <f>IF(folha1[[#This Row],[Participação (%)]]=100,"BASE PRÓPRIA","BASE POOL")</f>
        <v>BASE PRÓPRIA</v>
      </c>
      <c r="O43" s="3" t="s">
        <v>250</v>
      </c>
      <c r="P43" s="5">
        <v>45845</v>
      </c>
    </row>
    <row r="44" spans="1:16" ht="19.95" customHeight="1" thickBot="1" x14ac:dyDescent="0.35">
      <c r="A44" s="3" t="s">
        <v>251</v>
      </c>
      <c r="B44" s="3" t="s">
        <v>235</v>
      </c>
      <c r="C44" s="6" t="str">
        <f>VLOOKUP(folha1[[#This Row],[Razão Social]],Planilha1!A:C,2,0)</f>
        <v xml:space="preserve">ROYAL FIC  </v>
      </c>
      <c r="D44" s="3" t="s">
        <v>15</v>
      </c>
      <c r="E44" s="6" t="str">
        <f>VLOOKUP(folha1[[#This Row],[Razão Social]],Planilha1!A:C,3,0)</f>
        <v>REGIONAL</v>
      </c>
      <c r="F44" s="3" t="s">
        <v>217</v>
      </c>
      <c r="G44" s="3" t="s">
        <v>218</v>
      </c>
      <c r="H44" s="3" t="s">
        <v>219</v>
      </c>
      <c r="I44" s="3"/>
      <c r="J44" s="3" t="s">
        <v>80</v>
      </c>
      <c r="K44" s="3" t="s">
        <v>20</v>
      </c>
      <c r="L44" s="4">
        <v>11732.83</v>
      </c>
      <c r="M44" s="4">
        <v>5.95</v>
      </c>
      <c r="N44" s="4" t="str">
        <f>IF(folha1[[#This Row],[Participação (%)]]=100,"BASE PRÓPRIA","BASE POOL")</f>
        <v>BASE POOL</v>
      </c>
      <c r="O44" s="3" t="s">
        <v>220</v>
      </c>
      <c r="P44" s="5">
        <v>45183</v>
      </c>
    </row>
    <row r="45" spans="1:16" ht="19.95" customHeight="1" thickBot="1" x14ac:dyDescent="0.35">
      <c r="A45" s="3" t="s">
        <v>252</v>
      </c>
      <c r="B45" s="3" t="s">
        <v>235</v>
      </c>
      <c r="C45" s="6" t="str">
        <f>VLOOKUP(folha1[[#This Row],[Razão Social]],Planilha1!A:C,2,0)</f>
        <v xml:space="preserve">ROYAL FIC  </v>
      </c>
      <c r="D45" s="3" t="s">
        <v>15</v>
      </c>
      <c r="E45" s="6" t="str">
        <f>VLOOKUP(folha1[[#This Row],[Razão Social]],Planilha1!A:C,3,0)</f>
        <v>REGIONAL</v>
      </c>
      <c r="F45" s="3" t="s">
        <v>253</v>
      </c>
      <c r="G45" s="3" t="s">
        <v>254</v>
      </c>
      <c r="H45" s="3" t="s">
        <v>255</v>
      </c>
      <c r="I45" s="3" t="s">
        <v>256</v>
      </c>
      <c r="J45" s="3" t="s">
        <v>111</v>
      </c>
      <c r="K45" s="3" t="s">
        <v>68</v>
      </c>
      <c r="L45" s="4">
        <v>8028</v>
      </c>
      <c r="M45" s="4">
        <v>50</v>
      </c>
      <c r="N45" s="4" t="str">
        <f>IF(folha1[[#This Row],[Participação (%)]]=100,"BASE PRÓPRIA","BASE POOL")</f>
        <v>BASE POOL</v>
      </c>
      <c r="O45" s="3" t="s">
        <v>257</v>
      </c>
      <c r="P45" s="5">
        <v>44340</v>
      </c>
    </row>
    <row r="46" spans="1:16" ht="19.95" customHeight="1" thickBot="1" x14ac:dyDescent="0.35">
      <c r="A46" s="3" t="s">
        <v>258</v>
      </c>
      <c r="B46" s="3" t="s">
        <v>235</v>
      </c>
      <c r="C46" s="6" t="str">
        <f>VLOOKUP(folha1[[#This Row],[Razão Social]],Planilha1!A:C,2,0)</f>
        <v xml:space="preserve">ROYAL FIC  </v>
      </c>
      <c r="D46" s="3" t="s">
        <v>15</v>
      </c>
      <c r="E46" s="6" t="str">
        <f>VLOOKUP(folha1[[#This Row],[Razão Social]],Planilha1!A:C,3,0)</f>
        <v>REGIONAL</v>
      </c>
      <c r="F46" s="3" t="s">
        <v>259</v>
      </c>
      <c r="G46" s="3" t="s">
        <v>64</v>
      </c>
      <c r="H46" s="3" t="s">
        <v>260</v>
      </c>
      <c r="I46" s="3"/>
      <c r="J46" s="3" t="s">
        <v>261</v>
      </c>
      <c r="K46" s="3" t="s">
        <v>87</v>
      </c>
      <c r="L46" s="4">
        <v>7509.7</v>
      </c>
      <c r="M46" s="4">
        <v>100</v>
      </c>
      <c r="N46" s="4" t="str">
        <f>IF(folha1[[#This Row],[Participação (%)]]=100,"BASE PRÓPRIA","BASE POOL")</f>
        <v>BASE PRÓPRIA</v>
      </c>
      <c r="O46" s="3" t="s">
        <v>262</v>
      </c>
      <c r="P46" s="5">
        <v>45510</v>
      </c>
    </row>
    <row r="47" spans="1:16" ht="19.95" customHeight="1" thickBot="1" x14ac:dyDescent="0.35">
      <c r="A47" s="3" t="s">
        <v>263</v>
      </c>
      <c r="B47" s="3" t="s">
        <v>235</v>
      </c>
      <c r="C47" s="6" t="str">
        <f>VLOOKUP(folha1[[#This Row],[Razão Social]],Planilha1!A:C,2,0)</f>
        <v xml:space="preserve">ROYAL FIC  </v>
      </c>
      <c r="D47" s="3" t="s">
        <v>15</v>
      </c>
      <c r="E47" s="6" t="str">
        <f>VLOOKUP(folha1[[#This Row],[Razão Social]],Planilha1!A:C,3,0)</f>
        <v>REGIONAL</v>
      </c>
      <c r="F47" s="3" t="s">
        <v>264</v>
      </c>
      <c r="G47" s="3" t="s">
        <v>64</v>
      </c>
      <c r="H47" s="3" t="s">
        <v>265</v>
      </c>
      <c r="I47" s="3" t="s">
        <v>266</v>
      </c>
      <c r="J47" s="3" t="s">
        <v>267</v>
      </c>
      <c r="K47" s="3" t="s">
        <v>139</v>
      </c>
      <c r="L47" s="4">
        <v>8302</v>
      </c>
      <c r="M47" s="4">
        <v>100</v>
      </c>
      <c r="N47" s="4" t="str">
        <f>IF(folha1[[#This Row],[Participação (%)]]=100,"BASE PRÓPRIA","BASE POOL")</f>
        <v>BASE PRÓPRIA</v>
      </c>
      <c r="O47" s="3" t="s">
        <v>268</v>
      </c>
      <c r="P47" s="5">
        <v>45859</v>
      </c>
    </row>
    <row r="48" spans="1:16" ht="19.95" customHeight="1" thickBot="1" x14ac:dyDescent="0.35">
      <c r="A48" s="3" t="s">
        <v>269</v>
      </c>
      <c r="B48" s="3" t="s">
        <v>270</v>
      </c>
      <c r="C48" s="6" t="str">
        <f>VLOOKUP(folha1[[#This Row],[Razão Social]],Planilha1!A:C,2,0)</f>
        <v xml:space="preserve">SP INDÚSTRIA E  </v>
      </c>
      <c r="D48" s="3" t="s">
        <v>15</v>
      </c>
      <c r="E48" s="6" t="str">
        <f>VLOOKUP(folha1[[#This Row],[Razão Social]],Planilha1!A:C,3,0)</f>
        <v>REGIONAL</v>
      </c>
      <c r="F48" s="3" t="s">
        <v>271</v>
      </c>
      <c r="G48" s="3" t="s">
        <v>272</v>
      </c>
      <c r="H48" s="3" t="s">
        <v>273</v>
      </c>
      <c r="I48" s="3"/>
      <c r="J48" s="3" t="s">
        <v>274</v>
      </c>
      <c r="K48" s="3" t="s">
        <v>275</v>
      </c>
      <c r="L48" s="4">
        <v>50709.51</v>
      </c>
      <c r="M48" s="4">
        <v>1.47</v>
      </c>
      <c r="N48" s="4" t="str">
        <f>IF(folha1[[#This Row],[Participação (%)]]=100,"BASE PRÓPRIA","BASE POOL")</f>
        <v>BASE POOL</v>
      </c>
      <c r="O48" s="3" t="s">
        <v>276</v>
      </c>
      <c r="P48" s="5">
        <v>44652</v>
      </c>
    </row>
    <row r="49" spans="1:16" ht="19.95" customHeight="1" thickBot="1" x14ac:dyDescent="0.35">
      <c r="A49" s="3" t="s">
        <v>277</v>
      </c>
      <c r="B49" s="3" t="s">
        <v>270</v>
      </c>
      <c r="C49" s="6" t="str">
        <f>VLOOKUP(folha1[[#This Row],[Razão Social]],Planilha1!A:C,2,0)</f>
        <v xml:space="preserve">SP INDÚSTRIA E  </v>
      </c>
      <c r="D49" s="3" t="s">
        <v>15</v>
      </c>
      <c r="E49" s="6" t="str">
        <f>VLOOKUP(folha1[[#This Row],[Razão Social]],Planilha1!A:C,3,0)</f>
        <v>REGIONAL</v>
      </c>
      <c r="F49" s="3" t="s">
        <v>278</v>
      </c>
      <c r="G49" s="3" t="s">
        <v>64</v>
      </c>
      <c r="H49" s="3" t="s">
        <v>92</v>
      </c>
      <c r="I49" s="3" t="s">
        <v>279</v>
      </c>
      <c r="J49" s="3" t="s">
        <v>280</v>
      </c>
      <c r="K49" s="3" t="s">
        <v>281</v>
      </c>
      <c r="L49" s="4">
        <v>4482</v>
      </c>
      <c r="M49" s="4">
        <v>100</v>
      </c>
      <c r="N49" s="4" t="str">
        <f>IF(folha1[[#This Row],[Participação (%)]]=100,"BASE PRÓPRIA","BASE POOL")</f>
        <v>BASE PRÓPRIA</v>
      </c>
      <c r="O49" s="3" t="s">
        <v>282</v>
      </c>
      <c r="P49" s="5">
        <v>44881</v>
      </c>
    </row>
    <row r="50" spans="1:16" ht="19.95" customHeight="1" thickBot="1" x14ac:dyDescent="0.35">
      <c r="A50" s="3" t="s">
        <v>283</v>
      </c>
      <c r="B50" s="3" t="s">
        <v>270</v>
      </c>
      <c r="C50" s="6" t="str">
        <f>VLOOKUP(folha1[[#This Row],[Razão Social]],Planilha1!A:C,2,0)</f>
        <v xml:space="preserve">SP INDÚSTRIA E  </v>
      </c>
      <c r="D50" s="3" t="s">
        <v>15</v>
      </c>
      <c r="E50" s="6" t="str">
        <f>VLOOKUP(folha1[[#This Row],[Razão Social]],Planilha1!A:C,3,0)</f>
        <v>REGIONAL</v>
      </c>
      <c r="F50" s="3" t="s">
        <v>284</v>
      </c>
      <c r="G50" s="3" t="s">
        <v>64</v>
      </c>
      <c r="H50" s="3" t="s">
        <v>85</v>
      </c>
      <c r="I50" s="3" t="s">
        <v>285</v>
      </c>
      <c r="J50" s="3" t="s">
        <v>156</v>
      </c>
      <c r="K50" s="3" t="s">
        <v>139</v>
      </c>
      <c r="L50" s="4">
        <v>6867</v>
      </c>
      <c r="M50" s="4">
        <v>30.13</v>
      </c>
      <c r="N50" s="4" t="str">
        <f>IF(folha1[[#This Row],[Participação (%)]]=100,"BASE PRÓPRIA","BASE POOL")</f>
        <v>BASE POOL</v>
      </c>
      <c r="O50" s="3" t="s">
        <v>286</v>
      </c>
      <c r="P50" s="5">
        <v>44104</v>
      </c>
    </row>
    <row r="51" spans="1:16" ht="19.95" customHeight="1" thickBot="1" x14ac:dyDescent="0.35">
      <c r="A51" s="3" t="s">
        <v>287</v>
      </c>
      <c r="B51" s="3" t="s">
        <v>270</v>
      </c>
      <c r="C51" s="6" t="str">
        <f>VLOOKUP(folha1[[#This Row],[Razão Social]],Planilha1!A:C,2,0)</f>
        <v xml:space="preserve">SP INDÚSTRIA E  </v>
      </c>
      <c r="D51" s="3" t="s">
        <v>15</v>
      </c>
      <c r="E51" s="6" t="str">
        <f>VLOOKUP(folha1[[#This Row],[Razão Social]],Planilha1!A:C,3,0)</f>
        <v>REGIONAL</v>
      </c>
      <c r="F51" s="3" t="s">
        <v>211</v>
      </c>
      <c r="G51" s="3" t="s">
        <v>212</v>
      </c>
      <c r="H51" s="3" t="s">
        <v>213</v>
      </c>
      <c r="I51" s="3" t="s">
        <v>214</v>
      </c>
      <c r="J51" s="3" t="s">
        <v>215</v>
      </c>
      <c r="K51" s="3" t="s">
        <v>87</v>
      </c>
      <c r="L51" s="4">
        <v>8187.78</v>
      </c>
      <c r="M51" s="4">
        <v>20</v>
      </c>
      <c r="N51" s="4" t="str">
        <f>IF(folha1[[#This Row],[Participação (%)]]=100,"BASE PRÓPRIA","BASE POOL")</f>
        <v>BASE POOL</v>
      </c>
      <c r="O51" s="3" t="s">
        <v>112</v>
      </c>
      <c r="P51" s="5">
        <v>43801</v>
      </c>
    </row>
    <row r="52" spans="1:16" ht="19.95" customHeight="1" thickBot="1" x14ac:dyDescent="0.35">
      <c r="A52" s="3" t="s">
        <v>288</v>
      </c>
      <c r="B52" s="3" t="s">
        <v>289</v>
      </c>
      <c r="C52" s="6" t="str">
        <f>VLOOKUP(folha1[[#This Row],[Razão Social]],Planilha1!A:C,2,0)</f>
        <v xml:space="preserve">TAURUS  </v>
      </c>
      <c r="D52" s="3" t="s">
        <v>15</v>
      </c>
      <c r="E52" s="6" t="str">
        <f>VLOOKUP(folha1[[#This Row],[Razão Social]],Planilha1!A:C,3,0)</f>
        <v>REGIONAL</v>
      </c>
      <c r="F52" s="3" t="s">
        <v>290</v>
      </c>
      <c r="G52" s="3" t="s">
        <v>64</v>
      </c>
      <c r="H52" s="3" t="s">
        <v>65</v>
      </c>
      <c r="I52" s="3" t="s">
        <v>291</v>
      </c>
      <c r="J52" s="3" t="s">
        <v>292</v>
      </c>
      <c r="K52" s="3" t="s">
        <v>68</v>
      </c>
      <c r="L52" s="4">
        <v>1083.82</v>
      </c>
      <c r="M52" s="4">
        <v>100</v>
      </c>
      <c r="N52" s="4" t="str">
        <f>IF(folha1[[#This Row],[Participação (%)]]=100,"BASE PRÓPRIA","BASE POOL")</f>
        <v>BASE PRÓPRIA</v>
      </c>
      <c r="O52" s="3" t="s">
        <v>293</v>
      </c>
      <c r="P52" s="5">
        <v>42459</v>
      </c>
    </row>
    <row r="53" spans="1:16" ht="19.95" customHeight="1" thickBot="1" x14ac:dyDescent="0.35">
      <c r="A53" s="3" t="s">
        <v>294</v>
      </c>
      <c r="B53" s="3" t="s">
        <v>289</v>
      </c>
      <c r="C53" s="6" t="str">
        <f>VLOOKUP(folha1[[#This Row],[Razão Social]],Planilha1!A:C,2,0)</f>
        <v xml:space="preserve">TAURUS  </v>
      </c>
      <c r="D53" s="3" t="s">
        <v>15</v>
      </c>
      <c r="E53" s="6" t="str">
        <f>VLOOKUP(folha1[[#This Row],[Razão Social]],Planilha1!A:C,3,0)</f>
        <v>REGIONAL</v>
      </c>
      <c r="F53" s="3" t="s">
        <v>290</v>
      </c>
      <c r="G53" s="3" t="s">
        <v>64</v>
      </c>
      <c r="H53" s="3" t="s">
        <v>65</v>
      </c>
      <c r="I53" s="3" t="s">
        <v>295</v>
      </c>
      <c r="J53" s="3" t="s">
        <v>111</v>
      </c>
      <c r="K53" s="3" t="s">
        <v>68</v>
      </c>
      <c r="L53" s="4">
        <v>1311.5</v>
      </c>
      <c r="M53" s="4">
        <v>100</v>
      </c>
      <c r="N53" s="4" t="str">
        <f>IF(folha1[[#This Row],[Participação (%)]]=100,"BASE PRÓPRIA","BASE POOL")</f>
        <v>BASE PRÓPRIA</v>
      </c>
      <c r="O53" s="3" t="s">
        <v>296</v>
      </c>
      <c r="P53" s="5">
        <v>43112</v>
      </c>
    </row>
    <row r="54" spans="1:16" ht="19.95" customHeight="1" thickBot="1" x14ac:dyDescent="0.35">
      <c r="A54" s="3" t="s">
        <v>297</v>
      </c>
      <c r="B54" s="3" t="s">
        <v>289</v>
      </c>
      <c r="C54" s="6" t="str">
        <f>VLOOKUP(folha1[[#This Row],[Razão Social]],Planilha1!A:C,2,0)</f>
        <v xml:space="preserve">TAURUS  </v>
      </c>
      <c r="D54" s="3" t="s">
        <v>15</v>
      </c>
      <c r="E54" s="6" t="str">
        <f>VLOOKUP(folha1[[#This Row],[Razão Social]],Planilha1!A:C,3,0)</f>
        <v>REGIONAL</v>
      </c>
      <c r="F54" s="3" t="s">
        <v>217</v>
      </c>
      <c r="G54" s="3" t="s">
        <v>218</v>
      </c>
      <c r="H54" s="3" t="s">
        <v>219</v>
      </c>
      <c r="I54" s="3"/>
      <c r="J54" s="3" t="s">
        <v>80</v>
      </c>
      <c r="K54" s="3" t="s">
        <v>20</v>
      </c>
      <c r="L54" s="4">
        <v>11732.83</v>
      </c>
      <c r="M54" s="4">
        <v>11.9</v>
      </c>
      <c r="N54" s="4" t="str">
        <f>IF(folha1[[#This Row],[Participação (%)]]=100,"BASE PRÓPRIA","BASE POOL")</f>
        <v>BASE POOL</v>
      </c>
      <c r="O54" s="3" t="s">
        <v>220</v>
      </c>
      <c r="P54" s="5">
        <v>45183</v>
      </c>
    </row>
    <row r="55" spans="1:16" ht="19.95" customHeight="1" thickBot="1" x14ac:dyDescent="0.35">
      <c r="A55" s="3" t="s">
        <v>298</v>
      </c>
      <c r="B55" s="3" t="s">
        <v>289</v>
      </c>
      <c r="C55" s="6" t="str">
        <f>VLOOKUP(folha1[[#This Row],[Razão Social]],Planilha1!A:C,2,0)</f>
        <v xml:space="preserve">TAURUS  </v>
      </c>
      <c r="D55" s="3" t="s">
        <v>15</v>
      </c>
      <c r="E55" s="6" t="str">
        <f>VLOOKUP(folha1[[#This Row],[Razão Social]],Planilha1!A:C,3,0)</f>
        <v>REGIONAL</v>
      </c>
      <c r="F55" s="3" t="s">
        <v>299</v>
      </c>
      <c r="G55" s="3" t="s">
        <v>300</v>
      </c>
      <c r="H55" s="3" t="s">
        <v>301</v>
      </c>
      <c r="I55" s="3"/>
      <c r="J55" s="3" t="s">
        <v>111</v>
      </c>
      <c r="K55" s="3" t="s">
        <v>68</v>
      </c>
      <c r="L55" s="4">
        <v>13000</v>
      </c>
      <c r="M55" s="4">
        <v>100</v>
      </c>
      <c r="N55" s="4" t="str">
        <f>IF(folha1[[#This Row],[Participação (%)]]=100,"BASE PRÓPRIA","BASE POOL")</f>
        <v>BASE PRÓPRIA</v>
      </c>
      <c r="O55" s="3" t="s">
        <v>302</v>
      </c>
      <c r="P55" s="5">
        <v>45848</v>
      </c>
    </row>
    <row r="56" spans="1:16" ht="19.95" customHeight="1" thickBot="1" x14ac:dyDescent="0.35">
      <c r="A56" s="3" t="s">
        <v>303</v>
      </c>
      <c r="B56" s="3" t="s">
        <v>304</v>
      </c>
      <c r="C56" s="6" t="str">
        <f>VLOOKUP(folha1[[#This Row],[Razão Social]],Planilha1!A:C,2,0)</f>
        <v xml:space="preserve">CIAPETRO  </v>
      </c>
      <c r="D56" s="3" t="s">
        <v>15</v>
      </c>
      <c r="E56" s="6" t="str">
        <f>VLOOKUP(folha1[[#This Row],[Razão Social]],Planilha1!A:C,3,0)</f>
        <v>REGIONAL</v>
      </c>
      <c r="F56" s="3" t="s">
        <v>305</v>
      </c>
      <c r="G56" s="3" t="s">
        <v>306</v>
      </c>
      <c r="H56" s="3" t="s">
        <v>307</v>
      </c>
      <c r="I56" s="3" t="s">
        <v>308</v>
      </c>
      <c r="J56" s="3" t="s">
        <v>309</v>
      </c>
      <c r="K56" s="3" t="s">
        <v>44</v>
      </c>
      <c r="L56" s="4">
        <v>2412</v>
      </c>
      <c r="M56" s="4">
        <v>100</v>
      </c>
      <c r="N56" s="4" t="str">
        <f>IF(folha1[[#This Row],[Participação (%)]]=100,"BASE PRÓPRIA","BASE POOL")</f>
        <v>BASE PRÓPRIA</v>
      </c>
      <c r="O56" s="3" t="s">
        <v>310</v>
      </c>
      <c r="P56" s="5">
        <v>45358</v>
      </c>
    </row>
    <row r="57" spans="1:16" ht="19.95" customHeight="1" thickBot="1" x14ac:dyDescent="0.35">
      <c r="A57" s="3" t="s">
        <v>311</v>
      </c>
      <c r="B57" s="3" t="s">
        <v>304</v>
      </c>
      <c r="C57" s="6" t="str">
        <f>VLOOKUP(folha1[[#This Row],[Razão Social]],Planilha1!A:C,2,0)</f>
        <v xml:space="preserve">CIAPETRO  </v>
      </c>
      <c r="D57" s="3" t="s">
        <v>15</v>
      </c>
      <c r="E57" s="6" t="str">
        <f>VLOOKUP(folha1[[#This Row],[Razão Social]],Planilha1!A:C,3,0)</f>
        <v>REGIONAL</v>
      </c>
      <c r="F57" s="3" t="s">
        <v>312</v>
      </c>
      <c r="G57" s="3" t="s">
        <v>168</v>
      </c>
      <c r="H57" s="3" t="s">
        <v>313</v>
      </c>
      <c r="I57" s="3"/>
      <c r="J57" s="3" t="s">
        <v>43</v>
      </c>
      <c r="K57" s="3" t="s">
        <v>44</v>
      </c>
      <c r="L57" s="4">
        <v>37955.21</v>
      </c>
      <c r="M57" s="4">
        <v>2.2200000000000002</v>
      </c>
      <c r="N57" s="4" t="str">
        <f>IF(folha1[[#This Row],[Participação (%)]]=100,"BASE PRÓPRIA","BASE POOL")</f>
        <v>BASE POOL</v>
      </c>
      <c r="O57" s="3" t="s">
        <v>314</v>
      </c>
      <c r="P57" s="5">
        <v>45548</v>
      </c>
    </row>
    <row r="58" spans="1:16" ht="19.95" customHeight="1" thickBot="1" x14ac:dyDescent="0.35">
      <c r="A58" s="3" t="s">
        <v>315</v>
      </c>
      <c r="B58" s="3" t="s">
        <v>304</v>
      </c>
      <c r="C58" s="6" t="str">
        <f>VLOOKUP(folha1[[#This Row],[Razão Social]],Planilha1!A:C,2,0)</f>
        <v xml:space="preserve">CIAPETRO  </v>
      </c>
      <c r="D58" s="3" t="s">
        <v>15</v>
      </c>
      <c r="E58" s="6" t="str">
        <f>VLOOKUP(folha1[[#This Row],[Razão Social]],Planilha1!A:C,3,0)</f>
        <v>REGIONAL</v>
      </c>
      <c r="F58" s="3" t="s">
        <v>316</v>
      </c>
      <c r="G58" s="3" t="s">
        <v>317</v>
      </c>
      <c r="H58" s="3" t="s">
        <v>318</v>
      </c>
      <c r="I58" s="3" t="s">
        <v>319</v>
      </c>
      <c r="J58" s="3" t="s">
        <v>320</v>
      </c>
      <c r="K58" s="3" t="s">
        <v>118</v>
      </c>
      <c r="L58" s="4">
        <v>3301</v>
      </c>
      <c r="M58" s="4">
        <v>26.8</v>
      </c>
      <c r="N58" s="4" t="str">
        <f>IF(folha1[[#This Row],[Participação (%)]]=100,"BASE PRÓPRIA","BASE POOL")</f>
        <v>BASE POOL</v>
      </c>
      <c r="O58" s="3" t="s">
        <v>321</v>
      </c>
      <c r="P58" s="5">
        <v>40441</v>
      </c>
    </row>
    <row r="59" spans="1:16" ht="19.95" customHeight="1" thickBot="1" x14ac:dyDescent="0.35">
      <c r="A59" s="3" t="s">
        <v>322</v>
      </c>
      <c r="B59" s="3" t="s">
        <v>304</v>
      </c>
      <c r="C59" s="6" t="str">
        <f>VLOOKUP(folha1[[#This Row],[Razão Social]],Planilha1!A:C,2,0)</f>
        <v xml:space="preserve">CIAPETRO  </v>
      </c>
      <c r="D59" s="3" t="s">
        <v>15</v>
      </c>
      <c r="E59" s="6" t="str">
        <f>VLOOKUP(folha1[[#This Row],[Razão Social]],Planilha1!A:C,3,0)</f>
        <v>REGIONAL</v>
      </c>
      <c r="F59" s="3" t="s">
        <v>129</v>
      </c>
      <c r="G59" s="3" t="s">
        <v>24</v>
      </c>
      <c r="H59" s="3" t="s">
        <v>130</v>
      </c>
      <c r="I59" s="3" t="s">
        <v>131</v>
      </c>
      <c r="J59" s="3" t="s">
        <v>27</v>
      </c>
      <c r="K59" s="3" t="s">
        <v>28</v>
      </c>
      <c r="L59" s="4">
        <v>13681.7</v>
      </c>
      <c r="M59" s="4">
        <v>6</v>
      </c>
      <c r="N59" s="4" t="str">
        <f>IF(folha1[[#This Row],[Participação (%)]]=100,"BASE PRÓPRIA","BASE POOL")</f>
        <v>BASE POOL</v>
      </c>
      <c r="O59" s="3" t="s">
        <v>132</v>
      </c>
      <c r="P59" s="5">
        <v>45817</v>
      </c>
    </row>
    <row r="60" spans="1:16" ht="19.95" customHeight="1" thickBot="1" x14ac:dyDescent="0.35">
      <c r="A60" s="3" t="s">
        <v>323</v>
      </c>
      <c r="B60" s="3" t="s">
        <v>304</v>
      </c>
      <c r="C60" s="6" t="str">
        <f>VLOOKUP(folha1[[#This Row],[Razão Social]],Planilha1!A:C,2,0)</f>
        <v xml:space="preserve">CIAPETRO  </v>
      </c>
      <c r="D60" s="3" t="s">
        <v>15</v>
      </c>
      <c r="E60" s="6" t="str">
        <f>VLOOKUP(folha1[[#This Row],[Razão Social]],Planilha1!A:C,3,0)</f>
        <v>REGIONAL</v>
      </c>
      <c r="F60" s="3" t="s">
        <v>122</v>
      </c>
      <c r="G60" s="3" t="s">
        <v>123</v>
      </c>
      <c r="H60" s="3" t="s">
        <v>124</v>
      </c>
      <c r="I60" s="3" t="s">
        <v>125</v>
      </c>
      <c r="J60" s="3" t="s">
        <v>126</v>
      </c>
      <c r="K60" s="3" t="s">
        <v>87</v>
      </c>
      <c r="L60" s="4">
        <v>6123.7</v>
      </c>
      <c r="M60" s="4">
        <v>12.25</v>
      </c>
      <c r="N60" s="4" t="str">
        <f>IF(folha1[[#This Row],[Participação (%)]]=100,"BASE PRÓPRIA","BASE POOL")</f>
        <v>BASE POOL</v>
      </c>
      <c r="O60" s="3" t="s">
        <v>127</v>
      </c>
      <c r="P60" s="5">
        <v>46104</v>
      </c>
    </row>
    <row r="61" spans="1:16" ht="19.95" customHeight="1" thickBot="1" x14ac:dyDescent="0.35">
      <c r="A61" s="3" t="s">
        <v>324</v>
      </c>
      <c r="B61" s="3" t="s">
        <v>304</v>
      </c>
      <c r="C61" s="6" t="str">
        <f>VLOOKUP(folha1[[#This Row],[Razão Social]],Planilha1!A:C,2,0)</f>
        <v xml:space="preserve">CIAPETRO  </v>
      </c>
      <c r="D61" s="3" t="s">
        <v>15</v>
      </c>
      <c r="E61" s="6" t="str">
        <f>VLOOKUP(folha1[[#This Row],[Razão Social]],Planilha1!A:C,3,0)</f>
        <v>REGIONAL</v>
      </c>
      <c r="F61" s="3" t="s">
        <v>185</v>
      </c>
      <c r="G61" s="3" t="s">
        <v>64</v>
      </c>
      <c r="H61" s="3" t="s">
        <v>186</v>
      </c>
      <c r="I61" s="3" t="s">
        <v>187</v>
      </c>
      <c r="J61" s="3" t="s">
        <v>188</v>
      </c>
      <c r="K61" s="3" t="s">
        <v>189</v>
      </c>
      <c r="L61" s="4">
        <v>6329.87</v>
      </c>
      <c r="M61" s="4">
        <v>33.33</v>
      </c>
      <c r="N61" s="4" t="str">
        <f>IF(folha1[[#This Row],[Participação (%)]]=100,"BASE PRÓPRIA","BASE POOL")</f>
        <v>BASE POOL</v>
      </c>
      <c r="O61" s="3" t="s">
        <v>190</v>
      </c>
      <c r="P61" s="5">
        <v>44141</v>
      </c>
    </row>
    <row r="62" spans="1:16" ht="19.95" customHeight="1" thickBot="1" x14ac:dyDescent="0.35">
      <c r="A62" s="3" t="s">
        <v>325</v>
      </c>
      <c r="B62" s="3" t="s">
        <v>304</v>
      </c>
      <c r="C62" s="6" t="str">
        <f>VLOOKUP(folha1[[#This Row],[Razão Social]],Planilha1!A:C,2,0)</f>
        <v xml:space="preserve">CIAPETRO  </v>
      </c>
      <c r="D62" s="3" t="s">
        <v>15</v>
      </c>
      <c r="E62" s="6" t="str">
        <f>VLOOKUP(folha1[[#This Row],[Razão Social]],Planilha1!A:C,3,0)</f>
        <v>REGIONAL</v>
      </c>
      <c r="F62" s="3" t="s">
        <v>217</v>
      </c>
      <c r="G62" s="3" t="s">
        <v>218</v>
      </c>
      <c r="H62" s="3" t="s">
        <v>219</v>
      </c>
      <c r="I62" s="3"/>
      <c r="J62" s="3" t="s">
        <v>80</v>
      </c>
      <c r="K62" s="3" t="s">
        <v>20</v>
      </c>
      <c r="L62" s="4">
        <v>11732.83</v>
      </c>
      <c r="M62" s="4">
        <v>5.95</v>
      </c>
      <c r="N62" s="4" t="str">
        <f>IF(folha1[[#This Row],[Participação (%)]]=100,"BASE PRÓPRIA","BASE POOL")</f>
        <v>BASE POOL</v>
      </c>
      <c r="O62" s="3" t="s">
        <v>220</v>
      </c>
      <c r="P62" s="5">
        <v>45183</v>
      </c>
    </row>
    <row r="63" spans="1:16" ht="19.95" customHeight="1" thickBot="1" x14ac:dyDescent="0.35">
      <c r="A63" s="3" t="s">
        <v>326</v>
      </c>
      <c r="B63" s="3" t="s">
        <v>304</v>
      </c>
      <c r="C63" s="6" t="str">
        <f>VLOOKUP(folha1[[#This Row],[Razão Social]],Planilha1!A:C,2,0)</f>
        <v xml:space="preserve">CIAPETRO  </v>
      </c>
      <c r="D63" s="3" t="s">
        <v>15</v>
      </c>
      <c r="E63" s="6" t="str">
        <f>VLOOKUP(folha1[[#This Row],[Razão Social]],Planilha1!A:C,3,0)</f>
        <v>REGIONAL</v>
      </c>
      <c r="F63" s="3" t="s">
        <v>327</v>
      </c>
      <c r="G63" s="3" t="s">
        <v>328</v>
      </c>
      <c r="H63" s="3" t="s">
        <v>329</v>
      </c>
      <c r="I63" s="3"/>
      <c r="J63" s="3" t="s">
        <v>330</v>
      </c>
      <c r="K63" s="3" t="s">
        <v>20</v>
      </c>
      <c r="L63" s="4">
        <v>1113.3599999999999</v>
      </c>
      <c r="M63" s="4">
        <v>100</v>
      </c>
      <c r="N63" s="4" t="str">
        <f>IF(folha1[[#This Row],[Participação (%)]]=100,"BASE PRÓPRIA","BASE POOL")</f>
        <v>BASE PRÓPRIA</v>
      </c>
      <c r="O63" s="3" t="s">
        <v>331</v>
      </c>
      <c r="P63" s="5">
        <v>41848</v>
      </c>
    </row>
    <row r="64" spans="1:16" ht="19.95" customHeight="1" thickBot="1" x14ac:dyDescent="0.35">
      <c r="A64" s="3" t="s">
        <v>332</v>
      </c>
      <c r="B64" s="3" t="s">
        <v>304</v>
      </c>
      <c r="C64" s="6" t="str">
        <f>VLOOKUP(folha1[[#This Row],[Razão Social]],Planilha1!A:C,2,0)</f>
        <v xml:space="preserve">CIAPETRO  </v>
      </c>
      <c r="D64" s="3" t="s">
        <v>15</v>
      </c>
      <c r="E64" s="6" t="str">
        <f>VLOOKUP(folha1[[#This Row],[Razão Social]],Planilha1!A:C,3,0)</f>
        <v>REGIONAL</v>
      </c>
      <c r="F64" s="3" t="s">
        <v>333</v>
      </c>
      <c r="G64" s="3" t="s">
        <v>334</v>
      </c>
      <c r="H64" s="3" t="s">
        <v>335</v>
      </c>
      <c r="I64" s="3" t="s">
        <v>336</v>
      </c>
      <c r="J64" s="3" t="s">
        <v>111</v>
      </c>
      <c r="K64" s="3" t="s">
        <v>68</v>
      </c>
      <c r="L64" s="4">
        <v>4941</v>
      </c>
      <c r="M64" s="4">
        <v>100</v>
      </c>
      <c r="N64" s="4" t="str">
        <f>IF(folha1[[#This Row],[Participação (%)]]=100,"BASE PRÓPRIA","BASE POOL")</f>
        <v>BASE PRÓPRIA</v>
      </c>
      <c r="O64" s="3" t="s">
        <v>337</v>
      </c>
      <c r="P64" s="5">
        <v>44642</v>
      </c>
    </row>
    <row r="65" spans="1:16" ht="19.95" customHeight="1" thickBot="1" x14ac:dyDescent="0.35">
      <c r="A65" s="3" t="s">
        <v>338</v>
      </c>
      <c r="B65" s="3" t="s">
        <v>339</v>
      </c>
      <c r="C65" s="6" t="str">
        <f>VLOOKUP(folha1[[#This Row],[Razão Social]],Planilha1!A:C,2,0)</f>
        <v xml:space="preserve">PETROSERRA  </v>
      </c>
      <c r="D65" s="3" t="s">
        <v>15</v>
      </c>
      <c r="E65" s="6" t="str">
        <f>VLOOKUP(folha1[[#This Row],[Razão Social]],Planilha1!A:C,3,0)</f>
        <v>REGIONAL</v>
      </c>
      <c r="F65" s="3" t="s">
        <v>340</v>
      </c>
      <c r="G65" s="3" t="s">
        <v>64</v>
      </c>
      <c r="H65" s="3" t="s">
        <v>341</v>
      </c>
      <c r="I65" s="3" t="s">
        <v>342</v>
      </c>
      <c r="J65" s="3" t="s">
        <v>343</v>
      </c>
      <c r="K65" s="3" t="s">
        <v>139</v>
      </c>
      <c r="L65" s="4">
        <v>5905.03</v>
      </c>
      <c r="M65" s="4">
        <v>87.13</v>
      </c>
      <c r="N65" s="4" t="str">
        <f>IF(folha1[[#This Row],[Participação (%)]]=100,"BASE PRÓPRIA","BASE POOL")</f>
        <v>BASE POOL</v>
      </c>
      <c r="O65" s="3" t="s">
        <v>344</v>
      </c>
      <c r="P65" s="5">
        <v>44929</v>
      </c>
    </row>
    <row r="66" spans="1:16" ht="19.95" customHeight="1" thickBot="1" x14ac:dyDescent="0.35">
      <c r="A66" s="3" t="s">
        <v>345</v>
      </c>
      <c r="B66" s="3" t="s">
        <v>339</v>
      </c>
      <c r="C66" s="6" t="str">
        <f>VLOOKUP(folha1[[#This Row],[Razão Social]],Planilha1!A:C,2,0)</f>
        <v xml:space="preserve">PETROSERRA  </v>
      </c>
      <c r="D66" s="3" t="s">
        <v>15</v>
      </c>
      <c r="E66" s="6" t="str">
        <f>VLOOKUP(folha1[[#This Row],[Razão Social]],Planilha1!A:C,3,0)</f>
        <v>REGIONAL</v>
      </c>
      <c r="F66" s="3" t="s">
        <v>346</v>
      </c>
      <c r="G66" s="3" t="s">
        <v>103</v>
      </c>
      <c r="H66" s="3" t="s">
        <v>149</v>
      </c>
      <c r="I66" s="3" t="s">
        <v>347</v>
      </c>
      <c r="J66" s="3" t="s">
        <v>348</v>
      </c>
      <c r="K66" s="3" t="s">
        <v>139</v>
      </c>
      <c r="L66" s="4">
        <v>9718.67</v>
      </c>
      <c r="M66" s="4">
        <v>33.340000000000003</v>
      </c>
      <c r="N66" s="4" t="str">
        <f>IF(folha1[[#This Row],[Participação (%)]]=100,"BASE PRÓPRIA","BASE POOL")</f>
        <v>BASE POOL</v>
      </c>
      <c r="O66" s="3" t="s">
        <v>349</v>
      </c>
      <c r="P66" s="5">
        <v>44006</v>
      </c>
    </row>
    <row r="67" spans="1:16" ht="19.95" customHeight="1" thickBot="1" x14ac:dyDescent="0.35">
      <c r="A67" s="3" t="s">
        <v>350</v>
      </c>
      <c r="B67" s="3" t="s">
        <v>339</v>
      </c>
      <c r="C67" s="6" t="str">
        <f>VLOOKUP(folha1[[#This Row],[Razão Social]],Planilha1!A:C,2,0)</f>
        <v xml:space="preserve">PETROSERRA  </v>
      </c>
      <c r="D67" s="3" t="s">
        <v>15</v>
      </c>
      <c r="E67" s="6" t="str">
        <f>VLOOKUP(folha1[[#This Row],[Razão Social]],Planilha1!A:C,3,0)</f>
        <v>REGIONAL</v>
      </c>
      <c r="F67" s="3" t="s">
        <v>351</v>
      </c>
      <c r="G67" s="3" t="s">
        <v>64</v>
      </c>
      <c r="H67" s="3" t="s">
        <v>149</v>
      </c>
      <c r="I67" s="3" t="s">
        <v>352</v>
      </c>
      <c r="J67" s="3" t="s">
        <v>353</v>
      </c>
      <c r="K67" s="3" t="s">
        <v>139</v>
      </c>
      <c r="L67" s="4">
        <v>153.1</v>
      </c>
      <c r="M67" s="4">
        <v>100</v>
      </c>
      <c r="N67" s="4" t="str">
        <f>IF(folha1[[#This Row],[Participação (%)]]=100,"BASE PRÓPRIA","BASE POOL")</f>
        <v>BASE PRÓPRIA</v>
      </c>
      <c r="O67" s="3" t="s">
        <v>354</v>
      </c>
      <c r="P67" s="5">
        <v>43514</v>
      </c>
    </row>
    <row r="68" spans="1:16" ht="19.95" customHeight="1" thickBot="1" x14ac:dyDescent="0.35">
      <c r="A68" s="3" t="s">
        <v>355</v>
      </c>
      <c r="B68" s="3" t="s">
        <v>339</v>
      </c>
      <c r="C68" s="6" t="str">
        <f>VLOOKUP(folha1[[#This Row],[Razão Social]],Planilha1!A:C,2,0)</f>
        <v xml:space="preserve">PETROSERRA  </v>
      </c>
      <c r="D68" s="3" t="s">
        <v>15</v>
      </c>
      <c r="E68" s="6" t="str">
        <f>VLOOKUP(folha1[[#This Row],[Razão Social]],Planilha1!A:C,3,0)</f>
        <v>REGIONAL</v>
      </c>
      <c r="F68" s="3" t="s">
        <v>356</v>
      </c>
      <c r="G68" s="3" t="s">
        <v>328</v>
      </c>
      <c r="H68" s="3" t="s">
        <v>357</v>
      </c>
      <c r="I68" s="3" t="s">
        <v>358</v>
      </c>
      <c r="J68" s="3" t="s">
        <v>138</v>
      </c>
      <c r="K68" s="3" t="s">
        <v>139</v>
      </c>
      <c r="L68" s="4">
        <v>5045</v>
      </c>
      <c r="M68" s="4">
        <v>50</v>
      </c>
      <c r="N68" s="4" t="str">
        <f>IF(folha1[[#This Row],[Participação (%)]]=100,"BASE PRÓPRIA","BASE POOL")</f>
        <v>BASE POOL</v>
      </c>
      <c r="O68" s="3" t="s">
        <v>359</v>
      </c>
      <c r="P68" s="5">
        <v>43983</v>
      </c>
    </row>
    <row r="69" spans="1:16" ht="19.95" customHeight="1" thickBot="1" x14ac:dyDescent="0.35">
      <c r="A69" s="3" t="s">
        <v>360</v>
      </c>
      <c r="B69" s="3" t="s">
        <v>339</v>
      </c>
      <c r="C69" s="6" t="str">
        <f>VLOOKUP(folha1[[#This Row],[Razão Social]],Planilha1!A:C,2,0)</f>
        <v xml:space="preserve">PETROSERRA  </v>
      </c>
      <c r="D69" s="3" t="s">
        <v>15</v>
      </c>
      <c r="E69" s="6" t="str">
        <f>VLOOKUP(folha1[[#This Row],[Razão Social]],Planilha1!A:C,3,0)</f>
        <v>REGIONAL</v>
      </c>
      <c r="F69" s="3" t="s">
        <v>361</v>
      </c>
      <c r="G69" s="3" t="s">
        <v>362</v>
      </c>
      <c r="H69" s="3" t="s">
        <v>363</v>
      </c>
      <c r="I69" s="3" t="s">
        <v>364</v>
      </c>
      <c r="J69" s="3" t="s">
        <v>365</v>
      </c>
      <c r="K69" s="3" t="s">
        <v>87</v>
      </c>
      <c r="L69" s="4">
        <v>1950</v>
      </c>
      <c r="M69" s="4">
        <v>100</v>
      </c>
      <c r="N69" s="4" t="str">
        <f>IF(folha1[[#This Row],[Participação (%)]]=100,"BASE PRÓPRIA","BASE POOL")</f>
        <v>BASE PRÓPRIA</v>
      </c>
      <c r="O69" s="3" t="s">
        <v>366</v>
      </c>
      <c r="P69" s="5">
        <v>45645</v>
      </c>
    </row>
    <row r="70" spans="1:16" ht="19.95" customHeight="1" thickBot="1" x14ac:dyDescent="0.35">
      <c r="A70" s="3" t="s">
        <v>367</v>
      </c>
      <c r="B70" s="3" t="s">
        <v>368</v>
      </c>
      <c r="C70" s="6" t="str">
        <f>VLOOKUP(folha1[[#This Row],[Razão Social]],Planilha1!A:C,2,0)</f>
        <v>COMÉRCIO DE DERIVADOS DE PETRÓLEO ISABELLA .</v>
      </c>
      <c r="D70" s="3" t="s">
        <v>15</v>
      </c>
      <c r="E70" s="6" t="str">
        <f>VLOOKUP(folha1[[#This Row],[Razão Social]],Planilha1!A:C,3,0)</f>
        <v>REGIONAL</v>
      </c>
      <c r="F70" s="3" t="s">
        <v>369</v>
      </c>
      <c r="G70" s="3" t="s">
        <v>64</v>
      </c>
      <c r="H70" s="3" t="s">
        <v>370</v>
      </c>
      <c r="I70" s="3" t="s">
        <v>371</v>
      </c>
      <c r="J70" s="3" t="s">
        <v>372</v>
      </c>
      <c r="K70" s="3" t="s">
        <v>44</v>
      </c>
      <c r="L70" s="4">
        <v>866.11</v>
      </c>
      <c r="M70" s="4">
        <v>100</v>
      </c>
      <c r="N70" s="4" t="str">
        <f>IF(folha1[[#This Row],[Participação (%)]]=100,"BASE PRÓPRIA","BASE POOL")</f>
        <v>BASE PRÓPRIA</v>
      </c>
      <c r="O70" s="3" t="s">
        <v>373</v>
      </c>
      <c r="P70" s="5">
        <v>38517</v>
      </c>
    </row>
    <row r="71" spans="1:16" ht="19.95" customHeight="1" thickBot="1" x14ac:dyDescent="0.35">
      <c r="A71" s="3" t="s">
        <v>374</v>
      </c>
      <c r="B71" s="3" t="s">
        <v>375</v>
      </c>
      <c r="C71" s="6" t="str">
        <f>VLOOKUP(folha1[[#This Row],[Razão Social]],Planilha1!A:C,2,0)</f>
        <v xml:space="preserve">TRIANGULO  </v>
      </c>
      <c r="D71" s="3" t="s">
        <v>15</v>
      </c>
      <c r="E71" s="6" t="str">
        <f>VLOOKUP(folha1[[#This Row],[Razão Social]],Planilha1!A:C,3,0)</f>
        <v>REGIONAL</v>
      </c>
      <c r="F71" s="3" t="s">
        <v>167</v>
      </c>
      <c r="G71" s="3" t="s">
        <v>168</v>
      </c>
      <c r="H71" s="3" t="s">
        <v>169</v>
      </c>
      <c r="I71" s="3"/>
      <c r="J71" s="3" t="s">
        <v>19</v>
      </c>
      <c r="K71" s="3" t="s">
        <v>20</v>
      </c>
      <c r="L71" s="4">
        <v>19710</v>
      </c>
      <c r="M71" s="4">
        <v>4.8499999999999996</v>
      </c>
      <c r="N71" s="4" t="str">
        <f>IF(folha1[[#This Row],[Participação (%)]]=100,"BASE PRÓPRIA","BASE POOL")</f>
        <v>BASE POOL</v>
      </c>
      <c r="O71" s="3" t="s">
        <v>170</v>
      </c>
      <c r="P71" s="5">
        <v>43810</v>
      </c>
    </row>
    <row r="72" spans="1:16" ht="19.95" customHeight="1" thickBot="1" x14ac:dyDescent="0.35">
      <c r="A72" s="3" t="s">
        <v>376</v>
      </c>
      <c r="B72" s="3" t="s">
        <v>377</v>
      </c>
      <c r="C72" s="6" t="str">
        <f>VLOOKUP(folha1[[#This Row],[Razão Social]],Planilha1!A:C,2,0)</f>
        <v>ATLANTA  .</v>
      </c>
      <c r="D72" s="3" t="s">
        <v>15</v>
      </c>
      <c r="E72" s="6" t="str">
        <f>VLOOKUP(folha1[[#This Row],[Razão Social]],Planilha1!A:C,3,0)</f>
        <v>REGIONAL</v>
      </c>
      <c r="F72" s="3" t="s">
        <v>378</v>
      </c>
      <c r="G72" s="3" t="s">
        <v>379</v>
      </c>
      <c r="H72" s="3" t="s">
        <v>380</v>
      </c>
      <c r="I72" s="3"/>
      <c r="J72" s="3" t="s">
        <v>19</v>
      </c>
      <c r="K72" s="3" t="s">
        <v>20</v>
      </c>
      <c r="L72" s="4">
        <v>10019.959999999999</v>
      </c>
      <c r="M72" s="4">
        <v>27.12</v>
      </c>
      <c r="N72" s="4" t="str">
        <f>IF(folha1[[#This Row],[Participação (%)]]=100,"BASE PRÓPRIA","BASE POOL")</f>
        <v>BASE POOL</v>
      </c>
      <c r="O72" s="3" t="s">
        <v>381</v>
      </c>
      <c r="P72" s="5">
        <v>42662</v>
      </c>
    </row>
    <row r="73" spans="1:16" ht="19.95" customHeight="1" thickBot="1" x14ac:dyDescent="0.35">
      <c r="A73" s="3" t="s">
        <v>382</v>
      </c>
      <c r="B73" s="3" t="s">
        <v>383</v>
      </c>
      <c r="C73" s="6" t="str">
        <f>VLOOKUP(folha1[[#This Row],[Razão Social]],Planilha1!A:C,2,0)</f>
        <v xml:space="preserve">WALENDOWSKY  </v>
      </c>
      <c r="D73" s="3" t="s">
        <v>15</v>
      </c>
      <c r="E73" s="6" t="str">
        <f>VLOOKUP(folha1[[#This Row],[Razão Social]],Planilha1!A:C,3,0)</f>
        <v>REGIONAL</v>
      </c>
      <c r="F73" s="3" t="s">
        <v>384</v>
      </c>
      <c r="G73" s="3" t="s">
        <v>385</v>
      </c>
      <c r="H73" s="3" t="s">
        <v>386</v>
      </c>
      <c r="I73" s="3"/>
      <c r="J73" s="3" t="s">
        <v>387</v>
      </c>
      <c r="K73" s="3" t="s">
        <v>37</v>
      </c>
      <c r="L73" s="4">
        <v>2825.95</v>
      </c>
      <c r="M73" s="4">
        <v>100</v>
      </c>
      <c r="N73" s="4" t="str">
        <f>IF(folha1[[#This Row],[Participação (%)]]=100,"BASE PRÓPRIA","BASE POOL")</f>
        <v>BASE PRÓPRIA</v>
      </c>
      <c r="O73" s="3" t="s">
        <v>388</v>
      </c>
      <c r="P73" s="5">
        <v>43630</v>
      </c>
    </row>
    <row r="74" spans="1:16" ht="19.95" customHeight="1" thickBot="1" x14ac:dyDescent="0.35">
      <c r="A74" s="3" t="s">
        <v>389</v>
      </c>
      <c r="B74" s="3" t="s">
        <v>390</v>
      </c>
      <c r="C74" s="6" t="str">
        <f>VLOOKUP(folha1[[#This Row],[Razão Social]],Planilha1!A:C,2,0)</f>
        <v>MONVALLE</v>
      </c>
      <c r="D74" s="3" t="s">
        <v>15</v>
      </c>
      <c r="E74" s="6" t="str">
        <f>VLOOKUP(folha1[[#This Row],[Razão Social]],Planilha1!A:C,3,0)</f>
        <v>REGIONAL</v>
      </c>
      <c r="F74" s="3" t="s">
        <v>63</v>
      </c>
      <c r="G74" s="3" t="s">
        <v>64</v>
      </c>
      <c r="H74" s="3" t="s">
        <v>65</v>
      </c>
      <c r="I74" s="3" t="s">
        <v>66</v>
      </c>
      <c r="J74" s="3" t="s">
        <v>67</v>
      </c>
      <c r="K74" s="3" t="s">
        <v>68</v>
      </c>
      <c r="L74" s="4">
        <v>20120</v>
      </c>
      <c r="M74" s="4">
        <v>3.72</v>
      </c>
      <c r="N74" s="4" t="str">
        <f>IF(folha1[[#This Row],[Participação (%)]]=100,"BASE PRÓPRIA","BASE POOL")</f>
        <v>BASE POOL</v>
      </c>
      <c r="O74" s="3" t="s">
        <v>69</v>
      </c>
      <c r="P74" s="5">
        <v>45106</v>
      </c>
    </row>
    <row r="75" spans="1:16" ht="19.95" customHeight="1" thickBot="1" x14ac:dyDescent="0.35">
      <c r="A75" s="3" t="s">
        <v>391</v>
      </c>
      <c r="B75" s="3" t="s">
        <v>392</v>
      </c>
      <c r="C75" s="6" t="str">
        <f>VLOOKUP(folha1[[#This Row],[Razão Social]],Planilha1!A:C,2,0)</f>
        <v xml:space="preserve">SOLL  </v>
      </c>
      <c r="D75" s="3" t="s">
        <v>15</v>
      </c>
      <c r="E75" s="6" t="str">
        <f>VLOOKUP(folha1[[#This Row],[Razão Social]],Planilha1!A:C,3,0)</f>
        <v>REGIONAL</v>
      </c>
      <c r="F75" s="3" t="s">
        <v>284</v>
      </c>
      <c r="G75" s="3" t="s">
        <v>64</v>
      </c>
      <c r="H75" s="3" t="s">
        <v>85</v>
      </c>
      <c r="I75" s="3" t="s">
        <v>285</v>
      </c>
      <c r="J75" s="3" t="s">
        <v>156</v>
      </c>
      <c r="K75" s="3" t="s">
        <v>139</v>
      </c>
      <c r="L75" s="4">
        <v>6867</v>
      </c>
      <c r="M75" s="4">
        <v>25</v>
      </c>
      <c r="N75" s="4" t="str">
        <f>IF(folha1[[#This Row],[Participação (%)]]=100,"BASE PRÓPRIA","BASE POOL")</f>
        <v>BASE POOL</v>
      </c>
      <c r="O75" s="3" t="s">
        <v>286</v>
      </c>
      <c r="P75" s="5">
        <v>44104</v>
      </c>
    </row>
    <row r="76" spans="1:16" ht="19.95" customHeight="1" thickBot="1" x14ac:dyDescent="0.35">
      <c r="A76" s="3" t="s">
        <v>393</v>
      </c>
      <c r="B76" s="3" t="s">
        <v>392</v>
      </c>
      <c r="C76" s="6" t="str">
        <f>VLOOKUP(folha1[[#This Row],[Razão Social]],Planilha1!A:C,2,0)</f>
        <v xml:space="preserve">SOLL  </v>
      </c>
      <c r="D76" s="3" t="s">
        <v>15</v>
      </c>
      <c r="E76" s="6" t="str">
        <f>VLOOKUP(folha1[[#This Row],[Razão Social]],Planilha1!A:C,3,0)</f>
        <v>REGIONAL</v>
      </c>
      <c r="F76" s="3" t="s">
        <v>16</v>
      </c>
      <c r="G76" s="3" t="s">
        <v>17</v>
      </c>
      <c r="H76" s="3" t="s">
        <v>18</v>
      </c>
      <c r="I76" s="3"/>
      <c r="J76" s="3" t="s">
        <v>19</v>
      </c>
      <c r="K76" s="3" t="s">
        <v>20</v>
      </c>
      <c r="L76" s="4">
        <v>11718.58</v>
      </c>
      <c r="M76" s="4">
        <v>6.4</v>
      </c>
      <c r="N76" s="4" t="str">
        <f>IF(folha1[[#This Row],[Participação (%)]]=100,"BASE PRÓPRIA","BASE POOL")</f>
        <v>BASE POOL</v>
      </c>
      <c r="O76" s="3" t="s">
        <v>21</v>
      </c>
      <c r="P76" s="5">
        <v>41949</v>
      </c>
    </row>
    <row r="77" spans="1:16" ht="19.95" customHeight="1" thickBot="1" x14ac:dyDescent="0.35">
      <c r="A77" s="3" t="s">
        <v>394</v>
      </c>
      <c r="B77" s="3" t="s">
        <v>395</v>
      </c>
      <c r="C77" s="6" t="str">
        <f>VLOOKUP(folha1[[#This Row],[Razão Social]],Planilha1!A:C,2,0)</f>
        <v xml:space="preserve">IDAZA  </v>
      </c>
      <c r="D77" s="3" t="s">
        <v>15</v>
      </c>
      <c r="E77" s="6" t="str">
        <f>VLOOKUP(folha1[[#This Row],[Razão Social]],Planilha1!A:C,3,0)</f>
        <v>REGIONAL</v>
      </c>
      <c r="F77" s="3" t="s">
        <v>396</v>
      </c>
      <c r="G77" s="3" t="s">
        <v>64</v>
      </c>
      <c r="H77" s="3" t="s">
        <v>397</v>
      </c>
      <c r="I77" s="3" t="s">
        <v>398</v>
      </c>
      <c r="J77" s="3" t="s">
        <v>399</v>
      </c>
      <c r="K77" s="3" t="s">
        <v>118</v>
      </c>
      <c r="L77" s="4">
        <v>12024.62</v>
      </c>
      <c r="M77" s="4">
        <v>100</v>
      </c>
      <c r="N77" s="4" t="str">
        <f>IF(folha1[[#This Row],[Participação (%)]]=100,"BASE PRÓPRIA","BASE POOL")</f>
        <v>BASE PRÓPRIA</v>
      </c>
      <c r="O77" s="3" t="s">
        <v>400</v>
      </c>
      <c r="P77" s="5">
        <v>45818</v>
      </c>
    </row>
    <row r="78" spans="1:16" ht="19.95" customHeight="1" thickBot="1" x14ac:dyDescent="0.35">
      <c r="A78" s="3" t="s">
        <v>401</v>
      </c>
      <c r="B78" s="3" t="s">
        <v>395</v>
      </c>
      <c r="C78" s="6" t="str">
        <f>VLOOKUP(folha1[[#This Row],[Razão Social]],Planilha1!A:C,2,0)</f>
        <v xml:space="preserve">IDAZA  </v>
      </c>
      <c r="D78" s="3" t="s">
        <v>15</v>
      </c>
      <c r="E78" s="6" t="str">
        <f>VLOOKUP(folha1[[#This Row],[Razão Social]],Planilha1!A:C,3,0)</f>
        <v>REGIONAL</v>
      </c>
      <c r="F78" s="3" t="s">
        <v>402</v>
      </c>
      <c r="G78" s="3" t="s">
        <v>403</v>
      </c>
      <c r="H78" s="3" t="s">
        <v>149</v>
      </c>
      <c r="I78" s="3" t="s">
        <v>404</v>
      </c>
      <c r="J78" s="3" t="s">
        <v>117</v>
      </c>
      <c r="K78" s="3" t="s">
        <v>118</v>
      </c>
      <c r="L78" s="4">
        <v>3060.48</v>
      </c>
      <c r="M78" s="4">
        <v>75.510000000000005</v>
      </c>
      <c r="N78" s="4" t="str">
        <f>IF(folha1[[#This Row],[Participação (%)]]=100,"BASE PRÓPRIA","BASE POOL")</f>
        <v>BASE POOL</v>
      </c>
      <c r="O78" s="3" t="s">
        <v>81</v>
      </c>
      <c r="P78" s="5">
        <v>45834</v>
      </c>
    </row>
    <row r="79" spans="1:16" ht="19.95" customHeight="1" thickBot="1" x14ac:dyDescent="0.35">
      <c r="A79" s="3" t="s">
        <v>405</v>
      </c>
      <c r="B79" s="3" t="s">
        <v>395</v>
      </c>
      <c r="C79" s="6" t="str">
        <f>VLOOKUP(folha1[[#This Row],[Razão Social]],Planilha1!A:C,2,0)</f>
        <v xml:space="preserve">IDAZA  </v>
      </c>
      <c r="D79" s="3" t="s">
        <v>15</v>
      </c>
      <c r="E79" s="6" t="str">
        <f>VLOOKUP(folha1[[#This Row],[Razão Social]],Planilha1!A:C,3,0)</f>
        <v>REGIONAL</v>
      </c>
      <c r="F79" s="3" t="s">
        <v>406</v>
      </c>
      <c r="G79" s="3" t="s">
        <v>407</v>
      </c>
      <c r="H79" s="3" t="s">
        <v>408</v>
      </c>
      <c r="I79" s="3"/>
      <c r="J79" s="3" t="s">
        <v>409</v>
      </c>
      <c r="K79" s="3" t="s">
        <v>37</v>
      </c>
      <c r="L79" s="4">
        <v>9492.6299999999992</v>
      </c>
      <c r="M79" s="4">
        <v>92.1</v>
      </c>
      <c r="N79" s="4" t="str">
        <f>IF(folha1[[#This Row],[Participação (%)]]=100,"BASE PRÓPRIA","BASE POOL")</f>
        <v>BASE POOL</v>
      </c>
      <c r="O79" s="3" t="s">
        <v>410</v>
      </c>
      <c r="P79" s="5">
        <v>44909</v>
      </c>
    </row>
    <row r="80" spans="1:16" ht="19.95" customHeight="1" thickBot="1" x14ac:dyDescent="0.35">
      <c r="A80" s="3" t="s">
        <v>411</v>
      </c>
      <c r="B80" s="3" t="s">
        <v>395</v>
      </c>
      <c r="C80" s="6" t="str">
        <f>VLOOKUP(folha1[[#This Row],[Razão Social]],Planilha1!A:C,2,0)</f>
        <v xml:space="preserve">IDAZA  </v>
      </c>
      <c r="D80" s="3" t="s">
        <v>15</v>
      </c>
      <c r="E80" s="6" t="str">
        <f>VLOOKUP(folha1[[#This Row],[Razão Social]],Planilha1!A:C,3,0)</f>
        <v>REGIONAL</v>
      </c>
      <c r="F80" s="3" t="s">
        <v>412</v>
      </c>
      <c r="G80" s="3" t="s">
        <v>64</v>
      </c>
      <c r="H80" s="3" t="s">
        <v>413</v>
      </c>
      <c r="I80" s="3" t="s">
        <v>414</v>
      </c>
      <c r="J80" s="3" t="s">
        <v>415</v>
      </c>
      <c r="K80" s="3" t="s">
        <v>44</v>
      </c>
      <c r="L80" s="4">
        <v>1538.13</v>
      </c>
      <c r="M80" s="4">
        <v>100</v>
      </c>
      <c r="N80" s="4" t="str">
        <f>IF(folha1[[#This Row],[Participação (%)]]=100,"BASE PRÓPRIA","BASE POOL")</f>
        <v>BASE PRÓPRIA</v>
      </c>
      <c r="O80" s="3" t="s">
        <v>416</v>
      </c>
      <c r="P80" s="5">
        <v>41997</v>
      </c>
    </row>
    <row r="81" spans="1:16" ht="19.95" customHeight="1" thickBot="1" x14ac:dyDescent="0.35">
      <c r="A81" s="3" t="s">
        <v>417</v>
      </c>
      <c r="B81" s="3" t="s">
        <v>395</v>
      </c>
      <c r="C81" s="6" t="str">
        <f>VLOOKUP(folha1[[#This Row],[Razão Social]],Planilha1!A:C,2,0)</f>
        <v xml:space="preserve">IDAZA  </v>
      </c>
      <c r="D81" s="3" t="s">
        <v>15</v>
      </c>
      <c r="E81" s="6" t="str">
        <f>VLOOKUP(folha1[[#This Row],[Razão Social]],Planilha1!A:C,3,0)</f>
        <v>REGIONAL</v>
      </c>
      <c r="F81" s="3" t="s">
        <v>418</v>
      </c>
      <c r="G81" s="3" t="s">
        <v>64</v>
      </c>
      <c r="H81" s="3" t="s">
        <v>419</v>
      </c>
      <c r="I81" s="3" t="s">
        <v>420</v>
      </c>
      <c r="J81" s="3" t="s">
        <v>421</v>
      </c>
      <c r="K81" s="3" t="s">
        <v>44</v>
      </c>
      <c r="L81" s="4">
        <v>10378</v>
      </c>
      <c r="M81" s="4">
        <v>100</v>
      </c>
      <c r="N81" s="4" t="str">
        <f>IF(folha1[[#This Row],[Participação (%)]]=100,"BASE PRÓPRIA","BASE POOL")</f>
        <v>BASE PRÓPRIA</v>
      </c>
      <c r="O81" s="3" t="s">
        <v>422</v>
      </c>
      <c r="P81" s="5">
        <v>45635</v>
      </c>
    </row>
    <row r="82" spans="1:16" ht="19.95" customHeight="1" thickBot="1" x14ac:dyDescent="0.35">
      <c r="A82" s="3" t="s">
        <v>423</v>
      </c>
      <c r="B82" s="3" t="s">
        <v>395</v>
      </c>
      <c r="C82" s="6" t="str">
        <f>VLOOKUP(folha1[[#This Row],[Razão Social]],Planilha1!A:C,2,0)</f>
        <v xml:space="preserve">IDAZA  </v>
      </c>
      <c r="D82" s="3" t="s">
        <v>15</v>
      </c>
      <c r="E82" s="6" t="str">
        <f>VLOOKUP(folha1[[#This Row],[Razão Social]],Planilha1!A:C,3,0)</f>
        <v>REGIONAL</v>
      </c>
      <c r="F82" s="3" t="s">
        <v>424</v>
      </c>
      <c r="G82" s="3" t="s">
        <v>425</v>
      </c>
      <c r="H82" s="3" t="s">
        <v>426</v>
      </c>
      <c r="I82" s="3"/>
      <c r="J82" s="3" t="s">
        <v>43</v>
      </c>
      <c r="K82" s="3" t="s">
        <v>44</v>
      </c>
      <c r="L82" s="4">
        <v>11559.61</v>
      </c>
      <c r="M82" s="4">
        <v>93.93</v>
      </c>
      <c r="N82" s="4" t="str">
        <f>IF(folha1[[#This Row],[Participação (%)]]=100,"BASE PRÓPRIA","BASE POOL")</f>
        <v>BASE POOL</v>
      </c>
      <c r="O82" s="3" t="s">
        <v>427</v>
      </c>
      <c r="P82" s="5">
        <v>45901</v>
      </c>
    </row>
    <row r="83" spans="1:16" ht="19.95" customHeight="1" thickBot="1" x14ac:dyDescent="0.35">
      <c r="A83" s="3" t="s">
        <v>428</v>
      </c>
      <c r="B83" s="3" t="s">
        <v>395</v>
      </c>
      <c r="C83" s="6" t="str">
        <f>VLOOKUP(folha1[[#This Row],[Razão Social]],Planilha1!A:C,2,0)</f>
        <v xml:space="preserve">IDAZA  </v>
      </c>
      <c r="D83" s="3" t="s">
        <v>15</v>
      </c>
      <c r="E83" s="6" t="str">
        <f>VLOOKUP(folha1[[#This Row],[Razão Social]],Planilha1!A:C,3,0)</f>
        <v>REGIONAL</v>
      </c>
      <c r="F83" s="3" t="s">
        <v>429</v>
      </c>
      <c r="G83" s="3" t="s">
        <v>430</v>
      </c>
      <c r="H83" s="3" t="s">
        <v>431</v>
      </c>
      <c r="I83" s="3"/>
      <c r="J83" s="3" t="s">
        <v>432</v>
      </c>
      <c r="K83" s="3" t="s">
        <v>37</v>
      </c>
      <c r="L83" s="4">
        <v>1493.85</v>
      </c>
      <c r="M83" s="4">
        <v>100</v>
      </c>
      <c r="N83" s="4" t="str">
        <f>IF(folha1[[#This Row],[Participação (%)]]=100,"BASE PRÓPRIA","BASE POOL")</f>
        <v>BASE PRÓPRIA</v>
      </c>
      <c r="O83" s="3" t="s">
        <v>433</v>
      </c>
      <c r="P83" s="5">
        <v>40738</v>
      </c>
    </row>
    <row r="84" spans="1:16" ht="19.95" customHeight="1" thickBot="1" x14ac:dyDescent="0.35">
      <c r="A84" s="3" t="s">
        <v>434</v>
      </c>
      <c r="B84" s="3" t="s">
        <v>435</v>
      </c>
      <c r="C84" s="6" t="str">
        <f>VLOOKUP(folha1[[#This Row],[Razão Social]],Planilha1!A:C,2,0)</f>
        <v>RAIZEN MIME COMBUSTIVEIS .</v>
      </c>
      <c r="D84" s="3" t="s">
        <v>15</v>
      </c>
      <c r="E84" s="6" t="str">
        <f>VLOOKUP(folha1[[#This Row],[Razão Social]],Planilha1!A:C,3,0)</f>
        <v>MAJOR</v>
      </c>
      <c r="F84" s="3" t="s">
        <v>436</v>
      </c>
      <c r="G84" s="3" t="s">
        <v>437</v>
      </c>
      <c r="H84" s="3" t="s">
        <v>438</v>
      </c>
      <c r="I84" s="3"/>
      <c r="J84" s="3" t="s">
        <v>439</v>
      </c>
      <c r="K84" s="3" t="s">
        <v>37</v>
      </c>
      <c r="L84" s="4">
        <v>840</v>
      </c>
      <c r="M84" s="4">
        <v>100</v>
      </c>
      <c r="N84" s="4" t="str">
        <f>IF(folha1[[#This Row],[Participação (%)]]=100,"BASE PRÓPRIA","BASE POOL")</f>
        <v>BASE PRÓPRIA</v>
      </c>
      <c r="O84" s="3" t="s">
        <v>440</v>
      </c>
      <c r="P84" s="5">
        <v>45917</v>
      </c>
    </row>
    <row r="85" spans="1:16" ht="19.95" customHeight="1" thickBot="1" x14ac:dyDescent="0.35">
      <c r="A85" s="3" t="s">
        <v>441</v>
      </c>
      <c r="B85" s="3" t="s">
        <v>435</v>
      </c>
      <c r="C85" s="6" t="str">
        <f>VLOOKUP(folha1[[#This Row],[Razão Social]],Planilha1!A:C,2,0)</f>
        <v>RAIZEN MIME COMBUSTIVEIS .</v>
      </c>
      <c r="D85" s="3" t="s">
        <v>15</v>
      </c>
      <c r="E85" s="6" t="str">
        <f>VLOOKUP(folha1[[#This Row],[Razão Social]],Planilha1!A:C,3,0)</f>
        <v>MAJOR</v>
      </c>
      <c r="F85" s="3" t="s">
        <v>442</v>
      </c>
      <c r="G85" s="3" t="s">
        <v>24</v>
      </c>
      <c r="H85" s="3" t="s">
        <v>443</v>
      </c>
      <c r="I85" s="3" t="s">
        <v>444</v>
      </c>
      <c r="J85" s="3" t="s">
        <v>445</v>
      </c>
      <c r="K85" s="3" t="s">
        <v>37</v>
      </c>
      <c r="L85" s="4">
        <v>1490</v>
      </c>
      <c r="M85" s="4">
        <v>100</v>
      </c>
      <c r="N85" s="4" t="str">
        <f>IF(folha1[[#This Row],[Participação (%)]]=100,"BASE PRÓPRIA","BASE POOL")</f>
        <v>BASE PRÓPRIA</v>
      </c>
      <c r="O85" s="3" t="s">
        <v>446</v>
      </c>
      <c r="P85" s="5">
        <v>44354</v>
      </c>
    </row>
    <row r="86" spans="1:16" ht="19.95" customHeight="1" thickBot="1" x14ac:dyDescent="0.35">
      <c r="A86" s="3" t="s">
        <v>447</v>
      </c>
      <c r="B86" s="3" t="s">
        <v>435</v>
      </c>
      <c r="C86" s="6" t="str">
        <f>VLOOKUP(folha1[[#This Row],[Razão Social]],Planilha1!A:C,2,0)</f>
        <v>RAIZEN MIME COMBUSTIVEIS .</v>
      </c>
      <c r="D86" s="3" t="s">
        <v>15</v>
      </c>
      <c r="E86" s="6" t="str">
        <f>VLOOKUP(folha1[[#This Row],[Razão Social]],Planilha1!A:C,3,0)</f>
        <v>MAJOR</v>
      </c>
      <c r="F86" s="3" t="s">
        <v>448</v>
      </c>
      <c r="G86" s="3" t="s">
        <v>449</v>
      </c>
      <c r="H86" s="3" t="s">
        <v>450</v>
      </c>
      <c r="I86" s="3"/>
      <c r="J86" s="3" t="s">
        <v>451</v>
      </c>
      <c r="K86" s="3" t="s">
        <v>37</v>
      </c>
      <c r="L86" s="4">
        <v>1506.97</v>
      </c>
      <c r="M86" s="4">
        <v>100</v>
      </c>
      <c r="N86" s="4" t="str">
        <f>IF(folha1[[#This Row],[Participação (%)]]=100,"BASE PRÓPRIA","BASE POOL")</f>
        <v>BASE PRÓPRIA</v>
      </c>
      <c r="O86" s="3" t="s">
        <v>452</v>
      </c>
      <c r="P86" s="5">
        <v>43956</v>
      </c>
    </row>
    <row r="87" spans="1:16" ht="19.95" customHeight="1" thickBot="1" x14ac:dyDescent="0.35">
      <c r="A87" s="3" t="s">
        <v>453</v>
      </c>
      <c r="B87" s="3" t="s">
        <v>435</v>
      </c>
      <c r="C87" s="6" t="str">
        <f>VLOOKUP(folha1[[#This Row],[Razão Social]],Planilha1!A:C,2,0)</f>
        <v>RAIZEN MIME COMBUSTIVEIS .</v>
      </c>
      <c r="D87" s="3" t="s">
        <v>15</v>
      </c>
      <c r="E87" s="6" t="str">
        <f>VLOOKUP(folha1[[#This Row],[Razão Social]],Planilha1!A:C,3,0)</f>
        <v>MAJOR</v>
      </c>
      <c r="F87" s="3" t="s">
        <v>454</v>
      </c>
      <c r="G87" s="3" t="s">
        <v>455</v>
      </c>
      <c r="H87" s="3" t="s">
        <v>456</v>
      </c>
      <c r="I87" s="3"/>
      <c r="J87" s="3" t="s">
        <v>36</v>
      </c>
      <c r="K87" s="3" t="s">
        <v>37</v>
      </c>
      <c r="L87" s="4">
        <v>14961.43</v>
      </c>
      <c r="M87" s="4">
        <v>28.95</v>
      </c>
      <c r="N87" s="4" t="str">
        <f>IF(folha1[[#This Row],[Participação (%)]]=100,"BASE PRÓPRIA","BASE POOL")</f>
        <v>BASE POOL</v>
      </c>
      <c r="O87" s="3" t="s">
        <v>457</v>
      </c>
      <c r="P87" s="5">
        <v>42129</v>
      </c>
    </row>
    <row r="88" spans="1:16" ht="19.95" customHeight="1" thickBot="1" x14ac:dyDescent="0.35">
      <c r="A88" s="3" t="s">
        <v>458</v>
      </c>
      <c r="B88" s="3" t="s">
        <v>459</v>
      </c>
      <c r="C88" s="6" t="str">
        <f>VLOOKUP(folha1[[#This Row],[Razão Social]],Planilha1!A:C,2,0)</f>
        <v>ESTRADA  .</v>
      </c>
      <c r="D88" s="3" t="s">
        <v>15</v>
      </c>
      <c r="E88" s="6" t="str">
        <f>VLOOKUP(folha1[[#This Row],[Razão Social]],Planilha1!A:C,3,0)</f>
        <v>REGIONAL</v>
      </c>
      <c r="F88" s="3" t="s">
        <v>460</v>
      </c>
      <c r="G88" s="3" t="s">
        <v>64</v>
      </c>
      <c r="H88" s="3" t="s">
        <v>461</v>
      </c>
      <c r="I88" s="3" t="s">
        <v>462</v>
      </c>
      <c r="J88" s="3" t="s">
        <v>421</v>
      </c>
      <c r="K88" s="3" t="s">
        <v>44</v>
      </c>
      <c r="L88" s="4">
        <v>9732.9699999999993</v>
      </c>
      <c r="M88" s="4">
        <v>100</v>
      </c>
      <c r="N88" s="4" t="str">
        <f>IF(folha1[[#This Row],[Participação (%)]]=100,"BASE PRÓPRIA","BASE POOL")</f>
        <v>BASE PRÓPRIA</v>
      </c>
      <c r="O88" s="3" t="s">
        <v>463</v>
      </c>
      <c r="P88" s="5">
        <v>45775</v>
      </c>
    </row>
    <row r="89" spans="1:16" ht="19.95" customHeight="1" thickBot="1" x14ac:dyDescent="0.35">
      <c r="A89" s="3" t="s">
        <v>464</v>
      </c>
      <c r="B89" s="3" t="s">
        <v>465</v>
      </c>
      <c r="C89" s="6" t="str">
        <f>VLOOKUP(folha1[[#This Row],[Razão Social]],Planilha1!A:C,2,0)</f>
        <v>TORRÃO .</v>
      </c>
      <c r="D89" s="3" t="s">
        <v>15</v>
      </c>
      <c r="E89" s="6" t="str">
        <f>VLOOKUP(folha1[[#This Row],[Razão Social]],Planilha1!A:C,3,0)</f>
        <v>REGIONAL</v>
      </c>
      <c r="F89" s="3" t="s">
        <v>16</v>
      </c>
      <c r="G89" s="3" t="s">
        <v>466</v>
      </c>
      <c r="H89" s="3" t="s">
        <v>18</v>
      </c>
      <c r="I89" s="3"/>
      <c r="J89" s="3" t="s">
        <v>19</v>
      </c>
      <c r="K89" s="3" t="s">
        <v>20</v>
      </c>
      <c r="L89" s="4">
        <v>7354.65</v>
      </c>
      <c r="M89" s="4">
        <v>100</v>
      </c>
      <c r="N89" s="4" t="str">
        <f>IF(folha1[[#This Row],[Participação (%)]]=100,"BASE PRÓPRIA","BASE POOL")</f>
        <v>BASE PRÓPRIA</v>
      </c>
      <c r="O89" s="3" t="s">
        <v>467</v>
      </c>
      <c r="P89" s="5">
        <v>40738</v>
      </c>
    </row>
    <row r="90" spans="1:16" ht="19.95" customHeight="1" thickBot="1" x14ac:dyDescent="0.35">
      <c r="A90" s="3" t="s">
        <v>468</v>
      </c>
      <c r="B90" s="3" t="s">
        <v>465</v>
      </c>
      <c r="C90" s="6" t="str">
        <f>VLOOKUP(folha1[[#This Row],[Razão Social]],Planilha1!A:C,2,0)</f>
        <v>TORRÃO .</v>
      </c>
      <c r="D90" s="3" t="s">
        <v>15</v>
      </c>
      <c r="E90" s="6" t="str">
        <f>VLOOKUP(folha1[[#This Row],[Razão Social]],Planilha1!A:C,3,0)</f>
        <v>REGIONAL</v>
      </c>
      <c r="F90" s="3" t="s">
        <v>469</v>
      </c>
      <c r="G90" s="3" t="s">
        <v>272</v>
      </c>
      <c r="H90" s="3" t="s">
        <v>470</v>
      </c>
      <c r="I90" s="3"/>
      <c r="J90" s="3" t="s">
        <v>471</v>
      </c>
      <c r="K90" s="3" t="s">
        <v>20</v>
      </c>
      <c r="L90" s="4">
        <v>8634.69</v>
      </c>
      <c r="M90" s="4">
        <v>11.27</v>
      </c>
      <c r="N90" s="4" t="str">
        <f>IF(folha1[[#This Row],[Participação (%)]]=100,"BASE PRÓPRIA","BASE POOL")</f>
        <v>BASE POOL</v>
      </c>
      <c r="O90" s="3" t="s">
        <v>472</v>
      </c>
      <c r="P90" s="5">
        <v>41564</v>
      </c>
    </row>
    <row r="91" spans="1:16" ht="19.95" customHeight="1" thickBot="1" x14ac:dyDescent="0.35">
      <c r="A91" s="3" t="s">
        <v>473</v>
      </c>
      <c r="B91" s="3" t="s">
        <v>465</v>
      </c>
      <c r="C91" s="6" t="str">
        <f>VLOOKUP(folha1[[#This Row],[Razão Social]],Planilha1!A:C,2,0)</f>
        <v>TORRÃO .</v>
      </c>
      <c r="D91" s="3" t="s">
        <v>15</v>
      </c>
      <c r="E91" s="6" t="str">
        <f>VLOOKUP(folha1[[#This Row],[Razão Social]],Planilha1!A:C,3,0)</f>
        <v>REGIONAL</v>
      </c>
      <c r="F91" s="3" t="s">
        <v>474</v>
      </c>
      <c r="G91" s="3" t="s">
        <v>475</v>
      </c>
      <c r="H91" s="3" t="s">
        <v>149</v>
      </c>
      <c r="I91" s="3"/>
      <c r="J91" s="3" t="s">
        <v>117</v>
      </c>
      <c r="K91" s="3" t="s">
        <v>118</v>
      </c>
      <c r="L91" s="4">
        <v>1876</v>
      </c>
      <c r="M91" s="4">
        <v>100</v>
      </c>
      <c r="N91" s="4" t="str">
        <f>IF(folha1[[#This Row],[Participação (%)]]=100,"BASE PRÓPRIA","BASE POOL")</f>
        <v>BASE PRÓPRIA</v>
      </c>
      <c r="O91" s="3" t="s">
        <v>476</v>
      </c>
      <c r="P91" s="5">
        <v>44869</v>
      </c>
    </row>
    <row r="92" spans="1:16" ht="19.95" customHeight="1" thickBot="1" x14ac:dyDescent="0.35">
      <c r="A92" s="3" t="s">
        <v>477</v>
      </c>
      <c r="B92" s="3" t="s">
        <v>465</v>
      </c>
      <c r="C92" s="6" t="str">
        <f>VLOOKUP(folha1[[#This Row],[Razão Social]],Planilha1!A:C,2,0)</f>
        <v>TORRÃO .</v>
      </c>
      <c r="D92" s="3" t="s">
        <v>15</v>
      </c>
      <c r="E92" s="6" t="str">
        <f>VLOOKUP(folha1[[#This Row],[Razão Social]],Planilha1!A:C,3,0)</f>
        <v>REGIONAL</v>
      </c>
      <c r="F92" s="3" t="s">
        <v>211</v>
      </c>
      <c r="G92" s="3" t="s">
        <v>212</v>
      </c>
      <c r="H92" s="3" t="s">
        <v>213</v>
      </c>
      <c r="I92" s="3" t="s">
        <v>214</v>
      </c>
      <c r="J92" s="3" t="s">
        <v>215</v>
      </c>
      <c r="K92" s="3" t="s">
        <v>87</v>
      </c>
      <c r="L92" s="4">
        <v>8187.78</v>
      </c>
      <c r="M92" s="4">
        <v>20</v>
      </c>
      <c r="N92" s="4" t="str">
        <f>IF(folha1[[#This Row],[Participação (%)]]=100,"BASE PRÓPRIA","BASE POOL")</f>
        <v>BASE POOL</v>
      </c>
      <c r="O92" s="3" t="s">
        <v>112</v>
      </c>
      <c r="P92" s="5">
        <v>43801</v>
      </c>
    </row>
    <row r="93" spans="1:16" ht="19.95" customHeight="1" thickBot="1" x14ac:dyDescent="0.35">
      <c r="A93" s="3" t="s">
        <v>478</v>
      </c>
      <c r="B93" s="3" t="s">
        <v>465</v>
      </c>
      <c r="C93" s="6" t="str">
        <f>VLOOKUP(folha1[[#This Row],[Razão Social]],Planilha1!A:C,2,0)</f>
        <v>TORRÃO .</v>
      </c>
      <c r="D93" s="3" t="s">
        <v>15</v>
      </c>
      <c r="E93" s="6" t="str">
        <f>VLOOKUP(folha1[[#This Row],[Razão Social]],Planilha1!A:C,3,0)</f>
        <v>REGIONAL</v>
      </c>
      <c r="F93" s="3" t="s">
        <v>217</v>
      </c>
      <c r="G93" s="3" t="s">
        <v>218</v>
      </c>
      <c r="H93" s="3" t="s">
        <v>219</v>
      </c>
      <c r="I93" s="3"/>
      <c r="J93" s="3" t="s">
        <v>80</v>
      </c>
      <c r="K93" s="3" t="s">
        <v>20</v>
      </c>
      <c r="L93" s="4">
        <v>11732.83</v>
      </c>
      <c r="M93" s="4">
        <v>5.95</v>
      </c>
      <c r="N93" s="4" t="str">
        <f>IF(folha1[[#This Row],[Participação (%)]]=100,"BASE PRÓPRIA","BASE POOL")</f>
        <v>BASE POOL</v>
      </c>
      <c r="O93" s="3" t="s">
        <v>220</v>
      </c>
      <c r="P93" s="5">
        <v>45183</v>
      </c>
    </row>
    <row r="94" spans="1:16" ht="19.95" customHeight="1" thickBot="1" x14ac:dyDescent="0.35">
      <c r="A94" s="3" t="s">
        <v>479</v>
      </c>
      <c r="B94" s="3" t="s">
        <v>465</v>
      </c>
      <c r="C94" s="6" t="str">
        <f>VLOOKUP(folha1[[#This Row],[Razão Social]],Planilha1!A:C,2,0)</f>
        <v>TORRÃO .</v>
      </c>
      <c r="D94" s="3" t="s">
        <v>15</v>
      </c>
      <c r="E94" s="6" t="str">
        <f>VLOOKUP(folha1[[#This Row],[Razão Social]],Planilha1!A:C,3,0)</f>
        <v>REGIONAL</v>
      </c>
      <c r="F94" s="3" t="s">
        <v>480</v>
      </c>
      <c r="G94" s="3" t="s">
        <v>481</v>
      </c>
      <c r="H94" s="3" t="s">
        <v>482</v>
      </c>
      <c r="I94" s="3"/>
      <c r="J94" s="3" t="s">
        <v>19</v>
      </c>
      <c r="K94" s="3" t="s">
        <v>20</v>
      </c>
      <c r="L94" s="4">
        <v>9503</v>
      </c>
      <c r="M94" s="4">
        <v>100</v>
      </c>
      <c r="N94" s="4" t="str">
        <f>IF(folha1[[#This Row],[Participação (%)]]=100,"BASE PRÓPRIA","BASE POOL")</f>
        <v>BASE PRÓPRIA</v>
      </c>
      <c r="O94" s="3" t="s">
        <v>483</v>
      </c>
      <c r="P94" s="5">
        <v>42720</v>
      </c>
    </row>
    <row r="95" spans="1:16" ht="19.95" customHeight="1" thickBot="1" x14ac:dyDescent="0.35">
      <c r="A95" s="3" t="s">
        <v>484</v>
      </c>
      <c r="B95" s="3" t="s">
        <v>465</v>
      </c>
      <c r="C95" s="6" t="str">
        <f>VLOOKUP(folha1[[#This Row],[Razão Social]],Planilha1!A:C,2,0)</f>
        <v>TORRÃO .</v>
      </c>
      <c r="D95" s="3" t="s">
        <v>15</v>
      </c>
      <c r="E95" s="6" t="str">
        <f>VLOOKUP(folha1[[#This Row],[Razão Social]],Planilha1!A:C,3,0)</f>
        <v>REGIONAL</v>
      </c>
      <c r="F95" s="3" t="s">
        <v>284</v>
      </c>
      <c r="G95" s="3" t="s">
        <v>64</v>
      </c>
      <c r="H95" s="3" t="s">
        <v>85</v>
      </c>
      <c r="I95" s="3" t="s">
        <v>285</v>
      </c>
      <c r="J95" s="3" t="s">
        <v>156</v>
      </c>
      <c r="K95" s="3" t="s">
        <v>139</v>
      </c>
      <c r="L95" s="4">
        <v>6867</v>
      </c>
      <c r="M95" s="4">
        <v>22.34</v>
      </c>
      <c r="N95" s="4" t="str">
        <f>IF(folha1[[#This Row],[Participação (%)]]=100,"BASE PRÓPRIA","BASE POOL")</f>
        <v>BASE POOL</v>
      </c>
      <c r="O95" s="3" t="s">
        <v>286</v>
      </c>
      <c r="P95" s="5">
        <v>44104</v>
      </c>
    </row>
    <row r="96" spans="1:16" ht="19.95" customHeight="1" thickBot="1" x14ac:dyDescent="0.35">
      <c r="A96" s="3" t="s">
        <v>485</v>
      </c>
      <c r="B96" s="3" t="s">
        <v>465</v>
      </c>
      <c r="C96" s="6" t="str">
        <f>VLOOKUP(folha1[[#This Row],[Razão Social]],Planilha1!A:C,2,0)</f>
        <v>TORRÃO .</v>
      </c>
      <c r="D96" s="3" t="s">
        <v>15</v>
      </c>
      <c r="E96" s="6" t="str">
        <f>VLOOKUP(folha1[[#This Row],[Razão Social]],Planilha1!A:C,3,0)</f>
        <v>REGIONAL</v>
      </c>
      <c r="F96" s="3" t="s">
        <v>122</v>
      </c>
      <c r="G96" s="3" t="s">
        <v>123</v>
      </c>
      <c r="H96" s="3" t="s">
        <v>124</v>
      </c>
      <c r="I96" s="3" t="s">
        <v>125</v>
      </c>
      <c r="J96" s="3" t="s">
        <v>126</v>
      </c>
      <c r="K96" s="3" t="s">
        <v>87</v>
      </c>
      <c r="L96" s="4">
        <v>6123.7</v>
      </c>
      <c r="M96" s="4">
        <v>12.25</v>
      </c>
      <c r="N96" s="4" t="str">
        <f>IF(folha1[[#This Row],[Participação (%)]]=100,"BASE PRÓPRIA","BASE POOL")</f>
        <v>BASE POOL</v>
      </c>
      <c r="O96" s="3" t="s">
        <v>127</v>
      </c>
      <c r="P96" s="5">
        <v>46104</v>
      </c>
    </row>
    <row r="97" spans="1:16" ht="19.95" customHeight="1" thickBot="1" x14ac:dyDescent="0.35">
      <c r="A97" s="3" t="s">
        <v>486</v>
      </c>
      <c r="B97" s="3" t="s">
        <v>487</v>
      </c>
      <c r="C97" s="6" t="str">
        <f>VLOOKUP(folha1[[#This Row],[Razão Social]],Planilha1!A:C,2,0)</f>
        <v xml:space="preserve"> MONTEPETRO DE PETRÓLEO .</v>
      </c>
      <c r="D97" s="3" t="s">
        <v>15</v>
      </c>
      <c r="E97" s="6" t="str">
        <f>VLOOKUP(folha1[[#This Row],[Razão Social]],Planilha1!A:C,3,0)</f>
        <v>REGIONAL</v>
      </c>
      <c r="F97" s="3" t="s">
        <v>488</v>
      </c>
      <c r="G97" s="3" t="s">
        <v>489</v>
      </c>
      <c r="H97" s="3" t="s">
        <v>490</v>
      </c>
      <c r="I97" s="3"/>
      <c r="J97" s="3" t="s">
        <v>126</v>
      </c>
      <c r="K97" s="3" t="s">
        <v>87</v>
      </c>
      <c r="L97" s="4">
        <v>1450</v>
      </c>
      <c r="M97" s="4">
        <v>100</v>
      </c>
      <c r="N97" s="4" t="str">
        <f>IF(folha1[[#This Row],[Participação (%)]]=100,"BASE PRÓPRIA","BASE POOL")</f>
        <v>BASE PRÓPRIA</v>
      </c>
      <c r="O97" s="3" t="s">
        <v>491</v>
      </c>
      <c r="P97" s="5">
        <v>44224</v>
      </c>
    </row>
    <row r="98" spans="1:16" ht="19.95" customHeight="1" thickBot="1" x14ac:dyDescent="0.35">
      <c r="A98" s="3" t="s">
        <v>492</v>
      </c>
      <c r="B98" s="3" t="s">
        <v>493</v>
      </c>
      <c r="C98" s="6" t="str">
        <f>VLOOKUP(folha1[[#This Row],[Razão Social]],Planilha1!A:C,2,0)</f>
        <v>AMERICANOIL  .</v>
      </c>
      <c r="D98" s="3" t="s">
        <v>15</v>
      </c>
      <c r="E98" s="6" t="str">
        <f>VLOOKUP(folha1[[#This Row],[Razão Social]],Planilha1!A:C,3,0)</f>
        <v>REGIONAL</v>
      </c>
      <c r="F98" s="3" t="s">
        <v>406</v>
      </c>
      <c r="G98" s="3" t="s">
        <v>407</v>
      </c>
      <c r="H98" s="3" t="s">
        <v>408</v>
      </c>
      <c r="I98" s="3"/>
      <c r="J98" s="3" t="s">
        <v>409</v>
      </c>
      <c r="K98" s="3" t="s">
        <v>37</v>
      </c>
      <c r="L98" s="4">
        <v>9492.6299999999992</v>
      </c>
      <c r="M98" s="4">
        <v>7.9</v>
      </c>
      <c r="N98" s="4" t="str">
        <f>IF(folha1[[#This Row],[Participação (%)]]=100,"BASE PRÓPRIA","BASE POOL")</f>
        <v>BASE POOL</v>
      </c>
      <c r="O98" s="3" t="s">
        <v>410</v>
      </c>
      <c r="P98" s="5">
        <v>44909</v>
      </c>
    </row>
    <row r="99" spans="1:16" ht="19.95" customHeight="1" thickBot="1" x14ac:dyDescent="0.35">
      <c r="A99" s="3" t="s">
        <v>494</v>
      </c>
      <c r="B99" s="3" t="s">
        <v>495</v>
      </c>
      <c r="C99" s="6" t="str">
        <f>VLOOKUP(folha1[[#This Row],[Razão Social]],Planilha1!A:C,2,0)</f>
        <v>SMALL  .</v>
      </c>
      <c r="D99" s="3" t="s">
        <v>15</v>
      </c>
      <c r="E99" s="6" t="str">
        <f>VLOOKUP(folha1[[#This Row],[Razão Social]],Planilha1!A:C,3,0)</f>
        <v>REGIONAL</v>
      </c>
      <c r="F99" s="3" t="s">
        <v>496</v>
      </c>
      <c r="G99" s="3" t="s">
        <v>497</v>
      </c>
      <c r="H99" s="3" t="s">
        <v>498</v>
      </c>
      <c r="I99" s="3"/>
      <c r="J99" s="3" t="s">
        <v>111</v>
      </c>
      <c r="K99" s="3" t="s">
        <v>68</v>
      </c>
      <c r="L99" s="4">
        <v>800</v>
      </c>
      <c r="M99" s="4">
        <v>100</v>
      </c>
      <c r="N99" s="4" t="str">
        <f>IF(folha1[[#This Row],[Participação (%)]]=100,"BASE PRÓPRIA","BASE POOL")</f>
        <v>BASE PRÓPRIA</v>
      </c>
      <c r="O99" s="3" t="s">
        <v>499</v>
      </c>
      <c r="P99" s="5">
        <v>37754</v>
      </c>
    </row>
    <row r="100" spans="1:16" ht="19.95" customHeight="1" thickBot="1" x14ac:dyDescent="0.35">
      <c r="A100" s="3" t="s">
        <v>500</v>
      </c>
      <c r="B100" s="3" t="s">
        <v>495</v>
      </c>
      <c r="C100" s="6" t="str">
        <f>VLOOKUP(folha1[[#This Row],[Razão Social]],Planilha1!A:C,2,0)</f>
        <v>SMALL  .</v>
      </c>
      <c r="D100" s="3" t="s">
        <v>15</v>
      </c>
      <c r="E100" s="6" t="str">
        <f>VLOOKUP(folha1[[#This Row],[Razão Social]],Planilha1!A:C,3,0)</f>
        <v>REGIONAL</v>
      </c>
      <c r="F100" s="3" t="s">
        <v>501</v>
      </c>
      <c r="G100" s="3" t="s">
        <v>64</v>
      </c>
      <c r="H100" s="3" t="s">
        <v>502</v>
      </c>
      <c r="I100" s="3" t="s">
        <v>503</v>
      </c>
      <c r="J100" s="3" t="s">
        <v>504</v>
      </c>
      <c r="K100" s="3" t="s">
        <v>20</v>
      </c>
      <c r="L100" s="4">
        <v>2211.7199999999998</v>
      </c>
      <c r="M100" s="4">
        <v>100</v>
      </c>
      <c r="N100" s="4" t="str">
        <f>IF(folha1[[#This Row],[Participação (%)]]=100,"BASE PRÓPRIA","BASE POOL")</f>
        <v>BASE PRÓPRIA</v>
      </c>
      <c r="O100" s="3" t="s">
        <v>505</v>
      </c>
      <c r="P100" s="5">
        <v>41869</v>
      </c>
    </row>
    <row r="101" spans="1:16" ht="19.95" customHeight="1" thickBot="1" x14ac:dyDescent="0.35">
      <c r="A101" s="3" t="s">
        <v>506</v>
      </c>
      <c r="B101" s="3" t="s">
        <v>495</v>
      </c>
      <c r="C101" s="6" t="str">
        <f>VLOOKUP(folha1[[#This Row],[Razão Social]],Planilha1!A:C,2,0)</f>
        <v>SMALL  .</v>
      </c>
      <c r="D101" s="3" t="s">
        <v>15</v>
      </c>
      <c r="E101" s="6" t="str">
        <f>VLOOKUP(folha1[[#This Row],[Razão Social]],Planilha1!A:C,3,0)</f>
        <v>REGIONAL</v>
      </c>
      <c r="F101" s="3" t="s">
        <v>507</v>
      </c>
      <c r="G101" s="3" t="s">
        <v>508</v>
      </c>
      <c r="H101" s="3" t="s">
        <v>509</v>
      </c>
      <c r="I101" s="3"/>
      <c r="J101" s="3" t="s">
        <v>399</v>
      </c>
      <c r="K101" s="3" t="s">
        <v>118</v>
      </c>
      <c r="L101" s="4">
        <v>996</v>
      </c>
      <c r="M101" s="4">
        <v>100</v>
      </c>
      <c r="N101" s="4" t="str">
        <f>IF(folha1[[#This Row],[Participação (%)]]=100,"BASE PRÓPRIA","BASE POOL")</f>
        <v>BASE PRÓPRIA</v>
      </c>
      <c r="O101" s="3" t="s">
        <v>510</v>
      </c>
      <c r="P101" s="5">
        <v>41807</v>
      </c>
    </row>
    <row r="102" spans="1:16" ht="19.95" customHeight="1" thickBot="1" x14ac:dyDescent="0.35">
      <c r="A102" s="3" t="s">
        <v>511</v>
      </c>
      <c r="B102" s="3" t="s">
        <v>512</v>
      </c>
      <c r="C102" s="6" t="str">
        <f>VLOOKUP(folha1[[#This Row],[Razão Social]],Planilha1!A:C,2,0)</f>
        <v xml:space="preserve">PETRONAC NACIONAL </v>
      </c>
      <c r="D102" s="3" t="s">
        <v>15</v>
      </c>
      <c r="E102" s="6" t="str">
        <f>VLOOKUP(folha1[[#This Row],[Razão Social]],Planilha1!A:C,3,0)</f>
        <v>REGIONAL</v>
      </c>
      <c r="F102" s="3" t="s">
        <v>378</v>
      </c>
      <c r="G102" s="3" t="s">
        <v>379</v>
      </c>
      <c r="H102" s="3" t="s">
        <v>380</v>
      </c>
      <c r="I102" s="3"/>
      <c r="J102" s="3" t="s">
        <v>19</v>
      </c>
      <c r="K102" s="3" t="s">
        <v>20</v>
      </c>
      <c r="L102" s="4">
        <v>10019.959999999999</v>
      </c>
      <c r="M102" s="4">
        <v>15.38</v>
      </c>
      <c r="N102" s="4" t="str">
        <f>IF(folha1[[#This Row],[Participação (%)]]=100,"BASE PRÓPRIA","BASE POOL")</f>
        <v>BASE POOL</v>
      </c>
      <c r="O102" s="3" t="s">
        <v>381</v>
      </c>
      <c r="P102" s="5">
        <v>42662</v>
      </c>
    </row>
    <row r="103" spans="1:16" ht="19.95" customHeight="1" thickBot="1" x14ac:dyDescent="0.35">
      <c r="A103" s="3" t="s">
        <v>513</v>
      </c>
      <c r="B103" s="3" t="s">
        <v>514</v>
      </c>
      <c r="C103" s="6" t="str">
        <f>VLOOKUP(folha1[[#This Row],[Razão Social]],Planilha1!A:C,2,0)</f>
        <v xml:space="preserve">MAR AZUL  </v>
      </c>
      <c r="D103" s="3" t="s">
        <v>15</v>
      </c>
      <c r="E103" s="6" t="str">
        <f>VLOOKUP(folha1[[#This Row],[Razão Social]],Planilha1!A:C,3,0)</f>
        <v>REGIONAL</v>
      </c>
      <c r="F103" s="3" t="s">
        <v>515</v>
      </c>
      <c r="G103" s="3" t="s">
        <v>516</v>
      </c>
      <c r="H103" s="3" t="s">
        <v>175</v>
      </c>
      <c r="I103" s="3" t="s">
        <v>517</v>
      </c>
      <c r="J103" s="3" t="s">
        <v>117</v>
      </c>
      <c r="K103" s="3" t="s">
        <v>118</v>
      </c>
      <c r="L103" s="4">
        <v>1912.5</v>
      </c>
      <c r="M103" s="4">
        <v>100</v>
      </c>
      <c r="N103" s="4" t="str">
        <f>IF(folha1[[#This Row],[Participação (%)]]=100,"BASE PRÓPRIA","BASE POOL")</f>
        <v>BASE PRÓPRIA</v>
      </c>
      <c r="O103" s="3" t="s">
        <v>518</v>
      </c>
      <c r="P103" s="5">
        <v>45601</v>
      </c>
    </row>
    <row r="104" spans="1:16" ht="19.95" customHeight="1" thickBot="1" x14ac:dyDescent="0.35">
      <c r="A104" s="3" t="s">
        <v>519</v>
      </c>
      <c r="B104" s="3" t="s">
        <v>520</v>
      </c>
      <c r="C104" s="6" t="str">
        <f>VLOOKUP(folha1[[#This Row],[Razão Social]],Planilha1!A:C,2,0)</f>
        <v xml:space="preserve"> TABOCÃO .</v>
      </c>
      <c r="D104" s="3" t="s">
        <v>15</v>
      </c>
      <c r="E104" s="6" t="str">
        <f>VLOOKUP(folha1[[#This Row],[Razão Social]],Planilha1!A:C,3,0)</f>
        <v>REGIONAL</v>
      </c>
      <c r="F104" s="3" t="s">
        <v>129</v>
      </c>
      <c r="G104" s="3" t="s">
        <v>24</v>
      </c>
      <c r="H104" s="3" t="s">
        <v>130</v>
      </c>
      <c r="I104" s="3" t="s">
        <v>131</v>
      </c>
      <c r="J104" s="3" t="s">
        <v>27</v>
      </c>
      <c r="K104" s="3" t="s">
        <v>28</v>
      </c>
      <c r="L104" s="4">
        <v>13681.7</v>
      </c>
      <c r="M104" s="4">
        <v>6</v>
      </c>
      <c r="N104" s="4" t="str">
        <f>IF(folha1[[#This Row],[Participação (%)]]=100,"BASE PRÓPRIA","BASE POOL")</f>
        <v>BASE POOL</v>
      </c>
      <c r="O104" s="3" t="s">
        <v>132</v>
      </c>
      <c r="P104" s="5">
        <v>45817</v>
      </c>
    </row>
    <row r="105" spans="1:16" ht="19.95" customHeight="1" thickBot="1" x14ac:dyDescent="0.35">
      <c r="A105" s="3" t="s">
        <v>521</v>
      </c>
      <c r="B105" s="3" t="s">
        <v>522</v>
      </c>
      <c r="C105" s="6" t="str">
        <f>VLOOKUP(folha1[[#This Row],[Razão Social]],Planilha1!A:C,2,0)</f>
        <v>JACAR  .</v>
      </c>
      <c r="D105" s="3" t="s">
        <v>15</v>
      </c>
      <c r="E105" s="6" t="str">
        <f>VLOOKUP(folha1[[#This Row],[Razão Social]],Planilha1!A:C,3,0)</f>
        <v>REGIONAL</v>
      </c>
      <c r="F105" s="3" t="s">
        <v>523</v>
      </c>
      <c r="G105" s="3" t="s">
        <v>524</v>
      </c>
      <c r="H105" s="3" t="s">
        <v>525</v>
      </c>
      <c r="I105" s="3" t="s">
        <v>526</v>
      </c>
      <c r="J105" s="3" t="s">
        <v>320</v>
      </c>
      <c r="K105" s="3" t="s">
        <v>118</v>
      </c>
      <c r="L105" s="4">
        <v>3838.98</v>
      </c>
      <c r="M105" s="4">
        <v>20</v>
      </c>
      <c r="N105" s="4" t="str">
        <f>IF(folha1[[#This Row],[Participação (%)]]=100,"BASE PRÓPRIA","BASE POOL")</f>
        <v>BASE POOL</v>
      </c>
      <c r="O105" s="3" t="s">
        <v>527</v>
      </c>
      <c r="P105" s="5">
        <v>44950</v>
      </c>
    </row>
    <row r="106" spans="1:16" ht="19.95" customHeight="1" thickBot="1" x14ac:dyDescent="0.35">
      <c r="A106" s="3" t="s">
        <v>528</v>
      </c>
      <c r="B106" s="3" t="s">
        <v>529</v>
      </c>
      <c r="C106" s="6" t="str">
        <f>VLOOKUP(folha1[[#This Row],[Razão Social]],Planilha1!A:C,2,0)</f>
        <v>HORA  .</v>
      </c>
      <c r="D106" s="3" t="s">
        <v>15</v>
      </c>
      <c r="E106" s="6" t="str">
        <f>VLOOKUP(folha1[[#This Row],[Razão Social]],Planilha1!A:C,3,0)</f>
        <v>REGIONAL</v>
      </c>
      <c r="F106" s="3" t="s">
        <v>346</v>
      </c>
      <c r="G106" s="3" t="s">
        <v>103</v>
      </c>
      <c r="H106" s="3" t="s">
        <v>149</v>
      </c>
      <c r="I106" s="3" t="s">
        <v>347</v>
      </c>
      <c r="J106" s="3" t="s">
        <v>348</v>
      </c>
      <c r="K106" s="3" t="s">
        <v>139</v>
      </c>
      <c r="L106" s="4">
        <v>9718.67</v>
      </c>
      <c r="M106" s="4">
        <v>33.33</v>
      </c>
      <c r="N106" s="4" t="str">
        <f>IF(folha1[[#This Row],[Participação (%)]]=100,"BASE PRÓPRIA","BASE POOL")</f>
        <v>BASE POOL</v>
      </c>
      <c r="O106" s="3" t="s">
        <v>349</v>
      </c>
      <c r="P106" s="5">
        <v>44006</v>
      </c>
    </row>
    <row r="107" spans="1:16" ht="19.95" customHeight="1" thickBot="1" x14ac:dyDescent="0.35">
      <c r="A107" s="3" t="s">
        <v>530</v>
      </c>
      <c r="B107" s="3" t="s">
        <v>529</v>
      </c>
      <c r="C107" s="6" t="str">
        <f>VLOOKUP(folha1[[#This Row],[Razão Social]],Planilha1!A:C,2,0)</f>
        <v>HORA  .</v>
      </c>
      <c r="D107" s="3" t="s">
        <v>15</v>
      </c>
      <c r="E107" s="6" t="str">
        <f>VLOOKUP(folha1[[#This Row],[Razão Social]],Planilha1!A:C,3,0)</f>
        <v>REGIONAL</v>
      </c>
      <c r="F107" s="3" t="s">
        <v>356</v>
      </c>
      <c r="G107" s="3" t="s">
        <v>328</v>
      </c>
      <c r="H107" s="3" t="s">
        <v>357</v>
      </c>
      <c r="I107" s="3" t="s">
        <v>358</v>
      </c>
      <c r="J107" s="3" t="s">
        <v>138</v>
      </c>
      <c r="K107" s="3" t="s">
        <v>139</v>
      </c>
      <c r="L107" s="4">
        <v>5045</v>
      </c>
      <c r="M107" s="4">
        <v>50</v>
      </c>
      <c r="N107" s="4" t="str">
        <f>IF(folha1[[#This Row],[Participação (%)]]=100,"BASE PRÓPRIA","BASE POOL")</f>
        <v>BASE POOL</v>
      </c>
      <c r="O107" s="3" t="s">
        <v>359</v>
      </c>
      <c r="P107" s="5">
        <v>43983</v>
      </c>
    </row>
    <row r="108" spans="1:16" ht="19.95" customHeight="1" thickBot="1" x14ac:dyDescent="0.35">
      <c r="A108" s="3" t="s">
        <v>531</v>
      </c>
      <c r="B108" s="3" t="s">
        <v>532</v>
      </c>
      <c r="C108" s="6" t="str">
        <f>VLOOKUP(folha1[[#This Row],[Razão Social]],Planilha1!A:C,2,0)</f>
        <v xml:space="preserve"> MASUT </v>
      </c>
      <c r="D108" s="3" t="s">
        <v>15</v>
      </c>
      <c r="E108" s="6" t="str">
        <f>VLOOKUP(folha1[[#This Row],[Razão Social]],Planilha1!A:C,3,0)</f>
        <v>REGIONAL</v>
      </c>
      <c r="F108" s="3" t="s">
        <v>533</v>
      </c>
      <c r="G108" s="3" t="s">
        <v>534</v>
      </c>
      <c r="H108" s="3" t="s">
        <v>535</v>
      </c>
      <c r="I108" s="3" t="s">
        <v>536</v>
      </c>
      <c r="J108" s="3" t="s">
        <v>126</v>
      </c>
      <c r="K108" s="3" t="s">
        <v>87</v>
      </c>
      <c r="L108" s="4">
        <v>5998.12</v>
      </c>
      <c r="M108" s="4">
        <v>75.599999999999994</v>
      </c>
      <c r="N108" s="4" t="str">
        <f>IF(folha1[[#This Row],[Participação (%)]]=100,"BASE PRÓPRIA","BASE POOL")</f>
        <v>BASE POOL</v>
      </c>
      <c r="O108" s="3" t="s">
        <v>537</v>
      </c>
      <c r="P108" s="5">
        <v>45376</v>
      </c>
    </row>
    <row r="109" spans="1:16" ht="19.95" customHeight="1" thickBot="1" x14ac:dyDescent="0.35">
      <c r="A109" s="3" t="s">
        <v>538</v>
      </c>
      <c r="B109" s="3" t="s">
        <v>532</v>
      </c>
      <c r="C109" s="6" t="str">
        <f>VLOOKUP(folha1[[#This Row],[Razão Social]],Planilha1!A:C,2,0)</f>
        <v xml:space="preserve"> MASUT </v>
      </c>
      <c r="D109" s="3" t="s">
        <v>15</v>
      </c>
      <c r="E109" s="6" t="str">
        <f>VLOOKUP(folha1[[#This Row],[Razão Social]],Planilha1!A:C,3,0)</f>
        <v>REGIONAL</v>
      </c>
      <c r="F109" s="3" t="s">
        <v>539</v>
      </c>
      <c r="G109" s="3" t="s">
        <v>540</v>
      </c>
      <c r="H109" s="3" t="s">
        <v>541</v>
      </c>
      <c r="I109" s="3"/>
      <c r="J109" s="3" t="s">
        <v>188</v>
      </c>
      <c r="K109" s="3" t="s">
        <v>189</v>
      </c>
      <c r="L109" s="4">
        <v>4380.54</v>
      </c>
      <c r="M109" s="4">
        <v>33.33</v>
      </c>
      <c r="N109" s="4" t="str">
        <f>IF(folha1[[#This Row],[Participação (%)]]=100,"BASE PRÓPRIA","BASE POOL")</f>
        <v>BASE POOL</v>
      </c>
      <c r="O109" s="3" t="s">
        <v>542</v>
      </c>
      <c r="P109" s="5">
        <v>45555</v>
      </c>
    </row>
    <row r="110" spans="1:16" ht="19.95" customHeight="1" thickBot="1" x14ac:dyDescent="0.35">
      <c r="A110" s="3" t="s">
        <v>543</v>
      </c>
      <c r="B110" s="3" t="s">
        <v>544</v>
      </c>
      <c r="C110" s="6" t="str">
        <f>VLOOKUP(folha1[[#This Row],[Razão Social]],Planilha1!A:C,2,0)</f>
        <v xml:space="preserve"> SUL DE PETRÓLEO .</v>
      </c>
      <c r="D110" s="3" t="s">
        <v>15</v>
      </c>
      <c r="E110" s="6" t="str">
        <f>VLOOKUP(folha1[[#This Row],[Razão Social]],Planilha1!A:C,3,0)</f>
        <v>REGIONAL</v>
      </c>
      <c r="F110" s="3" t="s">
        <v>545</v>
      </c>
      <c r="G110" s="3" t="s">
        <v>64</v>
      </c>
      <c r="H110" s="3" t="s">
        <v>546</v>
      </c>
      <c r="I110" s="3"/>
      <c r="J110" s="3" t="s">
        <v>547</v>
      </c>
      <c r="K110" s="3" t="s">
        <v>37</v>
      </c>
      <c r="L110" s="4">
        <v>833.99</v>
      </c>
      <c r="M110" s="4">
        <v>100</v>
      </c>
      <c r="N110" s="4" t="str">
        <f>IF(folha1[[#This Row],[Participação (%)]]=100,"BASE PRÓPRIA","BASE POOL")</f>
        <v>BASE PRÓPRIA</v>
      </c>
      <c r="O110" s="3" t="s">
        <v>548</v>
      </c>
      <c r="P110" s="5">
        <v>38317</v>
      </c>
    </row>
    <row r="111" spans="1:16" ht="19.95" customHeight="1" thickBot="1" x14ac:dyDescent="0.35">
      <c r="A111" s="3" t="s">
        <v>549</v>
      </c>
      <c r="B111" s="3" t="s">
        <v>550</v>
      </c>
      <c r="C111" s="6" t="str">
        <f>VLOOKUP(folha1[[#This Row],[Razão Social]],Planilha1!A:C,2,0)</f>
        <v xml:space="preserve">E. A. - ENERGIA AVANCADA </v>
      </c>
      <c r="D111" s="3" t="s">
        <v>15</v>
      </c>
      <c r="E111" s="6" t="str">
        <f>VLOOKUP(folha1[[#This Row],[Razão Social]],Planilha1!A:C,3,0)</f>
        <v>REGIONAL</v>
      </c>
      <c r="F111" s="3" t="s">
        <v>63</v>
      </c>
      <c r="G111" s="3" t="s">
        <v>64</v>
      </c>
      <c r="H111" s="3" t="s">
        <v>65</v>
      </c>
      <c r="I111" s="3" t="s">
        <v>66</v>
      </c>
      <c r="J111" s="3" t="s">
        <v>67</v>
      </c>
      <c r="K111" s="3" t="s">
        <v>68</v>
      </c>
      <c r="L111" s="4">
        <v>20120</v>
      </c>
      <c r="M111" s="4">
        <v>3.72</v>
      </c>
      <c r="N111" s="4" t="str">
        <f>IF(folha1[[#This Row],[Participação (%)]]=100,"BASE PRÓPRIA","BASE POOL")</f>
        <v>BASE POOL</v>
      </c>
      <c r="O111" s="3" t="s">
        <v>69</v>
      </c>
      <c r="P111" s="5">
        <v>45106</v>
      </c>
    </row>
    <row r="112" spans="1:16" ht="19.95" customHeight="1" thickBot="1" x14ac:dyDescent="0.35">
      <c r="A112" s="3" t="s">
        <v>551</v>
      </c>
      <c r="B112" s="3" t="s">
        <v>552</v>
      </c>
      <c r="C112" s="6" t="str">
        <f>VLOOKUP(folha1[[#This Row],[Razão Social]],Planilha1!A:C,2,0)</f>
        <v>ECOLÓGICA  .</v>
      </c>
      <c r="D112" s="3" t="s">
        <v>15</v>
      </c>
      <c r="E112" s="6" t="str">
        <f>VLOOKUP(folha1[[#This Row],[Razão Social]],Planilha1!A:C,3,0)</f>
        <v>REGIONAL</v>
      </c>
      <c r="F112" s="3" t="s">
        <v>63</v>
      </c>
      <c r="G112" s="3" t="s">
        <v>64</v>
      </c>
      <c r="H112" s="3" t="s">
        <v>65</v>
      </c>
      <c r="I112" s="3" t="s">
        <v>66</v>
      </c>
      <c r="J112" s="3" t="s">
        <v>67</v>
      </c>
      <c r="K112" s="3" t="s">
        <v>68</v>
      </c>
      <c r="L112" s="4">
        <v>20120</v>
      </c>
      <c r="M112" s="4">
        <v>14.26</v>
      </c>
      <c r="N112" s="4" t="str">
        <f>IF(folha1[[#This Row],[Participação (%)]]=100,"BASE PRÓPRIA","BASE POOL")</f>
        <v>BASE POOL</v>
      </c>
      <c r="O112" s="3" t="s">
        <v>69</v>
      </c>
      <c r="P112" s="5">
        <v>45106</v>
      </c>
    </row>
    <row r="113" spans="1:16" ht="19.95" customHeight="1" thickBot="1" x14ac:dyDescent="0.35">
      <c r="A113" s="3" t="s">
        <v>553</v>
      </c>
      <c r="B113" s="3" t="s">
        <v>554</v>
      </c>
      <c r="C113" s="6" t="str">
        <f>VLOOKUP(folha1[[#This Row],[Razão Social]],Planilha1!A:C,2,0)</f>
        <v>LARCO COMERCIAL DE PRODUTOS DE PETRÓLEO .</v>
      </c>
      <c r="D113" s="3" t="s">
        <v>15</v>
      </c>
      <c r="E113" s="6" t="str">
        <f>VLOOKUP(folha1[[#This Row],[Razão Social]],Planilha1!A:C,3,0)</f>
        <v>CONC MERC</v>
      </c>
      <c r="F113" s="3" t="s">
        <v>555</v>
      </c>
      <c r="G113" s="3" t="s">
        <v>556</v>
      </c>
      <c r="H113" s="3" t="s">
        <v>557</v>
      </c>
      <c r="I113" s="3"/>
      <c r="J113" s="3" t="s">
        <v>343</v>
      </c>
      <c r="K113" s="3" t="s">
        <v>139</v>
      </c>
      <c r="L113" s="4">
        <v>4011</v>
      </c>
      <c r="M113" s="4">
        <v>100</v>
      </c>
      <c r="N113" s="4" t="str">
        <f>IF(folha1[[#This Row],[Participação (%)]]=100,"BASE PRÓPRIA","BASE POOL")</f>
        <v>BASE PRÓPRIA</v>
      </c>
      <c r="O113" s="3" t="s">
        <v>558</v>
      </c>
      <c r="P113" s="5">
        <v>44082</v>
      </c>
    </row>
    <row r="114" spans="1:16" ht="19.95" customHeight="1" thickBot="1" x14ac:dyDescent="0.35">
      <c r="A114" s="3" t="s">
        <v>559</v>
      </c>
      <c r="B114" s="3" t="s">
        <v>554</v>
      </c>
      <c r="C114" s="6" t="str">
        <f>VLOOKUP(folha1[[#This Row],[Razão Social]],Planilha1!A:C,2,0)</f>
        <v>LARCO COMERCIAL DE PRODUTOS DE PETRÓLEO .</v>
      </c>
      <c r="D114" s="3" t="s">
        <v>15</v>
      </c>
      <c r="E114" s="6" t="str">
        <f>VLOOKUP(folha1[[#This Row],[Razão Social]],Planilha1!A:C,3,0)</f>
        <v>CONC MERC</v>
      </c>
      <c r="F114" s="3" t="s">
        <v>346</v>
      </c>
      <c r="G114" s="3" t="s">
        <v>103</v>
      </c>
      <c r="H114" s="3" t="s">
        <v>149</v>
      </c>
      <c r="I114" s="3" t="s">
        <v>347</v>
      </c>
      <c r="J114" s="3" t="s">
        <v>348</v>
      </c>
      <c r="K114" s="3" t="s">
        <v>139</v>
      </c>
      <c r="L114" s="4">
        <v>9718.67</v>
      </c>
      <c r="M114" s="4">
        <v>33.33</v>
      </c>
      <c r="N114" s="4" t="str">
        <f>IF(folha1[[#This Row],[Participação (%)]]=100,"BASE PRÓPRIA","BASE POOL")</f>
        <v>BASE POOL</v>
      </c>
      <c r="O114" s="3" t="s">
        <v>349</v>
      </c>
      <c r="P114" s="5">
        <v>44006</v>
      </c>
    </row>
    <row r="115" spans="1:16" ht="19.95" customHeight="1" thickBot="1" x14ac:dyDescent="0.35">
      <c r="A115" s="3" t="s">
        <v>560</v>
      </c>
      <c r="B115" s="3" t="s">
        <v>554</v>
      </c>
      <c r="C115" s="6" t="str">
        <f>VLOOKUP(folha1[[#This Row],[Razão Social]],Planilha1!A:C,2,0)</f>
        <v>LARCO COMERCIAL DE PRODUTOS DE PETRÓLEO .</v>
      </c>
      <c r="D115" s="3" t="s">
        <v>15</v>
      </c>
      <c r="E115" s="6" t="str">
        <f>VLOOKUP(folha1[[#This Row],[Razão Social]],Planilha1!A:C,3,0)</f>
        <v>CONC MERC</v>
      </c>
      <c r="F115" s="3" t="s">
        <v>561</v>
      </c>
      <c r="G115" s="3" t="s">
        <v>562</v>
      </c>
      <c r="H115" s="3" t="s">
        <v>143</v>
      </c>
      <c r="I115" s="3"/>
      <c r="J115" s="3" t="s">
        <v>144</v>
      </c>
      <c r="K115" s="3" t="s">
        <v>139</v>
      </c>
      <c r="L115" s="4">
        <v>3706.77</v>
      </c>
      <c r="M115" s="4">
        <v>100</v>
      </c>
      <c r="N115" s="4" t="str">
        <f>IF(folha1[[#This Row],[Participação (%)]]=100,"BASE PRÓPRIA","BASE POOL")</f>
        <v>BASE PRÓPRIA</v>
      </c>
      <c r="O115" s="3" t="s">
        <v>563</v>
      </c>
      <c r="P115" s="5">
        <v>44554</v>
      </c>
    </row>
    <row r="116" spans="1:16" ht="19.95" customHeight="1" thickBot="1" x14ac:dyDescent="0.35">
      <c r="A116" s="3" t="s">
        <v>564</v>
      </c>
      <c r="B116" s="3" t="s">
        <v>554</v>
      </c>
      <c r="C116" s="6" t="str">
        <f>VLOOKUP(folha1[[#This Row],[Razão Social]],Planilha1!A:C,2,0)</f>
        <v>LARCO COMERCIAL DE PRODUTOS DE PETRÓLEO .</v>
      </c>
      <c r="D116" s="3" t="s">
        <v>15</v>
      </c>
      <c r="E116" s="6" t="str">
        <f>VLOOKUP(folha1[[#This Row],[Razão Social]],Planilha1!A:C,3,0)</f>
        <v>CONC MERC</v>
      </c>
      <c r="F116" s="3" t="s">
        <v>565</v>
      </c>
      <c r="G116" s="3" t="s">
        <v>566</v>
      </c>
      <c r="H116" s="3" t="s">
        <v>567</v>
      </c>
      <c r="I116" s="3" t="s">
        <v>568</v>
      </c>
      <c r="J116" s="3" t="s">
        <v>27</v>
      </c>
      <c r="K116" s="3" t="s">
        <v>28</v>
      </c>
      <c r="L116" s="4">
        <v>5810</v>
      </c>
      <c r="M116" s="4">
        <v>100</v>
      </c>
      <c r="N116" s="4" t="str">
        <f>IF(folha1[[#This Row],[Participação (%)]]=100,"BASE PRÓPRIA","BASE POOL")</f>
        <v>BASE PRÓPRIA</v>
      </c>
      <c r="O116" s="3" t="s">
        <v>569</v>
      </c>
      <c r="P116" s="5">
        <v>44971</v>
      </c>
    </row>
    <row r="117" spans="1:16" ht="19.95" customHeight="1" thickBot="1" x14ac:dyDescent="0.35">
      <c r="A117" s="3" t="s">
        <v>570</v>
      </c>
      <c r="B117" s="3" t="s">
        <v>554</v>
      </c>
      <c r="C117" s="6" t="str">
        <f>VLOOKUP(folha1[[#This Row],[Razão Social]],Planilha1!A:C,2,0)</f>
        <v>LARCO COMERCIAL DE PRODUTOS DE PETRÓLEO .</v>
      </c>
      <c r="D117" s="3" t="s">
        <v>15</v>
      </c>
      <c r="E117" s="6" t="str">
        <f>VLOOKUP(folha1[[#This Row],[Razão Social]],Planilha1!A:C,3,0)</f>
        <v>CONC MERC</v>
      </c>
      <c r="F117" s="3" t="s">
        <v>571</v>
      </c>
      <c r="G117" s="3" t="s">
        <v>103</v>
      </c>
      <c r="H117" s="3" t="s">
        <v>149</v>
      </c>
      <c r="I117" s="3" t="s">
        <v>572</v>
      </c>
      <c r="J117" s="3" t="s">
        <v>348</v>
      </c>
      <c r="K117" s="3" t="s">
        <v>139</v>
      </c>
      <c r="L117" s="4">
        <v>14591.24</v>
      </c>
      <c r="M117" s="4">
        <v>100</v>
      </c>
      <c r="N117" s="4" t="str">
        <f>IF(folha1[[#This Row],[Participação (%)]]=100,"BASE PRÓPRIA","BASE POOL")</f>
        <v>BASE PRÓPRIA</v>
      </c>
      <c r="O117" s="3" t="s">
        <v>573</v>
      </c>
      <c r="P117" s="5">
        <v>42509</v>
      </c>
    </row>
    <row r="118" spans="1:16" ht="19.95" customHeight="1" thickBot="1" x14ac:dyDescent="0.35">
      <c r="A118" s="3" t="s">
        <v>574</v>
      </c>
      <c r="B118" s="3" t="s">
        <v>554</v>
      </c>
      <c r="C118" s="6" t="str">
        <f>VLOOKUP(folha1[[#This Row],[Razão Social]],Planilha1!A:C,2,0)</f>
        <v>LARCO COMERCIAL DE PRODUTOS DE PETRÓLEO .</v>
      </c>
      <c r="D118" s="3" t="s">
        <v>15</v>
      </c>
      <c r="E118" s="6" t="str">
        <f>VLOOKUP(folha1[[#This Row],[Razão Social]],Planilha1!A:C,3,0)</f>
        <v>CONC MERC</v>
      </c>
      <c r="F118" s="3" t="s">
        <v>129</v>
      </c>
      <c r="G118" s="3" t="s">
        <v>24</v>
      </c>
      <c r="H118" s="3" t="s">
        <v>130</v>
      </c>
      <c r="I118" s="3" t="s">
        <v>131</v>
      </c>
      <c r="J118" s="3" t="s">
        <v>27</v>
      </c>
      <c r="K118" s="3" t="s">
        <v>28</v>
      </c>
      <c r="L118" s="4">
        <v>13681.7</v>
      </c>
      <c r="M118" s="4">
        <v>6</v>
      </c>
      <c r="N118" s="4" t="str">
        <f>IF(folha1[[#This Row],[Participação (%)]]=100,"BASE PRÓPRIA","BASE POOL")</f>
        <v>BASE POOL</v>
      </c>
      <c r="O118" s="3" t="s">
        <v>132</v>
      </c>
      <c r="P118" s="5">
        <v>45817</v>
      </c>
    </row>
    <row r="119" spans="1:16" ht="19.95" customHeight="1" thickBot="1" x14ac:dyDescent="0.35">
      <c r="A119" s="3" t="s">
        <v>575</v>
      </c>
      <c r="B119" s="3" t="s">
        <v>554</v>
      </c>
      <c r="C119" s="6" t="str">
        <f>VLOOKUP(folha1[[#This Row],[Razão Social]],Planilha1!A:C,2,0)</f>
        <v>LARCO COMERCIAL DE PRODUTOS DE PETRÓLEO .</v>
      </c>
      <c r="D119" s="3" t="s">
        <v>15</v>
      </c>
      <c r="E119" s="6" t="str">
        <f>VLOOKUP(folha1[[#This Row],[Razão Social]],Planilha1!A:C,3,0)</f>
        <v>CONC MERC</v>
      </c>
      <c r="F119" s="3" t="s">
        <v>576</v>
      </c>
      <c r="G119" s="3" t="s">
        <v>577</v>
      </c>
      <c r="H119" s="3" t="s">
        <v>175</v>
      </c>
      <c r="I119" s="3"/>
      <c r="J119" s="3" t="s">
        <v>150</v>
      </c>
      <c r="K119" s="3" t="s">
        <v>139</v>
      </c>
      <c r="L119" s="4">
        <v>3477</v>
      </c>
      <c r="M119" s="4">
        <v>100</v>
      </c>
      <c r="N119" s="4" t="str">
        <f>IF(folha1[[#This Row],[Participação (%)]]=100,"BASE PRÓPRIA","BASE POOL")</f>
        <v>BASE PRÓPRIA</v>
      </c>
      <c r="O119" s="3" t="s">
        <v>578</v>
      </c>
      <c r="P119" s="5">
        <v>45586</v>
      </c>
    </row>
    <row r="120" spans="1:16" ht="19.95" customHeight="1" thickBot="1" x14ac:dyDescent="0.35">
      <c r="A120" s="3" t="s">
        <v>579</v>
      </c>
      <c r="B120" s="3" t="s">
        <v>554</v>
      </c>
      <c r="C120" s="6" t="str">
        <f>VLOOKUP(folha1[[#This Row],[Razão Social]],Planilha1!A:C,2,0)</f>
        <v>LARCO COMERCIAL DE PRODUTOS DE PETRÓLEO .</v>
      </c>
      <c r="D120" s="3" t="s">
        <v>15</v>
      </c>
      <c r="E120" s="6" t="str">
        <f>VLOOKUP(folha1[[#This Row],[Razão Social]],Planilha1!A:C,3,0)</f>
        <v>CONC MERC</v>
      </c>
      <c r="F120" s="3" t="s">
        <v>539</v>
      </c>
      <c r="G120" s="3" t="s">
        <v>540</v>
      </c>
      <c r="H120" s="3" t="s">
        <v>541</v>
      </c>
      <c r="I120" s="3"/>
      <c r="J120" s="3" t="s">
        <v>188</v>
      </c>
      <c r="K120" s="3" t="s">
        <v>189</v>
      </c>
      <c r="L120" s="4">
        <v>4380.54</v>
      </c>
      <c r="M120" s="4">
        <v>33.33</v>
      </c>
      <c r="N120" s="4" t="str">
        <f>IF(folha1[[#This Row],[Participação (%)]]=100,"BASE PRÓPRIA","BASE POOL")</f>
        <v>BASE POOL</v>
      </c>
      <c r="O120" s="3" t="s">
        <v>542</v>
      </c>
      <c r="P120" s="5">
        <v>45555</v>
      </c>
    </row>
    <row r="121" spans="1:16" ht="19.95" customHeight="1" thickBot="1" x14ac:dyDescent="0.35">
      <c r="A121" s="3" t="s">
        <v>580</v>
      </c>
      <c r="B121" s="3" t="s">
        <v>581</v>
      </c>
      <c r="C121" s="6" t="str">
        <f>VLOOKUP(folha1[[#This Row],[Razão Social]],Planilha1!A:C,2,0)</f>
        <v xml:space="preserve">PONTUAL BRASIL PETRÓLEO </v>
      </c>
      <c r="D121" s="3" t="s">
        <v>15</v>
      </c>
      <c r="E121" s="6" t="str">
        <f>VLOOKUP(folha1[[#This Row],[Razão Social]],Planilha1!A:C,3,0)</f>
        <v>REGIONAL</v>
      </c>
      <c r="F121" s="3" t="s">
        <v>97</v>
      </c>
      <c r="G121" s="3" t="s">
        <v>582</v>
      </c>
      <c r="H121" s="3" t="s">
        <v>99</v>
      </c>
      <c r="I121" s="3"/>
      <c r="J121" s="3" t="s">
        <v>43</v>
      </c>
      <c r="K121" s="3" t="s">
        <v>44</v>
      </c>
      <c r="L121" s="4">
        <v>27002.77</v>
      </c>
      <c r="M121" s="4">
        <v>96.3</v>
      </c>
      <c r="N121" s="4" t="str">
        <f>IF(folha1[[#This Row],[Participação (%)]]=100,"BASE PRÓPRIA","BASE POOL")</f>
        <v>BASE POOL</v>
      </c>
      <c r="O121" s="3" t="s">
        <v>582</v>
      </c>
      <c r="P121" s="5">
        <v>45166</v>
      </c>
    </row>
    <row r="122" spans="1:16" ht="19.95" customHeight="1" thickBot="1" x14ac:dyDescent="0.35">
      <c r="A122" s="3" t="s">
        <v>583</v>
      </c>
      <c r="B122" s="3" t="s">
        <v>584</v>
      </c>
      <c r="C122" s="6" t="str">
        <f>VLOOKUP(folha1[[#This Row],[Razão Social]],Planilha1!A:C,2,0)</f>
        <v xml:space="preserve">FEDERAL ENERGIA </v>
      </c>
      <c r="D122" s="3" t="s">
        <v>15</v>
      </c>
      <c r="E122" s="6" t="str">
        <f>VLOOKUP(folha1[[#This Row],[Razão Social]],Planilha1!A:C,3,0)</f>
        <v>REGIONAL</v>
      </c>
      <c r="F122" s="3" t="s">
        <v>129</v>
      </c>
      <c r="G122" s="3" t="s">
        <v>24</v>
      </c>
      <c r="H122" s="3" t="s">
        <v>130</v>
      </c>
      <c r="I122" s="3" t="s">
        <v>131</v>
      </c>
      <c r="J122" s="3" t="s">
        <v>27</v>
      </c>
      <c r="K122" s="3" t="s">
        <v>28</v>
      </c>
      <c r="L122" s="4">
        <v>13681.7</v>
      </c>
      <c r="M122" s="4">
        <v>6</v>
      </c>
      <c r="N122" s="4" t="str">
        <f>IF(folha1[[#This Row],[Participação (%)]]=100,"BASE PRÓPRIA","BASE POOL")</f>
        <v>BASE POOL</v>
      </c>
      <c r="O122" s="3" t="s">
        <v>132</v>
      </c>
      <c r="P122" s="5">
        <v>45817</v>
      </c>
    </row>
    <row r="123" spans="1:16" ht="19.95" customHeight="1" thickBot="1" x14ac:dyDescent="0.35">
      <c r="A123" s="3" t="s">
        <v>585</v>
      </c>
      <c r="B123" s="3" t="s">
        <v>584</v>
      </c>
      <c r="C123" s="6" t="str">
        <f>VLOOKUP(folha1[[#This Row],[Razão Social]],Planilha1!A:C,2,0)</f>
        <v xml:space="preserve">FEDERAL ENERGIA </v>
      </c>
      <c r="D123" s="3" t="s">
        <v>15</v>
      </c>
      <c r="E123" s="6" t="str">
        <f>VLOOKUP(folha1[[#This Row],[Razão Social]],Planilha1!A:C,3,0)</f>
        <v>REGIONAL</v>
      </c>
      <c r="F123" s="3" t="s">
        <v>122</v>
      </c>
      <c r="G123" s="3" t="s">
        <v>123</v>
      </c>
      <c r="H123" s="3" t="s">
        <v>124</v>
      </c>
      <c r="I123" s="3" t="s">
        <v>125</v>
      </c>
      <c r="J123" s="3" t="s">
        <v>126</v>
      </c>
      <c r="K123" s="3" t="s">
        <v>87</v>
      </c>
      <c r="L123" s="4">
        <v>6123.7</v>
      </c>
      <c r="M123" s="4">
        <v>12.25</v>
      </c>
      <c r="N123" s="4" t="str">
        <f>IF(folha1[[#This Row],[Participação (%)]]=100,"BASE PRÓPRIA","BASE POOL")</f>
        <v>BASE POOL</v>
      </c>
      <c r="O123" s="3" t="s">
        <v>127</v>
      </c>
      <c r="P123" s="5">
        <v>46104</v>
      </c>
    </row>
    <row r="124" spans="1:16" ht="19.95" customHeight="1" thickBot="1" x14ac:dyDescent="0.35">
      <c r="A124" s="3" t="s">
        <v>586</v>
      </c>
      <c r="B124" s="3" t="s">
        <v>587</v>
      </c>
      <c r="C124" s="6" t="str">
        <f>VLOOKUP(folha1[[#This Row],[Razão Social]],Planilha1!A:C,2,0)</f>
        <v>REDE SOL FUEL .</v>
      </c>
      <c r="D124" s="3" t="s">
        <v>15</v>
      </c>
      <c r="E124" s="6" t="str">
        <f>VLOOKUP(folha1[[#This Row],[Razão Social]],Planilha1!A:C,3,0)</f>
        <v>REGIONAL</v>
      </c>
      <c r="F124" s="3" t="s">
        <v>588</v>
      </c>
      <c r="G124" s="3" t="s">
        <v>548</v>
      </c>
      <c r="H124" s="3" t="s">
        <v>589</v>
      </c>
      <c r="I124" s="3" t="s">
        <v>590</v>
      </c>
      <c r="J124" s="3" t="s">
        <v>591</v>
      </c>
      <c r="K124" s="3" t="s">
        <v>20</v>
      </c>
      <c r="L124" s="4">
        <v>8093</v>
      </c>
      <c r="M124" s="4">
        <v>45.86</v>
      </c>
      <c r="N124" s="4" t="str">
        <f>IF(folha1[[#This Row],[Participação (%)]]=100,"BASE PRÓPRIA","BASE POOL")</f>
        <v>BASE POOL</v>
      </c>
      <c r="O124" s="3" t="s">
        <v>592</v>
      </c>
      <c r="P124" s="5">
        <v>44944</v>
      </c>
    </row>
    <row r="125" spans="1:16" ht="19.95" customHeight="1" thickBot="1" x14ac:dyDescent="0.35">
      <c r="A125" s="3" t="s">
        <v>593</v>
      </c>
      <c r="B125" s="3" t="s">
        <v>587</v>
      </c>
      <c r="C125" s="6" t="str">
        <f>VLOOKUP(folha1[[#This Row],[Razão Social]],Planilha1!A:C,2,0)</f>
        <v>REDE SOL FUEL .</v>
      </c>
      <c r="D125" s="3" t="s">
        <v>15</v>
      </c>
      <c r="E125" s="6" t="str">
        <f>VLOOKUP(folha1[[#This Row],[Razão Social]],Planilha1!A:C,3,0)</f>
        <v>REGIONAL</v>
      </c>
      <c r="F125" s="3" t="s">
        <v>23</v>
      </c>
      <c r="G125" s="3" t="s">
        <v>24</v>
      </c>
      <c r="H125" s="3" t="s">
        <v>25</v>
      </c>
      <c r="I125" s="3" t="s">
        <v>26</v>
      </c>
      <c r="J125" s="3" t="s">
        <v>27</v>
      </c>
      <c r="K125" s="3" t="s">
        <v>28</v>
      </c>
      <c r="L125" s="4">
        <v>12289</v>
      </c>
      <c r="M125" s="4">
        <v>6.1</v>
      </c>
      <c r="N125" s="4" t="str">
        <f>IF(folha1[[#This Row],[Participação (%)]]=100,"BASE PRÓPRIA","BASE POOL")</f>
        <v>BASE POOL</v>
      </c>
      <c r="O125" s="3" t="s">
        <v>29</v>
      </c>
      <c r="P125" s="5">
        <v>45296</v>
      </c>
    </row>
    <row r="126" spans="1:16" ht="19.95" customHeight="1" thickBot="1" x14ac:dyDescent="0.35">
      <c r="A126" s="3" t="s">
        <v>594</v>
      </c>
      <c r="B126" s="3" t="s">
        <v>587</v>
      </c>
      <c r="C126" s="6" t="str">
        <f>VLOOKUP(folha1[[#This Row],[Razão Social]],Planilha1!A:C,2,0)</f>
        <v>REDE SOL FUEL .</v>
      </c>
      <c r="D126" s="3" t="s">
        <v>15</v>
      </c>
      <c r="E126" s="6" t="str">
        <f>VLOOKUP(folha1[[#This Row],[Razão Social]],Planilha1!A:C,3,0)</f>
        <v>REGIONAL</v>
      </c>
      <c r="F126" s="3" t="s">
        <v>16</v>
      </c>
      <c r="G126" s="3" t="s">
        <v>17</v>
      </c>
      <c r="H126" s="3" t="s">
        <v>18</v>
      </c>
      <c r="I126" s="3"/>
      <c r="J126" s="3" t="s">
        <v>19</v>
      </c>
      <c r="K126" s="3" t="s">
        <v>20</v>
      </c>
      <c r="L126" s="4">
        <v>11718.58</v>
      </c>
      <c r="M126" s="4">
        <v>6.4</v>
      </c>
      <c r="N126" s="4" t="str">
        <f>IF(folha1[[#This Row],[Participação (%)]]=100,"BASE PRÓPRIA","BASE POOL")</f>
        <v>BASE POOL</v>
      </c>
      <c r="O126" s="3" t="s">
        <v>21</v>
      </c>
      <c r="P126" s="5">
        <v>41949</v>
      </c>
    </row>
    <row r="127" spans="1:16" ht="19.95" customHeight="1" thickBot="1" x14ac:dyDescent="0.35">
      <c r="A127" s="3" t="s">
        <v>595</v>
      </c>
      <c r="B127" s="3" t="s">
        <v>587</v>
      </c>
      <c r="C127" s="6" t="str">
        <f>VLOOKUP(folha1[[#This Row],[Razão Social]],Planilha1!A:C,2,0)</f>
        <v>REDE SOL FUEL .</v>
      </c>
      <c r="D127" s="3" t="s">
        <v>15</v>
      </c>
      <c r="E127" s="6" t="str">
        <f>VLOOKUP(folha1[[#This Row],[Razão Social]],Planilha1!A:C,3,0)</f>
        <v>REGIONAL</v>
      </c>
      <c r="F127" s="3" t="s">
        <v>596</v>
      </c>
      <c r="G127" s="3" t="s">
        <v>64</v>
      </c>
      <c r="H127" s="3" t="s">
        <v>597</v>
      </c>
      <c r="I127" s="3" t="s">
        <v>598</v>
      </c>
      <c r="J127" s="3" t="s">
        <v>599</v>
      </c>
      <c r="K127" s="3" t="s">
        <v>87</v>
      </c>
      <c r="L127" s="4">
        <v>2273</v>
      </c>
      <c r="M127" s="4">
        <v>100</v>
      </c>
      <c r="N127" s="4" t="str">
        <f>IF(folha1[[#This Row],[Participação (%)]]=100,"BASE PRÓPRIA","BASE POOL")</f>
        <v>BASE PRÓPRIA</v>
      </c>
      <c r="O127" s="3" t="s">
        <v>600</v>
      </c>
      <c r="P127" s="5">
        <v>42228</v>
      </c>
    </row>
    <row r="128" spans="1:16" ht="19.95" customHeight="1" thickBot="1" x14ac:dyDescent="0.35">
      <c r="A128" s="3" t="s">
        <v>601</v>
      </c>
      <c r="B128" s="3" t="s">
        <v>602</v>
      </c>
      <c r="C128" s="6" t="str">
        <f>VLOOKUP(folha1[[#This Row],[Razão Social]],Planilha1!A:C,2,0)</f>
        <v>PETROEXPRESS  E DERIVADOS DE PETRÓLEO .</v>
      </c>
      <c r="D128" s="3" t="s">
        <v>15</v>
      </c>
      <c r="E128" s="6" t="str">
        <f>VLOOKUP(folha1[[#This Row],[Razão Social]],Planilha1!A:C,3,0)</f>
        <v>REGIONAL</v>
      </c>
      <c r="F128" s="3" t="s">
        <v>16</v>
      </c>
      <c r="G128" s="3" t="s">
        <v>17</v>
      </c>
      <c r="H128" s="3" t="s">
        <v>18</v>
      </c>
      <c r="I128" s="3"/>
      <c r="J128" s="3" t="s">
        <v>19</v>
      </c>
      <c r="K128" s="3" t="s">
        <v>20</v>
      </c>
      <c r="L128" s="4">
        <v>11718.58</v>
      </c>
      <c r="M128" s="4">
        <v>6.4</v>
      </c>
      <c r="N128" s="4" t="str">
        <f>IF(folha1[[#This Row],[Participação (%)]]=100,"BASE PRÓPRIA","BASE POOL")</f>
        <v>BASE POOL</v>
      </c>
      <c r="O128" s="3" t="s">
        <v>21</v>
      </c>
      <c r="P128" s="5">
        <v>41949</v>
      </c>
    </row>
    <row r="129" spans="1:16" ht="19.95" customHeight="1" thickBot="1" x14ac:dyDescent="0.35">
      <c r="A129" s="3" t="s">
        <v>603</v>
      </c>
      <c r="B129" s="3" t="s">
        <v>602</v>
      </c>
      <c r="C129" s="6" t="str">
        <f>VLOOKUP(folha1[[#This Row],[Razão Social]],Planilha1!A:C,2,0)</f>
        <v>PETROEXPRESS  E DERIVADOS DE PETRÓLEO .</v>
      </c>
      <c r="D129" s="3" t="s">
        <v>15</v>
      </c>
      <c r="E129" s="6" t="str">
        <f>VLOOKUP(folha1[[#This Row],[Razão Social]],Planilha1!A:C,3,0)</f>
        <v>REGIONAL</v>
      </c>
      <c r="F129" s="3" t="s">
        <v>217</v>
      </c>
      <c r="G129" s="3" t="s">
        <v>218</v>
      </c>
      <c r="H129" s="3" t="s">
        <v>219</v>
      </c>
      <c r="I129" s="3"/>
      <c r="J129" s="3" t="s">
        <v>80</v>
      </c>
      <c r="K129" s="3" t="s">
        <v>20</v>
      </c>
      <c r="L129" s="4">
        <v>11732.83</v>
      </c>
      <c r="M129" s="4">
        <v>11.91</v>
      </c>
      <c r="N129" s="4" t="str">
        <f>IF(folha1[[#This Row],[Participação (%)]]=100,"BASE PRÓPRIA","BASE POOL")</f>
        <v>BASE POOL</v>
      </c>
      <c r="O129" s="3" t="s">
        <v>220</v>
      </c>
      <c r="P129" s="5">
        <v>45183</v>
      </c>
    </row>
    <row r="130" spans="1:16" ht="19.95" customHeight="1" thickBot="1" x14ac:dyDescent="0.35">
      <c r="A130" s="3" t="s">
        <v>604</v>
      </c>
      <c r="B130" s="3" t="s">
        <v>605</v>
      </c>
      <c r="C130" s="6" t="str">
        <f>VLOOKUP(folha1[[#This Row],[Razão Social]],Planilha1!A:C,2,0)</f>
        <v>PETROLUZ .</v>
      </c>
      <c r="D130" s="3" t="s">
        <v>15</v>
      </c>
      <c r="E130" s="6" t="str">
        <f>VLOOKUP(folha1[[#This Row],[Razão Social]],Planilha1!A:C,3,0)</f>
        <v>REGIONAL</v>
      </c>
      <c r="F130" s="3" t="s">
        <v>606</v>
      </c>
      <c r="G130" s="3" t="s">
        <v>607</v>
      </c>
      <c r="H130" s="3" t="s">
        <v>608</v>
      </c>
      <c r="I130" s="3" t="s">
        <v>609</v>
      </c>
      <c r="J130" s="3" t="s">
        <v>320</v>
      </c>
      <c r="K130" s="3" t="s">
        <v>118</v>
      </c>
      <c r="L130" s="4">
        <v>15001.98</v>
      </c>
      <c r="M130" s="4">
        <v>90</v>
      </c>
      <c r="N130" s="4" t="str">
        <f>IF(folha1[[#This Row],[Participação (%)]]=100,"BASE PRÓPRIA","BASE POOL")</f>
        <v>BASE POOL</v>
      </c>
      <c r="O130" s="3" t="s">
        <v>381</v>
      </c>
      <c r="P130" s="5">
        <v>45904</v>
      </c>
    </row>
    <row r="131" spans="1:16" ht="19.95" customHeight="1" thickBot="1" x14ac:dyDescent="0.35">
      <c r="A131" s="3" t="s">
        <v>610</v>
      </c>
      <c r="B131" s="3" t="s">
        <v>611</v>
      </c>
      <c r="C131" s="6" t="str">
        <f>VLOOKUP(folha1[[#This Row],[Razão Social]],Planilha1!A:C,2,0)</f>
        <v xml:space="preserve"> EQUADOR DE PRODUTOS DE PETRÓLEO .</v>
      </c>
      <c r="D131" s="3" t="s">
        <v>15</v>
      </c>
      <c r="E131" s="6" t="str">
        <f>VLOOKUP(folha1[[#This Row],[Razão Social]],Planilha1!A:C,3,0)</f>
        <v>REGIONAL</v>
      </c>
      <c r="F131" s="3" t="s">
        <v>612</v>
      </c>
      <c r="G131" s="3" t="s">
        <v>613</v>
      </c>
      <c r="H131" s="3" t="s">
        <v>614</v>
      </c>
      <c r="I131" s="3"/>
      <c r="J131" s="3" t="s">
        <v>615</v>
      </c>
      <c r="K131" s="3" t="s">
        <v>616</v>
      </c>
      <c r="L131" s="4">
        <v>7181</v>
      </c>
      <c r="M131" s="4">
        <v>100</v>
      </c>
      <c r="N131" s="4" t="str">
        <f>IF(folha1[[#This Row],[Participação (%)]]=100,"BASE PRÓPRIA","BASE POOL")</f>
        <v>BASE PRÓPRIA</v>
      </c>
      <c r="O131" s="3" t="s">
        <v>617</v>
      </c>
      <c r="P131" s="5">
        <v>44986</v>
      </c>
    </row>
    <row r="132" spans="1:16" ht="19.95" customHeight="1" thickBot="1" x14ac:dyDescent="0.35">
      <c r="A132" s="3" t="s">
        <v>618</v>
      </c>
      <c r="B132" s="3" t="s">
        <v>611</v>
      </c>
      <c r="C132" s="6" t="str">
        <f>VLOOKUP(folha1[[#This Row],[Razão Social]],Planilha1!A:C,2,0)</f>
        <v xml:space="preserve"> EQUADOR DE PRODUTOS DE PETRÓLEO .</v>
      </c>
      <c r="D132" s="3" t="s">
        <v>15</v>
      </c>
      <c r="E132" s="6" t="str">
        <f>VLOOKUP(folha1[[#This Row],[Razão Social]],Planilha1!A:C,3,0)</f>
        <v>REGIONAL</v>
      </c>
      <c r="F132" s="3" t="s">
        <v>619</v>
      </c>
      <c r="G132" s="3" t="s">
        <v>64</v>
      </c>
      <c r="H132" s="3" t="s">
        <v>65</v>
      </c>
      <c r="I132" s="3" t="s">
        <v>620</v>
      </c>
      <c r="J132" s="3" t="s">
        <v>621</v>
      </c>
      <c r="K132" s="3" t="s">
        <v>622</v>
      </c>
      <c r="L132" s="4">
        <v>400</v>
      </c>
      <c r="M132" s="4">
        <v>100</v>
      </c>
      <c r="N132" s="4" t="str">
        <f>IF(folha1[[#This Row],[Participação (%)]]=100,"BASE PRÓPRIA","BASE POOL")</f>
        <v>BASE PRÓPRIA</v>
      </c>
      <c r="O132" s="3" t="s">
        <v>623</v>
      </c>
      <c r="P132" s="5">
        <v>36881</v>
      </c>
    </row>
    <row r="133" spans="1:16" ht="19.95" customHeight="1" thickBot="1" x14ac:dyDescent="0.35">
      <c r="A133" s="3" t="s">
        <v>624</v>
      </c>
      <c r="B133" s="3" t="s">
        <v>611</v>
      </c>
      <c r="C133" s="6" t="str">
        <f>VLOOKUP(folha1[[#This Row],[Razão Social]],Planilha1!A:C,2,0)</f>
        <v xml:space="preserve"> EQUADOR DE PRODUTOS DE PETRÓLEO .</v>
      </c>
      <c r="D133" s="3" t="s">
        <v>15</v>
      </c>
      <c r="E133" s="6" t="str">
        <f>VLOOKUP(folha1[[#This Row],[Razão Social]],Planilha1!A:C,3,0)</f>
        <v>REGIONAL</v>
      </c>
      <c r="F133" s="3" t="s">
        <v>625</v>
      </c>
      <c r="G133" s="3" t="s">
        <v>64</v>
      </c>
      <c r="H133" s="3" t="s">
        <v>149</v>
      </c>
      <c r="I133" s="3" t="s">
        <v>626</v>
      </c>
      <c r="J133" s="3" t="s">
        <v>627</v>
      </c>
      <c r="K133" s="3" t="s">
        <v>628</v>
      </c>
      <c r="L133" s="4">
        <v>630</v>
      </c>
      <c r="M133" s="4">
        <v>100</v>
      </c>
      <c r="N133" s="4" t="str">
        <f>IF(folha1[[#This Row],[Participação (%)]]=100,"BASE PRÓPRIA","BASE POOL")</f>
        <v>BASE PRÓPRIA</v>
      </c>
      <c r="O133" s="3" t="s">
        <v>629</v>
      </c>
      <c r="P133" s="5">
        <v>45586</v>
      </c>
    </row>
    <row r="134" spans="1:16" ht="19.95" customHeight="1" thickBot="1" x14ac:dyDescent="0.35">
      <c r="A134" s="3" t="s">
        <v>630</v>
      </c>
      <c r="B134" s="3" t="s">
        <v>611</v>
      </c>
      <c r="C134" s="6" t="str">
        <f>VLOOKUP(folha1[[#This Row],[Razão Social]],Planilha1!A:C,2,0)</f>
        <v xml:space="preserve"> EQUADOR DE PRODUTOS DE PETRÓLEO .</v>
      </c>
      <c r="D134" s="3" t="s">
        <v>15</v>
      </c>
      <c r="E134" s="6" t="str">
        <f>VLOOKUP(folha1[[#This Row],[Razão Social]],Planilha1!A:C,3,0)</f>
        <v>REGIONAL</v>
      </c>
      <c r="F134" s="3" t="s">
        <v>114</v>
      </c>
      <c r="G134" s="3" t="s">
        <v>631</v>
      </c>
      <c r="H134" s="3" t="s">
        <v>175</v>
      </c>
      <c r="I134" s="3" t="s">
        <v>632</v>
      </c>
      <c r="J134" s="3" t="s">
        <v>117</v>
      </c>
      <c r="K134" s="3" t="s">
        <v>118</v>
      </c>
      <c r="L134" s="4">
        <v>3289.59</v>
      </c>
      <c r="M134" s="4">
        <v>100</v>
      </c>
      <c r="N134" s="4" t="str">
        <f>IF(folha1[[#This Row],[Participação (%)]]=100,"BASE PRÓPRIA","BASE POOL")</f>
        <v>BASE PRÓPRIA</v>
      </c>
      <c r="O134" s="3" t="s">
        <v>633</v>
      </c>
      <c r="P134" s="5">
        <v>45527</v>
      </c>
    </row>
    <row r="135" spans="1:16" ht="19.95" customHeight="1" thickBot="1" x14ac:dyDescent="0.35">
      <c r="A135" s="3" t="s">
        <v>634</v>
      </c>
      <c r="B135" s="3" t="s">
        <v>635</v>
      </c>
      <c r="C135" s="6" t="str">
        <f>VLOOKUP(folha1[[#This Row],[Razão Social]],Planilha1!A:C,2,0)</f>
        <v>D`MAIS  .</v>
      </c>
      <c r="D135" s="3" t="s">
        <v>15</v>
      </c>
      <c r="E135" s="6" t="str">
        <f>VLOOKUP(folha1[[#This Row],[Razão Social]],Planilha1!A:C,3,0)</f>
        <v>REGIONAL</v>
      </c>
      <c r="F135" s="3" t="s">
        <v>378</v>
      </c>
      <c r="G135" s="3" t="s">
        <v>379</v>
      </c>
      <c r="H135" s="3" t="s">
        <v>380</v>
      </c>
      <c r="I135" s="3"/>
      <c r="J135" s="3" t="s">
        <v>19</v>
      </c>
      <c r="K135" s="3" t="s">
        <v>20</v>
      </c>
      <c r="L135" s="4">
        <v>10019.959999999999</v>
      </c>
      <c r="M135" s="4">
        <v>42.1</v>
      </c>
      <c r="N135" s="4" t="str">
        <f>IF(folha1[[#This Row],[Participação (%)]]=100,"BASE PRÓPRIA","BASE POOL")</f>
        <v>BASE POOL</v>
      </c>
      <c r="O135" s="3" t="s">
        <v>381</v>
      </c>
      <c r="P135" s="5">
        <v>42662</v>
      </c>
    </row>
    <row r="136" spans="1:16" ht="19.95" customHeight="1" thickBot="1" x14ac:dyDescent="0.35">
      <c r="A136" s="3" t="s">
        <v>636</v>
      </c>
      <c r="B136" s="3" t="s">
        <v>637</v>
      </c>
      <c r="C136" s="6" t="str">
        <f>VLOOKUP(folha1[[#This Row],[Razão Social]],Planilha1!A:C,2,0)</f>
        <v>GP  .</v>
      </c>
      <c r="D136" s="3" t="s">
        <v>15</v>
      </c>
      <c r="E136" s="6" t="str">
        <f>VLOOKUP(folha1[[#This Row],[Razão Social]],Planilha1!A:C,3,0)</f>
        <v>REGIONAL</v>
      </c>
      <c r="F136" s="3" t="s">
        <v>312</v>
      </c>
      <c r="G136" s="3" t="s">
        <v>168</v>
      </c>
      <c r="H136" s="3" t="s">
        <v>313</v>
      </c>
      <c r="I136" s="3"/>
      <c r="J136" s="3" t="s">
        <v>43</v>
      </c>
      <c r="K136" s="3" t="s">
        <v>44</v>
      </c>
      <c r="L136" s="4">
        <v>37955.21</v>
      </c>
      <c r="M136" s="4">
        <v>2.2200000000000002</v>
      </c>
      <c r="N136" s="4" t="str">
        <f>IF(folha1[[#This Row],[Participação (%)]]=100,"BASE PRÓPRIA","BASE POOL")</f>
        <v>BASE POOL</v>
      </c>
      <c r="O136" s="3" t="s">
        <v>314</v>
      </c>
      <c r="P136" s="5">
        <v>45548</v>
      </c>
    </row>
    <row r="137" spans="1:16" ht="19.95" customHeight="1" thickBot="1" x14ac:dyDescent="0.35">
      <c r="A137" s="3" t="s">
        <v>638</v>
      </c>
      <c r="B137" s="3" t="s">
        <v>639</v>
      </c>
      <c r="C137" s="6" t="str">
        <f>VLOOKUP(folha1[[#This Row],[Razão Social]],Planilha1!A:C,2,0)</f>
        <v>UNIBRASPE BRASILEIRA DE PETRÓLEO .</v>
      </c>
      <c r="D137" s="3" t="s">
        <v>15</v>
      </c>
      <c r="E137" s="6" t="str">
        <f>VLOOKUP(folha1[[#This Row],[Razão Social]],Planilha1!A:C,3,0)</f>
        <v>REGIONAL</v>
      </c>
      <c r="F137" s="3" t="s">
        <v>312</v>
      </c>
      <c r="G137" s="3" t="s">
        <v>168</v>
      </c>
      <c r="H137" s="3" t="s">
        <v>313</v>
      </c>
      <c r="I137" s="3"/>
      <c r="J137" s="3" t="s">
        <v>43</v>
      </c>
      <c r="K137" s="3" t="s">
        <v>44</v>
      </c>
      <c r="L137" s="4">
        <v>37955.21</v>
      </c>
      <c r="M137" s="4">
        <v>91.12</v>
      </c>
      <c r="N137" s="4" t="str">
        <f>IF(folha1[[#This Row],[Participação (%)]]=100,"BASE PRÓPRIA","BASE POOL")</f>
        <v>BASE POOL</v>
      </c>
      <c r="O137" s="3" t="s">
        <v>314</v>
      </c>
      <c r="P137" s="5">
        <v>45548</v>
      </c>
    </row>
    <row r="138" spans="1:16" ht="19.95" customHeight="1" thickBot="1" x14ac:dyDescent="0.35">
      <c r="A138" s="3" t="s">
        <v>640</v>
      </c>
      <c r="B138" s="3" t="s">
        <v>639</v>
      </c>
      <c r="C138" s="6" t="str">
        <f>VLOOKUP(folha1[[#This Row],[Razão Social]],Planilha1!A:C,2,0)</f>
        <v>UNIBRASPE BRASILEIRA DE PETRÓLEO .</v>
      </c>
      <c r="D138" s="3" t="s">
        <v>15</v>
      </c>
      <c r="E138" s="6" t="str">
        <f>VLOOKUP(folha1[[#This Row],[Razão Social]],Planilha1!A:C,3,0)</f>
        <v>REGIONAL</v>
      </c>
      <c r="F138" s="3" t="s">
        <v>641</v>
      </c>
      <c r="G138" s="3" t="s">
        <v>642</v>
      </c>
      <c r="H138" s="3" t="s">
        <v>643</v>
      </c>
      <c r="I138" s="3"/>
      <c r="J138" s="3" t="s">
        <v>644</v>
      </c>
      <c r="K138" s="3" t="s">
        <v>59</v>
      </c>
      <c r="L138" s="4">
        <v>31212.65</v>
      </c>
      <c r="M138" s="4">
        <v>100</v>
      </c>
      <c r="N138" s="4" t="str">
        <f>IF(folha1[[#This Row],[Participação (%)]]=100,"BASE PRÓPRIA","BASE POOL")</f>
        <v>BASE PRÓPRIA</v>
      </c>
      <c r="O138" s="3" t="s">
        <v>645</v>
      </c>
      <c r="P138" s="5">
        <v>45621</v>
      </c>
    </row>
    <row r="139" spans="1:16" ht="19.95" customHeight="1" thickBot="1" x14ac:dyDescent="0.35">
      <c r="A139" s="3" t="s">
        <v>646</v>
      </c>
      <c r="B139" s="3" t="s">
        <v>647</v>
      </c>
      <c r="C139" s="6" t="str">
        <f>VLOOKUP(folha1[[#This Row],[Razão Social]],Planilha1!A:C,2,0)</f>
        <v>ECOMAT - ECOLÓGICA MATO GROSSO INDÚSTRIA E COMÉRCIO .</v>
      </c>
      <c r="D139" s="3" t="s">
        <v>15</v>
      </c>
      <c r="E139" s="6" t="str">
        <f>VLOOKUP(folha1[[#This Row],[Razão Social]],Planilha1!A:C,3,0)</f>
        <v>REGIONAL</v>
      </c>
      <c r="F139" s="3" t="s">
        <v>648</v>
      </c>
      <c r="G139" s="3" t="s">
        <v>649</v>
      </c>
      <c r="H139" s="3" t="s">
        <v>175</v>
      </c>
      <c r="I139" s="3" t="s">
        <v>650</v>
      </c>
      <c r="J139" s="3" t="s">
        <v>117</v>
      </c>
      <c r="K139" s="3" t="s">
        <v>118</v>
      </c>
      <c r="L139" s="4">
        <v>2337.4499999999998</v>
      </c>
      <c r="M139" s="4">
        <v>67.91</v>
      </c>
      <c r="N139" s="4" t="str">
        <f>IF(folha1[[#This Row],[Participação (%)]]=100,"BASE PRÓPRIA","BASE POOL")</f>
        <v>BASE POOL</v>
      </c>
      <c r="O139" s="3" t="s">
        <v>651</v>
      </c>
      <c r="P139" s="5">
        <v>43150</v>
      </c>
    </row>
    <row r="140" spans="1:16" ht="19.95" customHeight="1" thickBot="1" x14ac:dyDescent="0.35">
      <c r="A140" s="3" t="s">
        <v>652</v>
      </c>
      <c r="B140" s="3" t="s">
        <v>653</v>
      </c>
      <c r="C140" s="6" t="str">
        <f>VLOOKUP(folha1[[#This Row],[Razão Social]],Planilha1!A:C,2,0)</f>
        <v xml:space="preserve">WATT BRASILEIRA DE COMBUSTÍVEIS E DERIVADOS DE PETRÓLEO </v>
      </c>
      <c r="D140" s="3" t="s">
        <v>15</v>
      </c>
      <c r="E140" s="6" t="str">
        <f>VLOOKUP(folha1[[#This Row],[Razão Social]],Planilha1!A:C,3,0)</f>
        <v>REGIONAL</v>
      </c>
      <c r="F140" s="3" t="s">
        <v>619</v>
      </c>
      <c r="G140" s="3" t="s">
        <v>64</v>
      </c>
      <c r="H140" s="3" t="s">
        <v>149</v>
      </c>
      <c r="I140" s="3" t="s">
        <v>654</v>
      </c>
      <c r="J140" s="3" t="s">
        <v>117</v>
      </c>
      <c r="K140" s="3" t="s">
        <v>118</v>
      </c>
      <c r="L140" s="4">
        <v>1981.34</v>
      </c>
      <c r="M140" s="4">
        <v>100</v>
      </c>
      <c r="N140" s="4" t="str">
        <f>IF(folha1[[#This Row],[Participação (%)]]=100,"BASE PRÓPRIA","BASE POOL")</f>
        <v>BASE PRÓPRIA</v>
      </c>
      <c r="O140" s="3" t="s">
        <v>655</v>
      </c>
      <c r="P140" s="5">
        <v>45252</v>
      </c>
    </row>
    <row r="141" spans="1:16" ht="19.95" customHeight="1" thickBot="1" x14ac:dyDescent="0.35">
      <c r="A141" s="3" t="s">
        <v>656</v>
      </c>
      <c r="B141" s="3" t="s">
        <v>653</v>
      </c>
      <c r="C141" s="6" t="str">
        <f>VLOOKUP(folha1[[#This Row],[Razão Social]],Planilha1!A:C,2,0)</f>
        <v xml:space="preserve">WATT BRASILEIRA DE COMBUSTÍVEIS E DERIVADOS DE PETRÓLEO </v>
      </c>
      <c r="D141" s="3" t="s">
        <v>15</v>
      </c>
      <c r="E141" s="6" t="str">
        <f>VLOOKUP(folha1[[#This Row],[Razão Social]],Planilha1!A:C,3,0)</f>
        <v>REGIONAL</v>
      </c>
      <c r="F141" s="3" t="s">
        <v>657</v>
      </c>
      <c r="G141" s="3" t="s">
        <v>64</v>
      </c>
      <c r="H141" s="3" t="s">
        <v>92</v>
      </c>
      <c r="I141" s="3" t="s">
        <v>658</v>
      </c>
      <c r="J141" s="3" t="s">
        <v>659</v>
      </c>
      <c r="K141" s="3" t="s">
        <v>118</v>
      </c>
      <c r="L141" s="4">
        <v>1398</v>
      </c>
      <c r="M141" s="4">
        <v>100</v>
      </c>
      <c r="N141" s="4" t="str">
        <f>IF(folha1[[#This Row],[Participação (%)]]=100,"BASE PRÓPRIA","BASE POOL")</f>
        <v>BASE PRÓPRIA</v>
      </c>
      <c r="O141" s="3" t="s">
        <v>660</v>
      </c>
      <c r="P141" s="5">
        <v>46153</v>
      </c>
    </row>
    <row r="142" spans="1:16" ht="19.95" customHeight="1" thickBot="1" x14ac:dyDescent="0.35">
      <c r="A142" s="3" t="s">
        <v>661</v>
      </c>
      <c r="B142" s="3" t="s">
        <v>662</v>
      </c>
      <c r="C142" s="6" t="str">
        <f>VLOOKUP(folha1[[#This Row],[Razão Social]],Planilha1!A:C,2,0)</f>
        <v>ART PETRO  .</v>
      </c>
      <c r="D142" s="3" t="s">
        <v>15</v>
      </c>
      <c r="E142" s="6" t="str">
        <f>VLOOKUP(folha1[[#This Row],[Razão Social]],Planilha1!A:C,3,0)</f>
        <v>REGIONAL</v>
      </c>
      <c r="F142" s="3" t="s">
        <v>663</v>
      </c>
      <c r="G142" s="3" t="s">
        <v>64</v>
      </c>
      <c r="H142" s="3" t="s">
        <v>664</v>
      </c>
      <c r="I142" s="3" t="s">
        <v>665</v>
      </c>
      <c r="J142" s="3" t="s">
        <v>666</v>
      </c>
      <c r="K142" s="3" t="s">
        <v>44</v>
      </c>
      <c r="L142" s="4">
        <v>750</v>
      </c>
      <c r="M142" s="4">
        <v>100</v>
      </c>
      <c r="N142" s="4" t="str">
        <f>IF(folha1[[#This Row],[Participação (%)]]=100,"BASE PRÓPRIA","BASE POOL")</f>
        <v>BASE PRÓPRIA</v>
      </c>
      <c r="O142" s="3" t="s">
        <v>667</v>
      </c>
      <c r="P142" s="5">
        <v>37294</v>
      </c>
    </row>
    <row r="143" spans="1:16" ht="19.95" customHeight="1" thickBot="1" x14ac:dyDescent="0.35">
      <c r="A143" s="3" t="s">
        <v>668</v>
      </c>
      <c r="B143" s="3" t="s">
        <v>669</v>
      </c>
      <c r="C143" s="6" t="str">
        <f>VLOOKUP(folha1[[#This Row],[Razão Social]],Planilha1!A:C,2,0)</f>
        <v>REDEPETRO  .</v>
      </c>
      <c r="D143" s="3" t="s">
        <v>15</v>
      </c>
      <c r="E143" s="6" t="str">
        <f>VLOOKUP(folha1[[#This Row],[Razão Social]],Planilha1!A:C,3,0)</f>
        <v>REGIONAL</v>
      </c>
      <c r="F143" s="3" t="s">
        <v>670</v>
      </c>
      <c r="G143" s="3" t="s">
        <v>671</v>
      </c>
      <c r="H143" s="3" t="s">
        <v>672</v>
      </c>
      <c r="I143" s="3" t="s">
        <v>673</v>
      </c>
      <c r="J143" s="3" t="s">
        <v>80</v>
      </c>
      <c r="K143" s="3" t="s">
        <v>20</v>
      </c>
      <c r="L143" s="4">
        <v>20364.12</v>
      </c>
      <c r="M143" s="4">
        <v>7.36</v>
      </c>
      <c r="N143" s="4" t="str">
        <f>IF(folha1[[#This Row],[Participação (%)]]=100,"BASE PRÓPRIA","BASE POOL")</f>
        <v>BASE POOL</v>
      </c>
      <c r="O143" s="3" t="s">
        <v>674</v>
      </c>
      <c r="P143" s="5">
        <v>45173</v>
      </c>
    </row>
    <row r="144" spans="1:16" ht="19.95" customHeight="1" thickBot="1" x14ac:dyDescent="0.35">
      <c r="A144" s="3" t="s">
        <v>675</v>
      </c>
      <c r="B144" s="3" t="s">
        <v>669</v>
      </c>
      <c r="C144" s="6" t="str">
        <f>VLOOKUP(folha1[[#This Row],[Razão Social]],Planilha1!A:C,2,0)</f>
        <v>REDEPETRO  .</v>
      </c>
      <c r="D144" s="3" t="s">
        <v>15</v>
      </c>
      <c r="E144" s="6" t="str">
        <f>VLOOKUP(folha1[[#This Row],[Razão Social]],Planilha1!A:C,3,0)</f>
        <v>REGIONAL</v>
      </c>
      <c r="F144" s="3" t="s">
        <v>676</v>
      </c>
      <c r="G144" s="3" t="s">
        <v>510</v>
      </c>
      <c r="H144" s="3" t="s">
        <v>677</v>
      </c>
      <c r="I144" s="3"/>
      <c r="J144" s="3" t="s">
        <v>86</v>
      </c>
      <c r="K144" s="3" t="s">
        <v>87</v>
      </c>
      <c r="L144" s="4">
        <v>1506</v>
      </c>
      <c r="M144" s="4">
        <v>100</v>
      </c>
      <c r="N144" s="4" t="str">
        <f>IF(folha1[[#This Row],[Participação (%)]]=100,"BASE PRÓPRIA","BASE POOL")</f>
        <v>BASE PRÓPRIA</v>
      </c>
      <c r="O144" s="3" t="s">
        <v>678</v>
      </c>
      <c r="P144" s="5">
        <v>44601</v>
      </c>
    </row>
    <row r="145" spans="1:16" ht="19.95" customHeight="1" thickBot="1" x14ac:dyDescent="0.35">
      <c r="A145" s="3" t="s">
        <v>679</v>
      </c>
      <c r="B145" s="3" t="s">
        <v>680</v>
      </c>
      <c r="C145" s="6" t="str">
        <f>VLOOKUP(folha1[[#This Row],[Razão Social]],Planilha1!A:C,2,0)</f>
        <v xml:space="preserve">ATEM' S  </v>
      </c>
      <c r="D145" s="3" t="s">
        <v>15</v>
      </c>
      <c r="E145" s="6" t="str">
        <f>VLOOKUP(folha1[[#This Row],[Razão Social]],Planilha1!A:C,3,0)</f>
        <v>CONC MERC</v>
      </c>
      <c r="F145" s="3" t="s">
        <v>612</v>
      </c>
      <c r="G145" s="3" t="s">
        <v>681</v>
      </c>
      <c r="H145" s="3" t="s">
        <v>614</v>
      </c>
      <c r="I145" s="3"/>
      <c r="J145" s="3" t="s">
        <v>615</v>
      </c>
      <c r="K145" s="3" t="s">
        <v>616</v>
      </c>
      <c r="L145" s="4">
        <v>77103.259999999995</v>
      </c>
      <c r="M145" s="4">
        <v>100</v>
      </c>
      <c r="N145" s="4" t="str">
        <f>IF(folha1[[#This Row],[Participação (%)]]=100,"BASE PRÓPRIA","BASE POOL")</f>
        <v>BASE PRÓPRIA</v>
      </c>
      <c r="O145" s="3" t="s">
        <v>682</v>
      </c>
      <c r="P145" s="5">
        <v>43059</v>
      </c>
    </row>
    <row r="146" spans="1:16" ht="19.95" customHeight="1" thickBot="1" x14ac:dyDescent="0.35">
      <c r="A146" s="3" t="s">
        <v>683</v>
      </c>
      <c r="B146" s="3" t="s">
        <v>680</v>
      </c>
      <c r="C146" s="6" t="str">
        <f>VLOOKUP(folha1[[#This Row],[Razão Social]],Planilha1!A:C,2,0)</f>
        <v xml:space="preserve">ATEM' S  </v>
      </c>
      <c r="D146" s="3" t="s">
        <v>15</v>
      </c>
      <c r="E146" s="6" t="str">
        <f>VLOOKUP(folha1[[#This Row],[Razão Social]],Planilha1!A:C,3,0)</f>
        <v>CONC MERC</v>
      </c>
      <c r="F146" s="3" t="s">
        <v>684</v>
      </c>
      <c r="G146" s="3" t="s">
        <v>685</v>
      </c>
      <c r="H146" s="3" t="s">
        <v>686</v>
      </c>
      <c r="I146" s="3"/>
      <c r="J146" s="3" t="s">
        <v>687</v>
      </c>
      <c r="K146" s="3" t="s">
        <v>622</v>
      </c>
      <c r="L146" s="4">
        <v>923.2</v>
      </c>
      <c r="M146" s="4">
        <v>100</v>
      </c>
      <c r="N146" s="4" t="str">
        <f>IF(folha1[[#This Row],[Participação (%)]]=100,"BASE PRÓPRIA","BASE POOL")</f>
        <v>BASE PRÓPRIA</v>
      </c>
      <c r="O146" s="3" t="s">
        <v>688</v>
      </c>
      <c r="P146" s="5">
        <v>42234</v>
      </c>
    </row>
    <row r="147" spans="1:16" ht="19.95" customHeight="1" thickBot="1" x14ac:dyDescent="0.35">
      <c r="A147" s="3" t="s">
        <v>689</v>
      </c>
      <c r="B147" s="3" t="s">
        <v>680</v>
      </c>
      <c r="C147" s="6" t="str">
        <f>VLOOKUP(folha1[[#This Row],[Razão Social]],Planilha1!A:C,2,0)</f>
        <v xml:space="preserve">ATEM' S  </v>
      </c>
      <c r="D147" s="3" t="s">
        <v>15</v>
      </c>
      <c r="E147" s="6" t="str">
        <f>VLOOKUP(folha1[[#This Row],[Razão Social]],Planilha1!A:C,3,0)</f>
        <v>CONC MERC</v>
      </c>
      <c r="F147" s="3" t="s">
        <v>690</v>
      </c>
      <c r="G147" s="3" t="s">
        <v>691</v>
      </c>
      <c r="H147" s="3" t="s">
        <v>692</v>
      </c>
      <c r="I147" s="3" t="s">
        <v>137</v>
      </c>
      <c r="J147" s="3" t="s">
        <v>693</v>
      </c>
      <c r="K147" s="3" t="s">
        <v>628</v>
      </c>
      <c r="L147" s="4">
        <v>15058.9</v>
      </c>
      <c r="M147" s="4">
        <v>100</v>
      </c>
      <c r="N147" s="4" t="str">
        <f>IF(folha1[[#This Row],[Participação (%)]]=100,"BASE PRÓPRIA","BASE POOL")</f>
        <v>BASE PRÓPRIA</v>
      </c>
      <c r="O147" s="3" t="s">
        <v>694</v>
      </c>
      <c r="P147" s="5">
        <v>41950</v>
      </c>
    </row>
    <row r="148" spans="1:16" ht="19.95" customHeight="1" thickBot="1" x14ac:dyDescent="0.35">
      <c r="A148" s="3" t="s">
        <v>695</v>
      </c>
      <c r="B148" s="3" t="s">
        <v>680</v>
      </c>
      <c r="C148" s="6" t="str">
        <f>VLOOKUP(folha1[[#This Row],[Razão Social]],Planilha1!A:C,2,0)</f>
        <v xml:space="preserve">ATEM' S  </v>
      </c>
      <c r="D148" s="3" t="s">
        <v>15</v>
      </c>
      <c r="E148" s="6" t="str">
        <f>VLOOKUP(folha1[[#This Row],[Razão Social]],Planilha1!A:C,3,0)</f>
        <v>CONC MERC</v>
      </c>
      <c r="F148" s="3" t="s">
        <v>696</v>
      </c>
      <c r="G148" s="3" t="s">
        <v>697</v>
      </c>
      <c r="H148" s="3" t="s">
        <v>698</v>
      </c>
      <c r="I148" s="3"/>
      <c r="J148" s="3" t="s">
        <v>627</v>
      </c>
      <c r="K148" s="3" t="s">
        <v>628</v>
      </c>
      <c r="L148" s="4">
        <v>917.94</v>
      </c>
      <c r="M148" s="4">
        <v>100</v>
      </c>
      <c r="N148" s="4" t="str">
        <f>IF(folha1[[#This Row],[Participação (%)]]=100,"BASE PRÓPRIA","BASE POOL")</f>
        <v>BASE PRÓPRIA</v>
      </c>
      <c r="O148" s="3" t="s">
        <v>699</v>
      </c>
      <c r="P148" s="5">
        <v>43977</v>
      </c>
    </row>
    <row r="149" spans="1:16" ht="19.95" customHeight="1" thickBot="1" x14ac:dyDescent="0.35">
      <c r="A149" s="3" t="s">
        <v>700</v>
      </c>
      <c r="B149" s="3" t="s">
        <v>680</v>
      </c>
      <c r="C149" s="6" t="str">
        <f>VLOOKUP(folha1[[#This Row],[Razão Social]],Planilha1!A:C,2,0)</f>
        <v xml:space="preserve">ATEM' S  </v>
      </c>
      <c r="D149" s="3" t="s">
        <v>15</v>
      </c>
      <c r="E149" s="6" t="str">
        <f>VLOOKUP(folha1[[#This Row],[Razão Social]],Planilha1!A:C,3,0)</f>
        <v>CONC MERC</v>
      </c>
      <c r="F149" s="3" t="s">
        <v>701</v>
      </c>
      <c r="G149" s="3" t="s">
        <v>702</v>
      </c>
      <c r="H149" s="3" t="s">
        <v>703</v>
      </c>
      <c r="I149" s="3" t="s">
        <v>704</v>
      </c>
      <c r="J149" s="3" t="s">
        <v>705</v>
      </c>
      <c r="K149" s="3" t="s">
        <v>706</v>
      </c>
      <c r="L149" s="4">
        <v>34817.32</v>
      </c>
      <c r="M149" s="4">
        <v>100</v>
      </c>
      <c r="N149" s="4" t="str">
        <f>IF(folha1[[#This Row],[Participação (%)]]=100,"BASE PRÓPRIA","BASE POOL")</f>
        <v>BASE PRÓPRIA</v>
      </c>
      <c r="O149" s="3" t="s">
        <v>60</v>
      </c>
      <c r="P149" s="5">
        <v>45596</v>
      </c>
    </row>
    <row r="150" spans="1:16" ht="19.95" customHeight="1" thickBot="1" x14ac:dyDescent="0.35">
      <c r="A150" s="3" t="s">
        <v>707</v>
      </c>
      <c r="B150" s="3" t="s">
        <v>680</v>
      </c>
      <c r="C150" s="6" t="str">
        <f>VLOOKUP(folha1[[#This Row],[Razão Social]],Planilha1!A:C,2,0)</f>
        <v xml:space="preserve">ATEM' S  </v>
      </c>
      <c r="D150" s="3" t="s">
        <v>15</v>
      </c>
      <c r="E150" s="6" t="str">
        <f>VLOOKUP(folha1[[#This Row],[Razão Social]],Planilha1!A:C,3,0)</f>
        <v>CONC MERC</v>
      </c>
      <c r="F150" s="3" t="s">
        <v>708</v>
      </c>
      <c r="G150" s="3" t="s">
        <v>709</v>
      </c>
      <c r="H150" s="3" t="s">
        <v>710</v>
      </c>
      <c r="I150" s="3"/>
      <c r="J150" s="3" t="s">
        <v>711</v>
      </c>
      <c r="K150" s="3" t="s">
        <v>706</v>
      </c>
      <c r="L150" s="4">
        <v>71512</v>
      </c>
      <c r="M150" s="4">
        <v>100</v>
      </c>
      <c r="N150" s="4" t="str">
        <f>IF(folha1[[#This Row],[Participação (%)]]=100,"BASE PRÓPRIA","BASE POOL")</f>
        <v>BASE PRÓPRIA</v>
      </c>
      <c r="O150" s="3" t="s">
        <v>476</v>
      </c>
      <c r="P150" s="5">
        <v>45223</v>
      </c>
    </row>
    <row r="151" spans="1:16" ht="19.95" customHeight="1" thickBot="1" x14ac:dyDescent="0.35">
      <c r="A151" s="3" t="s">
        <v>712</v>
      </c>
      <c r="B151" s="3" t="s">
        <v>680</v>
      </c>
      <c r="C151" s="6" t="str">
        <f>VLOOKUP(folha1[[#This Row],[Razão Social]],Planilha1!A:C,2,0)</f>
        <v xml:space="preserve">ATEM' S  </v>
      </c>
      <c r="D151" s="3" t="s">
        <v>15</v>
      </c>
      <c r="E151" s="6" t="str">
        <f>VLOOKUP(folha1[[#This Row],[Razão Social]],Planilha1!A:C,3,0)</f>
        <v>CONC MERC</v>
      </c>
      <c r="F151" s="3" t="s">
        <v>713</v>
      </c>
      <c r="G151" s="3" t="s">
        <v>714</v>
      </c>
      <c r="H151" s="3" t="s">
        <v>715</v>
      </c>
      <c r="I151" s="3" t="s">
        <v>716</v>
      </c>
      <c r="J151" s="3" t="s">
        <v>717</v>
      </c>
      <c r="K151" s="3" t="s">
        <v>706</v>
      </c>
      <c r="L151" s="4">
        <v>8340</v>
      </c>
      <c r="M151" s="4">
        <v>100</v>
      </c>
      <c r="N151" s="4" t="str">
        <f>IF(folha1[[#This Row],[Participação (%)]]=100,"BASE PRÓPRIA","BASE POOL")</f>
        <v>BASE PRÓPRIA</v>
      </c>
      <c r="O151" s="3" t="s">
        <v>718</v>
      </c>
      <c r="P151" s="5">
        <v>46091</v>
      </c>
    </row>
    <row r="152" spans="1:16" ht="19.95" customHeight="1" thickBot="1" x14ac:dyDescent="0.35">
      <c r="A152" s="3" t="s">
        <v>719</v>
      </c>
      <c r="B152" s="3" t="s">
        <v>680</v>
      </c>
      <c r="C152" s="6" t="str">
        <f>VLOOKUP(folha1[[#This Row],[Razão Social]],Planilha1!A:C,2,0)</f>
        <v xml:space="preserve">ATEM' S  </v>
      </c>
      <c r="D152" s="3" t="s">
        <v>15</v>
      </c>
      <c r="E152" s="6" t="str">
        <f>VLOOKUP(folha1[[#This Row],[Razão Social]],Planilha1!A:C,3,0)</f>
        <v>CONC MERC</v>
      </c>
      <c r="F152" s="3" t="s">
        <v>720</v>
      </c>
      <c r="G152" s="3" t="s">
        <v>721</v>
      </c>
      <c r="H152" s="3" t="s">
        <v>397</v>
      </c>
      <c r="I152" s="3"/>
      <c r="J152" s="3" t="s">
        <v>399</v>
      </c>
      <c r="K152" s="3" t="s">
        <v>118</v>
      </c>
      <c r="L152" s="4">
        <v>4660</v>
      </c>
      <c r="M152" s="4">
        <v>100</v>
      </c>
      <c r="N152" s="4" t="str">
        <f>IF(folha1[[#This Row],[Participação (%)]]=100,"BASE PRÓPRIA","BASE POOL")</f>
        <v>BASE PRÓPRIA</v>
      </c>
      <c r="O152" s="3" t="s">
        <v>722</v>
      </c>
      <c r="P152" s="5">
        <v>44652</v>
      </c>
    </row>
    <row r="153" spans="1:16" ht="19.95" customHeight="1" thickBot="1" x14ac:dyDescent="0.35">
      <c r="A153" s="3" t="s">
        <v>723</v>
      </c>
      <c r="B153" s="3" t="s">
        <v>724</v>
      </c>
      <c r="C153" s="6" t="str">
        <f>VLOOKUP(folha1[[#This Row],[Razão Social]],Planilha1!A:C,2,0)</f>
        <v>FLAG  .</v>
      </c>
      <c r="D153" s="3" t="s">
        <v>15</v>
      </c>
      <c r="E153" s="6" t="str">
        <f>VLOOKUP(folha1[[#This Row],[Razão Social]],Planilha1!A:C,3,0)</f>
        <v>REGIONAL</v>
      </c>
      <c r="F153" s="3" t="s">
        <v>725</v>
      </c>
      <c r="G153" s="3" t="s">
        <v>726</v>
      </c>
      <c r="H153" s="3" t="s">
        <v>727</v>
      </c>
      <c r="I153" s="3"/>
      <c r="J153" s="3" t="s">
        <v>728</v>
      </c>
      <c r="K153" s="3" t="s">
        <v>20</v>
      </c>
      <c r="L153" s="4">
        <v>1440</v>
      </c>
      <c r="M153" s="4">
        <v>100</v>
      </c>
      <c r="N153" s="4" t="str">
        <f>IF(folha1[[#This Row],[Participação (%)]]=100,"BASE PRÓPRIA","BASE POOL")</f>
        <v>BASE PRÓPRIA</v>
      </c>
      <c r="O153" s="3" t="s">
        <v>729</v>
      </c>
      <c r="P153" s="5">
        <v>45252</v>
      </c>
    </row>
    <row r="154" spans="1:16" ht="19.95" customHeight="1" thickBot="1" x14ac:dyDescent="0.35">
      <c r="A154" s="3" t="s">
        <v>730</v>
      </c>
      <c r="B154" s="3" t="s">
        <v>731</v>
      </c>
      <c r="C154" s="6" t="str">
        <f>VLOOKUP(folha1[[#This Row],[Razão Social]],Planilha1!A:C,2,0)</f>
        <v>MONTE CABRAL  .</v>
      </c>
      <c r="D154" s="3" t="s">
        <v>15</v>
      </c>
      <c r="E154" s="6" t="str">
        <f>VLOOKUP(folha1[[#This Row],[Razão Social]],Planilha1!A:C,3,0)</f>
        <v>REGIONAL</v>
      </c>
      <c r="F154" s="3" t="s">
        <v>732</v>
      </c>
      <c r="G154" s="3" t="s">
        <v>733</v>
      </c>
      <c r="H154" s="3" t="s">
        <v>18</v>
      </c>
      <c r="I154" s="3"/>
      <c r="J154" s="3" t="s">
        <v>19</v>
      </c>
      <c r="K154" s="3" t="s">
        <v>20</v>
      </c>
      <c r="L154" s="4">
        <v>1626.74</v>
      </c>
      <c r="M154" s="4">
        <v>100</v>
      </c>
      <c r="N154" s="4" t="str">
        <f>IF(folha1[[#This Row],[Participação (%)]]=100,"BASE PRÓPRIA","BASE POOL")</f>
        <v>BASE PRÓPRIA</v>
      </c>
      <c r="O154" s="3" t="s">
        <v>734</v>
      </c>
      <c r="P154" s="5">
        <v>44330</v>
      </c>
    </row>
    <row r="155" spans="1:16" ht="19.95" customHeight="1" thickBot="1" x14ac:dyDescent="0.35">
      <c r="A155" s="3" t="s">
        <v>735</v>
      </c>
      <c r="B155" s="3" t="s">
        <v>736</v>
      </c>
      <c r="C155" s="6" t="str">
        <f>VLOOKUP(folha1[[#This Row],[Razão Social]],Planilha1!A:C,2,0)</f>
        <v xml:space="preserve">PETRÓLEO SABBÁ </v>
      </c>
      <c r="D155" s="3" t="s">
        <v>15</v>
      </c>
      <c r="E155" s="6" t="str">
        <f>VLOOKUP(folha1[[#This Row],[Razão Social]],Planilha1!A:C,3,0)</f>
        <v>MAJOR</v>
      </c>
      <c r="F155" s="3" t="s">
        <v>737</v>
      </c>
      <c r="G155" s="3" t="s">
        <v>738</v>
      </c>
      <c r="H155" s="3" t="s">
        <v>614</v>
      </c>
      <c r="I155" s="3"/>
      <c r="J155" s="3" t="s">
        <v>615</v>
      </c>
      <c r="K155" s="3" t="s">
        <v>616</v>
      </c>
      <c r="L155" s="4">
        <v>23127</v>
      </c>
      <c r="M155" s="4">
        <v>100</v>
      </c>
      <c r="N155" s="4" t="str">
        <f>IF(folha1[[#This Row],[Participação (%)]]=100,"BASE PRÓPRIA","BASE POOL")</f>
        <v>BASE PRÓPRIA</v>
      </c>
      <c r="O155" s="3" t="s">
        <v>739</v>
      </c>
      <c r="P155" s="5">
        <v>42907</v>
      </c>
    </row>
    <row r="156" spans="1:16" ht="19.95" customHeight="1" thickBot="1" x14ac:dyDescent="0.35">
      <c r="A156" s="3" t="s">
        <v>740</v>
      </c>
      <c r="B156" s="3" t="s">
        <v>736</v>
      </c>
      <c r="C156" s="6" t="str">
        <f>VLOOKUP(folha1[[#This Row],[Razão Social]],Planilha1!A:C,2,0)</f>
        <v xml:space="preserve">PETRÓLEO SABBÁ </v>
      </c>
      <c r="D156" s="3" t="s">
        <v>15</v>
      </c>
      <c r="E156" s="6" t="str">
        <f>VLOOKUP(folha1[[#This Row],[Razão Social]],Planilha1!A:C,3,0)</f>
        <v>MAJOR</v>
      </c>
      <c r="F156" s="3" t="s">
        <v>741</v>
      </c>
      <c r="G156" s="3" t="s">
        <v>64</v>
      </c>
      <c r="H156" s="3" t="s">
        <v>742</v>
      </c>
      <c r="I156" s="3"/>
      <c r="J156" s="3" t="s">
        <v>743</v>
      </c>
      <c r="K156" s="3" t="s">
        <v>744</v>
      </c>
      <c r="L156" s="4">
        <v>14679</v>
      </c>
      <c r="M156" s="4">
        <v>33</v>
      </c>
      <c r="N156" s="4" t="str">
        <f>IF(folha1[[#This Row],[Participação (%)]]=100,"BASE PRÓPRIA","BASE POOL")</f>
        <v>BASE POOL</v>
      </c>
      <c r="O156" s="3" t="s">
        <v>745</v>
      </c>
      <c r="P156" s="5">
        <v>43075</v>
      </c>
    </row>
    <row r="157" spans="1:16" ht="19.95" customHeight="1" thickBot="1" x14ac:dyDescent="0.35">
      <c r="A157" s="3" t="s">
        <v>746</v>
      </c>
      <c r="B157" s="3" t="s">
        <v>736</v>
      </c>
      <c r="C157" s="6" t="str">
        <f>VLOOKUP(folha1[[#This Row],[Razão Social]],Planilha1!A:C,2,0)</f>
        <v xml:space="preserve">PETRÓLEO SABBÁ </v>
      </c>
      <c r="D157" s="3" t="s">
        <v>15</v>
      </c>
      <c r="E157" s="6" t="str">
        <f>VLOOKUP(folha1[[#This Row],[Razão Social]],Planilha1!A:C,3,0)</f>
        <v>MAJOR</v>
      </c>
      <c r="F157" s="3" t="s">
        <v>747</v>
      </c>
      <c r="G157" s="3" t="s">
        <v>748</v>
      </c>
      <c r="H157" s="3" t="s">
        <v>230</v>
      </c>
      <c r="I157" s="3"/>
      <c r="J157" s="3" t="s">
        <v>705</v>
      </c>
      <c r="K157" s="3" t="s">
        <v>706</v>
      </c>
      <c r="L157" s="4">
        <v>21304</v>
      </c>
      <c r="M157" s="4">
        <v>33.33</v>
      </c>
      <c r="N157" s="4" t="str">
        <f>IF(folha1[[#This Row],[Participação (%)]]=100,"BASE PRÓPRIA","BASE POOL")</f>
        <v>BASE POOL</v>
      </c>
      <c r="O157" s="3" t="s">
        <v>749</v>
      </c>
      <c r="P157" s="5">
        <v>45278</v>
      </c>
    </row>
    <row r="158" spans="1:16" ht="19.95" customHeight="1" thickBot="1" x14ac:dyDescent="0.35">
      <c r="A158" s="3" t="s">
        <v>750</v>
      </c>
      <c r="B158" s="3" t="s">
        <v>736</v>
      </c>
      <c r="C158" s="6" t="str">
        <f>VLOOKUP(folha1[[#This Row],[Razão Social]],Planilha1!A:C,2,0)</f>
        <v xml:space="preserve">PETRÓLEO SABBÁ </v>
      </c>
      <c r="D158" s="3" t="s">
        <v>15</v>
      </c>
      <c r="E158" s="6" t="str">
        <f>VLOOKUP(folha1[[#This Row],[Razão Social]],Planilha1!A:C,3,0)</f>
        <v>MAJOR</v>
      </c>
      <c r="F158" s="3" t="s">
        <v>751</v>
      </c>
      <c r="G158" s="3" t="s">
        <v>752</v>
      </c>
      <c r="H158" s="3" t="s">
        <v>753</v>
      </c>
      <c r="I158" s="3" t="s">
        <v>754</v>
      </c>
      <c r="J158" s="3" t="s">
        <v>755</v>
      </c>
      <c r="K158" s="3" t="s">
        <v>162</v>
      </c>
      <c r="L158" s="4">
        <v>105720</v>
      </c>
      <c r="M158" s="4">
        <v>100</v>
      </c>
      <c r="N158" s="4" t="str">
        <f>IF(folha1[[#This Row],[Participação (%)]]=100,"BASE PRÓPRIA","BASE POOL")</f>
        <v>BASE PRÓPRIA</v>
      </c>
      <c r="O158" s="3" t="s">
        <v>293</v>
      </c>
      <c r="P158" s="5">
        <v>46118</v>
      </c>
    </row>
    <row r="159" spans="1:16" ht="19.95" customHeight="1" thickBot="1" x14ac:dyDescent="0.35">
      <c r="A159" s="3" t="s">
        <v>756</v>
      </c>
      <c r="B159" s="3" t="s">
        <v>736</v>
      </c>
      <c r="C159" s="6" t="str">
        <f>VLOOKUP(folha1[[#This Row],[Razão Social]],Planilha1!A:C,2,0)</f>
        <v xml:space="preserve">PETRÓLEO SABBÁ </v>
      </c>
      <c r="D159" s="3" t="s">
        <v>15</v>
      </c>
      <c r="E159" s="6" t="str">
        <f>VLOOKUP(folha1[[#This Row],[Razão Social]],Planilha1!A:C,3,0)</f>
        <v>MAJOR</v>
      </c>
      <c r="F159" s="3" t="s">
        <v>757</v>
      </c>
      <c r="G159" s="3" t="s">
        <v>758</v>
      </c>
      <c r="H159" s="3" t="s">
        <v>759</v>
      </c>
      <c r="I159" s="3" t="s">
        <v>319</v>
      </c>
      <c r="J159" s="3" t="s">
        <v>693</v>
      </c>
      <c r="K159" s="3" t="s">
        <v>628</v>
      </c>
      <c r="L159" s="4">
        <v>12254.6</v>
      </c>
      <c r="M159" s="4">
        <v>100</v>
      </c>
      <c r="N159" s="4" t="str">
        <f>IF(folha1[[#This Row],[Participação (%)]]=100,"BASE PRÓPRIA","BASE POOL")</f>
        <v>BASE PRÓPRIA</v>
      </c>
      <c r="O159" s="3" t="s">
        <v>760</v>
      </c>
      <c r="P159" s="5">
        <v>45358</v>
      </c>
    </row>
    <row r="160" spans="1:16" ht="19.95" customHeight="1" thickBot="1" x14ac:dyDescent="0.35">
      <c r="A160" s="3" t="s">
        <v>761</v>
      </c>
      <c r="B160" s="3" t="s">
        <v>736</v>
      </c>
      <c r="C160" s="6" t="str">
        <f>VLOOKUP(folha1[[#This Row],[Razão Social]],Planilha1!A:C,2,0)</f>
        <v xml:space="preserve">PETRÓLEO SABBÁ </v>
      </c>
      <c r="D160" s="3" t="s">
        <v>15</v>
      </c>
      <c r="E160" s="6" t="str">
        <f>VLOOKUP(folha1[[#This Row],[Razão Social]],Planilha1!A:C,3,0)</f>
        <v>MAJOR</v>
      </c>
      <c r="F160" s="3" t="s">
        <v>762</v>
      </c>
      <c r="G160" s="3" t="s">
        <v>64</v>
      </c>
      <c r="H160" s="3" t="s">
        <v>763</v>
      </c>
      <c r="I160" s="3"/>
      <c r="J160" s="3" t="s">
        <v>717</v>
      </c>
      <c r="K160" s="3" t="s">
        <v>706</v>
      </c>
      <c r="L160" s="4">
        <v>116147.24</v>
      </c>
      <c r="M160" s="4">
        <v>60</v>
      </c>
      <c r="N160" s="4" t="str">
        <f>IF(folha1[[#This Row],[Participação (%)]]=100,"BASE PRÓPRIA","BASE POOL")</f>
        <v>BASE POOL</v>
      </c>
      <c r="O160" s="3" t="s">
        <v>764</v>
      </c>
      <c r="P160" s="5">
        <v>45526</v>
      </c>
    </row>
    <row r="161" spans="1:16" ht="19.95" customHeight="1" thickBot="1" x14ac:dyDescent="0.35">
      <c r="A161" s="3" t="s">
        <v>765</v>
      </c>
      <c r="B161" s="3" t="s">
        <v>736</v>
      </c>
      <c r="C161" s="6" t="str">
        <f>VLOOKUP(folha1[[#This Row],[Razão Social]],Planilha1!A:C,2,0)</f>
        <v xml:space="preserve">PETRÓLEO SABBÁ </v>
      </c>
      <c r="D161" s="3" t="s">
        <v>15</v>
      </c>
      <c r="E161" s="6" t="str">
        <f>VLOOKUP(folha1[[#This Row],[Razão Social]],Planilha1!A:C,3,0)</f>
        <v>MAJOR</v>
      </c>
      <c r="F161" s="3" t="s">
        <v>766</v>
      </c>
      <c r="G161" s="3" t="s">
        <v>64</v>
      </c>
      <c r="H161" s="3" t="s">
        <v>767</v>
      </c>
      <c r="I161" s="3"/>
      <c r="J161" s="3" t="s">
        <v>711</v>
      </c>
      <c r="K161" s="3" t="s">
        <v>706</v>
      </c>
      <c r="L161" s="4">
        <v>37729</v>
      </c>
      <c r="M161" s="4">
        <v>100</v>
      </c>
      <c r="N161" s="4" t="str">
        <f>IF(folha1[[#This Row],[Participação (%)]]=100,"BASE PRÓPRIA","BASE POOL")</f>
        <v>BASE PRÓPRIA</v>
      </c>
      <c r="O161" s="3" t="s">
        <v>768</v>
      </c>
      <c r="P161" s="5">
        <v>45236</v>
      </c>
    </row>
    <row r="162" spans="1:16" ht="19.95" customHeight="1" thickBot="1" x14ac:dyDescent="0.35">
      <c r="A162" s="3" t="s">
        <v>769</v>
      </c>
      <c r="B162" s="3" t="s">
        <v>736</v>
      </c>
      <c r="C162" s="6" t="str">
        <f>VLOOKUP(folha1[[#This Row],[Razão Social]],Planilha1!A:C,2,0)</f>
        <v xml:space="preserve">PETRÓLEO SABBÁ </v>
      </c>
      <c r="D162" s="3" t="s">
        <v>15</v>
      </c>
      <c r="E162" s="6" t="str">
        <f>VLOOKUP(folha1[[#This Row],[Razão Social]],Planilha1!A:C,3,0)</f>
        <v>MAJOR</v>
      </c>
      <c r="F162" s="3" t="s">
        <v>770</v>
      </c>
      <c r="G162" s="3" t="s">
        <v>64</v>
      </c>
      <c r="H162" s="3" t="s">
        <v>771</v>
      </c>
      <c r="I162" s="3" t="s">
        <v>772</v>
      </c>
      <c r="J162" s="3" t="s">
        <v>705</v>
      </c>
      <c r="K162" s="3" t="s">
        <v>706</v>
      </c>
      <c r="L162" s="4">
        <v>2133.86</v>
      </c>
      <c r="M162" s="4">
        <v>100</v>
      </c>
      <c r="N162" s="4" t="str">
        <f>IF(folha1[[#This Row],[Participação (%)]]=100,"BASE PRÓPRIA","BASE POOL")</f>
        <v>BASE PRÓPRIA</v>
      </c>
      <c r="O162" s="3" t="s">
        <v>773</v>
      </c>
      <c r="P162" s="5">
        <v>43924</v>
      </c>
    </row>
    <row r="163" spans="1:16" ht="19.95" customHeight="1" thickBot="1" x14ac:dyDescent="0.35">
      <c r="A163" s="3" t="s">
        <v>774</v>
      </c>
      <c r="B163" s="3" t="s">
        <v>736</v>
      </c>
      <c r="C163" s="6" t="str">
        <f>VLOOKUP(folha1[[#This Row],[Razão Social]],Planilha1!A:C,2,0)</f>
        <v xml:space="preserve">PETRÓLEO SABBÁ </v>
      </c>
      <c r="D163" s="3" t="s">
        <v>15</v>
      </c>
      <c r="E163" s="6" t="str">
        <f>VLOOKUP(folha1[[#This Row],[Razão Social]],Planilha1!A:C,3,0)</f>
        <v>MAJOR</v>
      </c>
      <c r="F163" s="3" t="s">
        <v>775</v>
      </c>
      <c r="G163" s="3" t="s">
        <v>64</v>
      </c>
      <c r="H163" s="3" t="s">
        <v>776</v>
      </c>
      <c r="I163" s="3" t="s">
        <v>777</v>
      </c>
      <c r="J163" s="3" t="s">
        <v>778</v>
      </c>
      <c r="K163" s="3" t="s">
        <v>162</v>
      </c>
      <c r="L163" s="4">
        <v>16369.48</v>
      </c>
      <c r="M163" s="4">
        <v>45.46</v>
      </c>
      <c r="N163" s="4" t="str">
        <f>IF(folha1[[#This Row],[Participação (%)]]=100,"BASE PRÓPRIA","BASE POOL")</f>
        <v>BASE POOL</v>
      </c>
      <c r="O163" s="3"/>
      <c r="P163" s="5"/>
    </row>
    <row r="164" spans="1:16" ht="19.95" customHeight="1" thickBot="1" x14ac:dyDescent="0.35">
      <c r="A164" s="3" t="s">
        <v>779</v>
      </c>
      <c r="B164" s="3" t="s">
        <v>736</v>
      </c>
      <c r="C164" s="6" t="str">
        <f>VLOOKUP(folha1[[#This Row],[Razão Social]],Planilha1!A:C,2,0)</f>
        <v xml:space="preserve">PETRÓLEO SABBÁ </v>
      </c>
      <c r="D164" s="3" t="s">
        <v>15</v>
      </c>
      <c r="E164" s="6" t="str">
        <f>VLOOKUP(folha1[[#This Row],[Razão Social]],Planilha1!A:C,3,0)</f>
        <v>MAJOR</v>
      </c>
      <c r="F164" s="3" t="s">
        <v>780</v>
      </c>
      <c r="G164" s="3" t="s">
        <v>671</v>
      </c>
      <c r="H164" s="3" t="s">
        <v>149</v>
      </c>
      <c r="I164" s="3"/>
      <c r="J164" s="3" t="s">
        <v>781</v>
      </c>
      <c r="K164" s="3" t="s">
        <v>706</v>
      </c>
      <c r="L164" s="4">
        <v>27173.86</v>
      </c>
      <c r="M164" s="4">
        <v>50</v>
      </c>
      <c r="N164" s="4" t="str">
        <f>IF(folha1[[#This Row],[Participação (%)]]=100,"BASE PRÓPRIA","BASE POOL")</f>
        <v>BASE POOL</v>
      </c>
      <c r="O164" s="3" t="s">
        <v>782</v>
      </c>
      <c r="P164" s="5">
        <v>46007</v>
      </c>
    </row>
    <row r="165" spans="1:16" ht="19.95" customHeight="1" thickBot="1" x14ac:dyDescent="0.35">
      <c r="A165" s="3" t="s">
        <v>783</v>
      </c>
      <c r="B165" s="3" t="s">
        <v>784</v>
      </c>
      <c r="C165" s="6" t="str">
        <f>VLOOKUP(folha1[[#This Row],[Razão Social]],Planilha1!A:C,2,0)</f>
        <v>CARBOPETRO  .</v>
      </c>
      <c r="D165" s="3" t="s">
        <v>15</v>
      </c>
      <c r="E165" s="6" t="str">
        <f>VLOOKUP(folha1[[#This Row],[Razão Social]],Planilha1!A:C,3,0)</f>
        <v>REGIONAL</v>
      </c>
      <c r="F165" s="3" t="s">
        <v>469</v>
      </c>
      <c r="G165" s="3" t="s">
        <v>272</v>
      </c>
      <c r="H165" s="3" t="s">
        <v>470</v>
      </c>
      <c r="I165" s="3"/>
      <c r="J165" s="3" t="s">
        <v>471</v>
      </c>
      <c r="K165" s="3" t="s">
        <v>20</v>
      </c>
      <c r="L165" s="4">
        <v>8634.69</v>
      </c>
      <c r="M165" s="4">
        <v>88.73</v>
      </c>
      <c r="N165" s="4" t="str">
        <f>IF(folha1[[#This Row],[Participação (%)]]=100,"BASE PRÓPRIA","BASE POOL")</f>
        <v>BASE POOL</v>
      </c>
      <c r="O165" s="3" t="s">
        <v>472</v>
      </c>
      <c r="P165" s="5">
        <v>41564</v>
      </c>
    </row>
    <row r="166" spans="1:16" ht="19.95" customHeight="1" thickBot="1" x14ac:dyDescent="0.35">
      <c r="A166" s="3" t="s">
        <v>785</v>
      </c>
      <c r="B166" s="3" t="s">
        <v>786</v>
      </c>
      <c r="C166" s="6" t="str">
        <f>VLOOKUP(folha1[[#This Row],[Razão Social]],Planilha1!A:C,2,0)</f>
        <v xml:space="preserve">RM PETRÓLEO </v>
      </c>
      <c r="D166" s="3" t="s">
        <v>15</v>
      </c>
      <c r="E166" s="6" t="str">
        <f>VLOOKUP(folha1[[#This Row],[Razão Social]],Planilha1!A:C,3,0)</f>
        <v>REGIONAL</v>
      </c>
      <c r="F166" s="3" t="s">
        <v>787</v>
      </c>
      <c r="G166" s="3" t="s">
        <v>788</v>
      </c>
      <c r="H166" s="3" t="s">
        <v>789</v>
      </c>
      <c r="I166" s="3" t="s">
        <v>790</v>
      </c>
      <c r="J166" s="3" t="s">
        <v>19</v>
      </c>
      <c r="K166" s="3" t="s">
        <v>20</v>
      </c>
      <c r="L166" s="4">
        <v>6407</v>
      </c>
      <c r="M166" s="4">
        <v>100</v>
      </c>
      <c r="N166" s="4" t="str">
        <f>IF(folha1[[#This Row],[Participação (%)]]=100,"BASE PRÓPRIA","BASE POOL")</f>
        <v>BASE PRÓPRIA</v>
      </c>
      <c r="O166" s="3" t="s">
        <v>791</v>
      </c>
      <c r="P166" s="5">
        <v>37792</v>
      </c>
    </row>
    <row r="167" spans="1:16" ht="19.95" customHeight="1" thickBot="1" x14ac:dyDescent="0.35">
      <c r="A167" s="3" t="s">
        <v>792</v>
      </c>
      <c r="B167" s="3" t="s">
        <v>793</v>
      </c>
      <c r="C167" s="6" t="str">
        <f>VLOOKUP(folha1[[#This Row],[Razão Social]],Planilha1!A:C,2,0)</f>
        <v>RODOPETRO  .</v>
      </c>
      <c r="D167" s="3" t="s">
        <v>15</v>
      </c>
      <c r="E167" s="6" t="str">
        <f>VLOOKUP(folha1[[#This Row],[Razão Social]],Planilha1!A:C,3,0)</f>
        <v>REGIONAL</v>
      </c>
      <c r="F167" s="3" t="s">
        <v>794</v>
      </c>
      <c r="G167" s="3" t="s">
        <v>795</v>
      </c>
      <c r="H167" s="3" t="s">
        <v>796</v>
      </c>
      <c r="I167" s="3" t="s">
        <v>110</v>
      </c>
      <c r="J167" s="3" t="s">
        <v>797</v>
      </c>
      <c r="K167" s="3" t="s">
        <v>798</v>
      </c>
      <c r="L167" s="4">
        <v>900</v>
      </c>
      <c r="M167" s="4">
        <v>100</v>
      </c>
      <c r="N167" s="4" t="str">
        <f>IF(folha1[[#This Row],[Participação (%)]]=100,"BASE PRÓPRIA","BASE POOL")</f>
        <v>BASE PRÓPRIA</v>
      </c>
      <c r="O167" s="3" t="s">
        <v>799</v>
      </c>
      <c r="P167" s="5">
        <v>44454</v>
      </c>
    </row>
    <row r="168" spans="1:16" ht="19.95" customHeight="1" thickBot="1" x14ac:dyDescent="0.35">
      <c r="A168" s="3" t="s">
        <v>800</v>
      </c>
      <c r="B168" s="3" t="s">
        <v>801</v>
      </c>
      <c r="C168" s="6" t="str">
        <f>VLOOKUP(folha1[[#This Row],[Razão Social]],Planilha1!A:C,2,0)</f>
        <v xml:space="preserve">DANPETRO  </v>
      </c>
      <c r="D168" s="3" t="s">
        <v>15</v>
      </c>
      <c r="E168" s="6" t="str">
        <f>VLOOKUP(folha1[[#This Row],[Razão Social]],Planilha1!A:C,3,0)</f>
        <v>REGIONAL</v>
      </c>
      <c r="F168" s="3" t="s">
        <v>802</v>
      </c>
      <c r="G168" s="3" t="s">
        <v>103</v>
      </c>
      <c r="H168" s="3" t="s">
        <v>85</v>
      </c>
      <c r="I168" s="3" t="s">
        <v>803</v>
      </c>
      <c r="J168" s="3" t="s">
        <v>804</v>
      </c>
      <c r="K168" s="3" t="s">
        <v>139</v>
      </c>
      <c r="L168" s="4">
        <v>2750</v>
      </c>
      <c r="M168" s="4">
        <v>100</v>
      </c>
      <c r="N168" s="4" t="str">
        <f>IF(folha1[[#This Row],[Participação (%)]]=100,"BASE PRÓPRIA","BASE POOL")</f>
        <v>BASE PRÓPRIA</v>
      </c>
      <c r="O168" s="3" t="s">
        <v>805</v>
      </c>
      <c r="P168" s="5">
        <v>44104</v>
      </c>
    </row>
    <row r="169" spans="1:16" ht="19.95" customHeight="1" thickBot="1" x14ac:dyDescent="0.35">
      <c r="A169" s="3" t="s">
        <v>806</v>
      </c>
      <c r="B169" s="3" t="s">
        <v>801</v>
      </c>
      <c r="C169" s="6" t="str">
        <f>VLOOKUP(folha1[[#This Row],[Razão Social]],Planilha1!A:C,2,0)</f>
        <v xml:space="preserve">DANPETRO  </v>
      </c>
      <c r="D169" s="3" t="s">
        <v>15</v>
      </c>
      <c r="E169" s="6" t="str">
        <f>VLOOKUP(folha1[[#This Row],[Razão Social]],Planilha1!A:C,3,0)</f>
        <v>REGIONAL</v>
      </c>
      <c r="F169" s="3" t="s">
        <v>807</v>
      </c>
      <c r="G169" s="3" t="s">
        <v>808</v>
      </c>
      <c r="H169" s="3" t="s">
        <v>397</v>
      </c>
      <c r="I169" s="3"/>
      <c r="J169" s="3" t="s">
        <v>399</v>
      </c>
      <c r="K169" s="3" t="s">
        <v>118</v>
      </c>
      <c r="L169" s="4">
        <v>3114</v>
      </c>
      <c r="M169" s="4">
        <v>100</v>
      </c>
      <c r="N169" s="4" t="str">
        <f>IF(folha1[[#This Row],[Participação (%)]]=100,"BASE PRÓPRIA","BASE POOL")</f>
        <v>BASE PRÓPRIA</v>
      </c>
      <c r="O169" s="3" t="s">
        <v>510</v>
      </c>
      <c r="P169" s="5">
        <v>46153</v>
      </c>
    </row>
    <row r="170" spans="1:16" ht="19.95" customHeight="1" thickBot="1" x14ac:dyDescent="0.35">
      <c r="A170" s="3" t="s">
        <v>809</v>
      </c>
      <c r="B170" s="3" t="s">
        <v>810</v>
      </c>
      <c r="C170" s="6" t="str">
        <f>VLOOKUP(folha1[[#This Row],[Razão Social]],Planilha1!A:C,2,0)</f>
        <v>FAN -  .</v>
      </c>
      <c r="D170" s="3" t="s">
        <v>15</v>
      </c>
      <c r="E170" s="6" t="str">
        <f>VLOOKUP(folha1[[#This Row],[Razão Social]],Planilha1!A:C,3,0)</f>
        <v>REGIONAL</v>
      </c>
      <c r="F170" s="3" t="s">
        <v>811</v>
      </c>
      <c r="G170" s="3" t="s">
        <v>24</v>
      </c>
      <c r="H170" s="3" t="s">
        <v>812</v>
      </c>
      <c r="I170" s="3"/>
      <c r="J170" s="3" t="s">
        <v>280</v>
      </c>
      <c r="K170" s="3" t="s">
        <v>281</v>
      </c>
      <c r="L170" s="4">
        <v>7890</v>
      </c>
      <c r="M170" s="4">
        <v>87.21</v>
      </c>
      <c r="N170" s="4" t="str">
        <f>IF(folha1[[#This Row],[Participação (%)]]=100,"BASE PRÓPRIA","BASE POOL")</f>
        <v>BASE POOL</v>
      </c>
      <c r="O170" s="3" t="s">
        <v>651</v>
      </c>
      <c r="P170" s="5">
        <v>44979</v>
      </c>
    </row>
    <row r="171" spans="1:16" ht="19.95" customHeight="1" thickBot="1" x14ac:dyDescent="0.35">
      <c r="A171" s="3" t="s">
        <v>813</v>
      </c>
      <c r="B171" s="3" t="s">
        <v>814</v>
      </c>
      <c r="C171" s="6" t="str">
        <f>VLOOKUP(folha1[[#This Row],[Razão Social]],Planilha1!A:C,2,0)</f>
        <v>PETROGOIÁS  .</v>
      </c>
      <c r="D171" s="3" t="s">
        <v>15</v>
      </c>
      <c r="E171" s="6" t="str">
        <f>VLOOKUP(folha1[[#This Row],[Razão Social]],Planilha1!A:C,3,0)</f>
        <v>REGIONAL</v>
      </c>
      <c r="F171" s="3" t="s">
        <v>129</v>
      </c>
      <c r="G171" s="3" t="s">
        <v>24</v>
      </c>
      <c r="H171" s="3" t="s">
        <v>130</v>
      </c>
      <c r="I171" s="3" t="s">
        <v>131</v>
      </c>
      <c r="J171" s="3" t="s">
        <v>27</v>
      </c>
      <c r="K171" s="3" t="s">
        <v>28</v>
      </c>
      <c r="L171" s="4">
        <v>13681.7</v>
      </c>
      <c r="M171" s="4">
        <v>6</v>
      </c>
      <c r="N171" s="4" t="str">
        <f>IF(folha1[[#This Row],[Participação (%)]]=100,"BASE PRÓPRIA","BASE POOL")</f>
        <v>BASE POOL</v>
      </c>
      <c r="O171" s="3" t="s">
        <v>132</v>
      </c>
      <c r="P171" s="5">
        <v>45817</v>
      </c>
    </row>
    <row r="172" spans="1:16" ht="19.95" customHeight="1" thickBot="1" x14ac:dyDescent="0.35">
      <c r="A172" s="3" t="s">
        <v>815</v>
      </c>
      <c r="B172" s="3" t="s">
        <v>816</v>
      </c>
      <c r="C172" s="6" t="str">
        <f>VLOOKUP(folha1[[#This Row],[Razão Social]],Planilha1!A:C,2,0)</f>
        <v>PETROX .</v>
      </c>
      <c r="D172" s="3" t="s">
        <v>15</v>
      </c>
      <c r="E172" s="6" t="str">
        <f>VLOOKUP(folha1[[#This Row],[Razão Social]],Planilha1!A:C,3,0)</f>
        <v>REGIONAL</v>
      </c>
      <c r="F172" s="3" t="s">
        <v>817</v>
      </c>
      <c r="G172" s="3" t="s">
        <v>671</v>
      </c>
      <c r="H172" s="3" t="s">
        <v>65</v>
      </c>
      <c r="I172" s="3" t="s">
        <v>818</v>
      </c>
      <c r="J172" s="3" t="s">
        <v>819</v>
      </c>
      <c r="K172" s="3" t="s">
        <v>820</v>
      </c>
      <c r="L172" s="4">
        <v>3129.56</v>
      </c>
      <c r="M172" s="4">
        <v>100</v>
      </c>
      <c r="N172" s="4" t="str">
        <f>IF(folha1[[#This Row],[Participação (%)]]=100,"BASE PRÓPRIA","BASE POOL")</f>
        <v>BASE PRÓPRIA</v>
      </c>
      <c r="O172" s="3" t="s">
        <v>821</v>
      </c>
      <c r="P172" s="5">
        <v>40526</v>
      </c>
    </row>
    <row r="173" spans="1:16" ht="19.95" customHeight="1" thickBot="1" x14ac:dyDescent="0.35">
      <c r="A173" s="3" t="s">
        <v>822</v>
      </c>
      <c r="B173" s="3" t="s">
        <v>823</v>
      </c>
      <c r="C173" s="6" t="str">
        <f>VLOOKUP(folha1[[#This Row],[Razão Social]],Planilha1!A:C,2,0)</f>
        <v>ATLÂNTICA PRODUTOS DE PETRÓLEO .</v>
      </c>
      <c r="D173" s="3" t="s">
        <v>15</v>
      </c>
      <c r="E173" s="6" t="str">
        <f>VLOOKUP(folha1[[#This Row],[Razão Social]],Planilha1!A:C,3,0)</f>
        <v>REGIONAL</v>
      </c>
      <c r="F173" s="3" t="s">
        <v>824</v>
      </c>
      <c r="G173" s="3" t="s">
        <v>64</v>
      </c>
      <c r="H173" s="3" t="s">
        <v>825</v>
      </c>
      <c r="I173" s="3" t="s">
        <v>826</v>
      </c>
      <c r="J173" s="3" t="s">
        <v>827</v>
      </c>
      <c r="K173" s="3" t="s">
        <v>828</v>
      </c>
      <c r="L173" s="4">
        <v>1076.1199999999999</v>
      </c>
      <c r="M173" s="4">
        <v>100</v>
      </c>
      <c r="N173" s="4" t="str">
        <f>IF(folha1[[#This Row],[Participação (%)]]=100,"BASE PRÓPRIA","BASE POOL")</f>
        <v>BASE PRÓPRIA</v>
      </c>
      <c r="O173" s="3" t="s">
        <v>328</v>
      </c>
      <c r="P173" s="5">
        <v>42436</v>
      </c>
    </row>
    <row r="174" spans="1:16" ht="19.95" customHeight="1" thickBot="1" x14ac:dyDescent="0.35">
      <c r="A174" s="3" t="s">
        <v>829</v>
      </c>
      <c r="B174" s="3" t="s">
        <v>830</v>
      </c>
      <c r="C174" s="6" t="str">
        <f>VLOOKUP(folha1[[#This Row],[Razão Social]],Planilha1!A:C,2,0)</f>
        <v>SR BRASIL PETRÓLEO .</v>
      </c>
      <c r="D174" s="3" t="s">
        <v>15</v>
      </c>
      <c r="E174" s="6" t="str">
        <f>VLOOKUP(folha1[[#This Row],[Razão Social]],Planilha1!A:C,3,0)</f>
        <v>REGIONAL</v>
      </c>
      <c r="F174" s="3" t="s">
        <v>129</v>
      </c>
      <c r="G174" s="3" t="s">
        <v>24</v>
      </c>
      <c r="H174" s="3" t="s">
        <v>130</v>
      </c>
      <c r="I174" s="3" t="s">
        <v>131</v>
      </c>
      <c r="J174" s="3" t="s">
        <v>27</v>
      </c>
      <c r="K174" s="3" t="s">
        <v>28</v>
      </c>
      <c r="L174" s="4">
        <v>13681.7</v>
      </c>
      <c r="M174" s="4">
        <v>6</v>
      </c>
      <c r="N174" s="4" t="str">
        <f>IF(folha1[[#This Row],[Participação (%)]]=100,"BASE PRÓPRIA","BASE POOL")</f>
        <v>BASE POOL</v>
      </c>
      <c r="O174" s="3" t="s">
        <v>132</v>
      </c>
      <c r="P174" s="5">
        <v>45817</v>
      </c>
    </row>
    <row r="175" spans="1:16" ht="19.95" customHeight="1" thickBot="1" x14ac:dyDescent="0.35">
      <c r="A175" s="3" t="s">
        <v>831</v>
      </c>
      <c r="B175" s="3" t="s">
        <v>830</v>
      </c>
      <c r="C175" s="6" t="str">
        <f>VLOOKUP(folha1[[#This Row],[Razão Social]],Planilha1!A:C,2,0)</f>
        <v>SR BRASIL PETRÓLEO .</v>
      </c>
      <c r="D175" s="3" t="s">
        <v>15</v>
      </c>
      <c r="E175" s="6" t="str">
        <f>VLOOKUP(folha1[[#This Row],[Razão Social]],Planilha1!A:C,3,0)</f>
        <v>REGIONAL</v>
      </c>
      <c r="F175" s="3" t="s">
        <v>122</v>
      </c>
      <c r="G175" s="3" t="s">
        <v>123</v>
      </c>
      <c r="H175" s="3" t="s">
        <v>124</v>
      </c>
      <c r="I175" s="3" t="s">
        <v>125</v>
      </c>
      <c r="J175" s="3" t="s">
        <v>126</v>
      </c>
      <c r="K175" s="3" t="s">
        <v>87</v>
      </c>
      <c r="L175" s="4">
        <v>6123.7</v>
      </c>
      <c r="M175" s="4">
        <v>8.1999999999999993</v>
      </c>
      <c r="N175" s="4" t="str">
        <f>IF(folha1[[#This Row],[Participação (%)]]=100,"BASE PRÓPRIA","BASE POOL")</f>
        <v>BASE POOL</v>
      </c>
      <c r="O175" s="3" t="s">
        <v>127</v>
      </c>
      <c r="P175" s="5">
        <v>46104</v>
      </c>
    </row>
    <row r="176" spans="1:16" ht="19.95" customHeight="1" thickBot="1" x14ac:dyDescent="0.35">
      <c r="A176" s="3" t="s">
        <v>832</v>
      </c>
      <c r="B176" s="3" t="s">
        <v>833</v>
      </c>
      <c r="C176" s="6" t="str">
        <f>VLOOKUP(folha1[[#This Row],[Razão Social]],Planilha1!A:C,2,0)</f>
        <v>TOBRAS  .</v>
      </c>
      <c r="D176" s="3" t="s">
        <v>15</v>
      </c>
      <c r="E176" s="6" t="str">
        <f>VLOOKUP(folha1[[#This Row],[Razão Social]],Planilha1!A:C,3,0)</f>
        <v>REGIONAL</v>
      </c>
      <c r="F176" s="3" t="s">
        <v>834</v>
      </c>
      <c r="G176" s="3" t="s">
        <v>41</v>
      </c>
      <c r="H176" s="3" t="s">
        <v>835</v>
      </c>
      <c r="I176" s="3" t="s">
        <v>836</v>
      </c>
      <c r="J176" s="3" t="s">
        <v>797</v>
      </c>
      <c r="K176" s="3" t="s">
        <v>798</v>
      </c>
      <c r="L176" s="4">
        <v>9727</v>
      </c>
      <c r="M176" s="4">
        <v>100</v>
      </c>
      <c r="N176" s="4" t="str">
        <f>IF(folha1[[#This Row],[Participação (%)]]=100,"BASE PRÓPRIA","BASE POOL")</f>
        <v>BASE PRÓPRIA</v>
      </c>
      <c r="O176" s="3" t="s">
        <v>629</v>
      </c>
      <c r="P176" s="5">
        <v>43314</v>
      </c>
    </row>
    <row r="177" spans="1:16" ht="19.95" customHeight="1" thickBot="1" x14ac:dyDescent="0.35">
      <c r="A177" s="3" t="s">
        <v>837</v>
      </c>
      <c r="B177" s="3" t="s">
        <v>833</v>
      </c>
      <c r="C177" s="6" t="str">
        <f>VLOOKUP(folha1[[#This Row],[Razão Social]],Planilha1!A:C,2,0)</f>
        <v>TOBRAS  .</v>
      </c>
      <c r="D177" s="3" t="s">
        <v>15</v>
      </c>
      <c r="E177" s="6" t="str">
        <f>VLOOKUP(folha1[[#This Row],[Razão Social]],Planilha1!A:C,3,0)</f>
        <v>REGIONAL</v>
      </c>
      <c r="F177" s="3" t="s">
        <v>16</v>
      </c>
      <c r="G177" s="3" t="s">
        <v>17</v>
      </c>
      <c r="H177" s="3" t="s">
        <v>18</v>
      </c>
      <c r="I177" s="3"/>
      <c r="J177" s="3" t="s">
        <v>19</v>
      </c>
      <c r="K177" s="3" t="s">
        <v>20</v>
      </c>
      <c r="L177" s="4">
        <v>11718.58</v>
      </c>
      <c r="M177" s="4">
        <v>6.4</v>
      </c>
      <c r="N177" s="4" t="str">
        <f>IF(folha1[[#This Row],[Participação (%)]]=100,"BASE PRÓPRIA","BASE POOL")</f>
        <v>BASE POOL</v>
      </c>
      <c r="O177" s="3" t="s">
        <v>21</v>
      </c>
      <c r="P177" s="5">
        <v>41949</v>
      </c>
    </row>
    <row r="178" spans="1:16" ht="19.95" customHeight="1" thickBot="1" x14ac:dyDescent="0.35">
      <c r="A178" s="3" t="s">
        <v>838</v>
      </c>
      <c r="B178" s="3" t="s">
        <v>833</v>
      </c>
      <c r="C178" s="6" t="str">
        <f>VLOOKUP(folha1[[#This Row],[Razão Social]],Planilha1!A:C,2,0)</f>
        <v>TOBRAS  .</v>
      </c>
      <c r="D178" s="3" t="s">
        <v>15</v>
      </c>
      <c r="E178" s="6" t="str">
        <f>VLOOKUP(folha1[[#This Row],[Razão Social]],Planilha1!A:C,3,0)</f>
        <v>REGIONAL</v>
      </c>
      <c r="F178" s="3" t="s">
        <v>670</v>
      </c>
      <c r="G178" s="3" t="s">
        <v>671</v>
      </c>
      <c r="H178" s="3" t="s">
        <v>672</v>
      </c>
      <c r="I178" s="3" t="s">
        <v>673</v>
      </c>
      <c r="J178" s="3" t="s">
        <v>80</v>
      </c>
      <c r="K178" s="3" t="s">
        <v>20</v>
      </c>
      <c r="L178" s="4">
        <v>20364.12</v>
      </c>
      <c r="M178" s="4">
        <v>3.68</v>
      </c>
      <c r="N178" s="4" t="str">
        <f>IF(folha1[[#This Row],[Participação (%)]]=100,"BASE PRÓPRIA","BASE POOL")</f>
        <v>BASE POOL</v>
      </c>
      <c r="O178" s="3" t="s">
        <v>674</v>
      </c>
      <c r="P178" s="5">
        <v>45173</v>
      </c>
    </row>
    <row r="179" spans="1:16" ht="19.95" customHeight="1" thickBot="1" x14ac:dyDescent="0.35">
      <c r="A179" s="3" t="s">
        <v>839</v>
      </c>
      <c r="B179" s="3" t="s">
        <v>833</v>
      </c>
      <c r="C179" s="6" t="str">
        <f>VLOOKUP(folha1[[#This Row],[Razão Social]],Planilha1!A:C,2,0)</f>
        <v>TOBRAS  .</v>
      </c>
      <c r="D179" s="3" t="s">
        <v>15</v>
      </c>
      <c r="E179" s="6" t="str">
        <f>VLOOKUP(folha1[[#This Row],[Razão Social]],Planilha1!A:C,3,0)</f>
        <v>REGIONAL</v>
      </c>
      <c r="F179" s="3" t="s">
        <v>840</v>
      </c>
      <c r="G179" s="3" t="s">
        <v>841</v>
      </c>
      <c r="H179" s="3" t="s">
        <v>169</v>
      </c>
      <c r="I179" s="3"/>
      <c r="J179" s="3" t="s">
        <v>19</v>
      </c>
      <c r="K179" s="3" t="s">
        <v>20</v>
      </c>
      <c r="L179" s="4">
        <v>15085</v>
      </c>
      <c r="M179" s="4">
        <v>100</v>
      </c>
      <c r="N179" s="4" t="str">
        <f>IF(folha1[[#This Row],[Participação (%)]]=100,"BASE PRÓPRIA","BASE POOL")</f>
        <v>BASE PRÓPRIA</v>
      </c>
      <c r="O179" s="3" t="s">
        <v>842</v>
      </c>
      <c r="P179" s="5">
        <v>43900</v>
      </c>
    </row>
    <row r="180" spans="1:16" ht="19.95" customHeight="1" thickBot="1" x14ac:dyDescent="0.35">
      <c r="A180" s="3" t="s">
        <v>843</v>
      </c>
      <c r="B180" s="3" t="s">
        <v>844</v>
      </c>
      <c r="C180" s="6" t="str">
        <f>VLOOKUP(folha1[[#This Row],[Razão Social]],Planilha1!A:C,2,0)</f>
        <v>MINUANO PETRÓLEO .</v>
      </c>
      <c r="D180" s="3" t="s">
        <v>15</v>
      </c>
      <c r="E180" s="6" t="str">
        <f>VLOOKUP(folha1[[#This Row],[Razão Social]],Planilha1!A:C,3,0)</f>
        <v>REGIONAL</v>
      </c>
      <c r="F180" s="3" t="s">
        <v>845</v>
      </c>
      <c r="G180" s="3" t="s">
        <v>846</v>
      </c>
      <c r="H180" s="3" t="s">
        <v>835</v>
      </c>
      <c r="I180" s="3"/>
      <c r="J180" s="3" t="s">
        <v>797</v>
      </c>
      <c r="K180" s="3" t="s">
        <v>798</v>
      </c>
      <c r="L180" s="4">
        <v>7413.47</v>
      </c>
      <c r="M180" s="4">
        <v>100</v>
      </c>
      <c r="N180" s="4" t="str">
        <f>IF(folha1[[#This Row],[Participação (%)]]=100,"BASE PRÓPRIA","BASE POOL")</f>
        <v>BASE PRÓPRIA</v>
      </c>
      <c r="O180" s="3" t="s">
        <v>847</v>
      </c>
      <c r="P180" s="5">
        <v>42825</v>
      </c>
    </row>
    <row r="181" spans="1:16" ht="19.95" customHeight="1" thickBot="1" x14ac:dyDescent="0.35">
      <c r="A181" s="3" t="s">
        <v>848</v>
      </c>
      <c r="B181" s="3" t="s">
        <v>849</v>
      </c>
      <c r="C181" s="6" t="str">
        <f>VLOOKUP(folha1[[#This Row],[Razão Social]],Planilha1!A:C,2,0)</f>
        <v>IMPERIAL  .</v>
      </c>
      <c r="D181" s="3" t="s">
        <v>15</v>
      </c>
      <c r="E181" s="6" t="str">
        <f>VLOOKUP(folha1[[#This Row],[Razão Social]],Planilha1!A:C,3,0)</f>
        <v>REGIONAL</v>
      </c>
      <c r="F181" s="3" t="s">
        <v>850</v>
      </c>
      <c r="G181" s="3" t="s">
        <v>103</v>
      </c>
      <c r="H181" s="3" t="s">
        <v>851</v>
      </c>
      <c r="I181" s="3" t="s">
        <v>852</v>
      </c>
      <c r="J181" s="3" t="s">
        <v>320</v>
      </c>
      <c r="K181" s="3" t="s">
        <v>118</v>
      </c>
      <c r="L181" s="4">
        <v>3007.83</v>
      </c>
      <c r="M181" s="4">
        <v>100</v>
      </c>
      <c r="N181" s="4" t="str">
        <f>IF(folha1[[#This Row],[Participação (%)]]=100,"BASE PRÓPRIA","BASE POOL")</f>
        <v>BASE PRÓPRIA</v>
      </c>
      <c r="O181" s="3" t="s">
        <v>853</v>
      </c>
      <c r="P181" s="5">
        <v>43878</v>
      </c>
    </row>
    <row r="182" spans="1:16" ht="19.95" customHeight="1" thickBot="1" x14ac:dyDescent="0.35">
      <c r="A182" s="3" t="s">
        <v>854</v>
      </c>
      <c r="B182" s="3" t="s">
        <v>855</v>
      </c>
      <c r="C182" s="6" t="str">
        <f>VLOOKUP(folha1[[#This Row],[Razão Social]],Planilha1!A:C,2,0)</f>
        <v xml:space="preserve">SANTA LUCIA  </v>
      </c>
      <c r="D182" s="3" t="s">
        <v>15</v>
      </c>
      <c r="E182" s="6" t="str">
        <f>VLOOKUP(folha1[[#This Row],[Razão Social]],Planilha1!A:C,3,0)</f>
        <v>REGIONAL</v>
      </c>
      <c r="F182" s="3" t="s">
        <v>856</v>
      </c>
      <c r="G182" s="3" t="s">
        <v>857</v>
      </c>
      <c r="H182" s="3" t="s">
        <v>858</v>
      </c>
      <c r="I182" s="3" t="s">
        <v>859</v>
      </c>
      <c r="J182" s="3" t="s">
        <v>860</v>
      </c>
      <c r="K182" s="3" t="s">
        <v>59</v>
      </c>
      <c r="L182" s="4">
        <v>2023.22</v>
      </c>
      <c r="M182" s="4">
        <v>100</v>
      </c>
      <c r="N182" s="4" t="str">
        <f>IF(folha1[[#This Row],[Participação (%)]]=100,"BASE PRÓPRIA","BASE POOL")</f>
        <v>BASE PRÓPRIA</v>
      </c>
      <c r="O182" s="3" t="s">
        <v>642</v>
      </c>
      <c r="P182" s="5">
        <v>45845</v>
      </c>
    </row>
    <row r="183" spans="1:16" ht="19.95" customHeight="1" thickBot="1" x14ac:dyDescent="0.35">
      <c r="A183" s="3" t="s">
        <v>861</v>
      </c>
      <c r="B183" s="3" t="s">
        <v>862</v>
      </c>
      <c r="C183" s="6" t="str">
        <f>VLOOKUP(folha1[[#This Row],[Razão Social]],Planilha1!A:C,2,0)</f>
        <v>DIRECIONAL  .</v>
      </c>
      <c r="D183" s="3" t="s">
        <v>15</v>
      </c>
      <c r="E183" s="6" t="str">
        <f>VLOOKUP(folha1[[#This Row],[Razão Social]],Planilha1!A:C,3,0)</f>
        <v>REGIONAL</v>
      </c>
      <c r="F183" s="3" t="s">
        <v>863</v>
      </c>
      <c r="G183" s="3" t="s">
        <v>864</v>
      </c>
      <c r="H183" s="3" t="s">
        <v>865</v>
      </c>
      <c r="I183" s="3" t="s">
        <v>866</v>
      </c>
      <c r="J183" s="3" t="s">
        <v>797</v>
      </c>
      <c r="K183" s="3" t="s">
        <v>798</v>
      </c>
      <c r="L183" s="4">
        <v>18970</v>
      </c>
      <c r="M183" s="4">
        <v>95</v>
      </c>
      <c r="N183" s="4" t="str">
        <f>IF(folha1[[#This Row],[Participação (%)]]=100,"BASE PRÓPRIA","BASE POOL")</f>
        <v>BASE POOL</v>
      </c>
      <c r="O183" s="3" t="s">
        <v>867</v>
      </c>
      <c r="P183" s="5">
        <v>45880</v>
      </c>
    </row>
    <row r="184" spans="1:16" ht="19.95" customHeight="1" thickBot="1" x14ac:dyDescent="0.35">
      <c r="A184" s="3" t="s">
        <v>868</v>
      </c>
      <c r="B184" s="3" t="s">
        <v>862</v>
      </c>
      <c r="C184" s="6" t="str">
        <f>VLOOKUP(folha1[[#This Row],[Razão Social]],Planilha1!A:C,2,0)</f>
        <v>DIRECIONAL  .</v>
      </c>
      <c r="D184" s="3" t="s">
        <v>15</v>
      </c>
      <c r="E184" s="6" t="str">
        <f>VLOOKUP(folha1[[#This Row],[Razão Social]],Planilha1!A:C,3,0)</f>
        <v>REGIONAL</v>
      </c>
      <c r="F184" s="3" t="s">
        <v>869</v>
      </c>
      <c r="G184" s="3" t="s">
        <v>870</v>
      </c>
      <c r="H184" s="3" t="s">
        <v>836</v>
      </c>
      <c r="I184" s="3"/>
      <c r="J184" s="3" t="s">
        <v>797</v>
      </c>
      <c r="K184" s="3" t="s">
        <v>798</v>
      </c>
      <c r="L184" s="4">
        <v>6678.39</v>
      </c>
      <c r="M184" s="4">
        <v>100</v>
      </c>
      <c r="N184" s="4" t="str">
        <f>IF(folha1[[#This Row],[Participação (%)]]=100,"BASE PRÓPRIA","BASE POOL")</f>
        <v>BASE PRÓPRIA</v>
      </c>
      <c r="O184" s="3" t="s">
        <v>871</v>
      </c>
      <c r="P184" s="5">
        <v>44349</v>
      </c>
    </row>
    <row r="185" spans="1:16" ht="19.95" customHeight="1" thickBot="1" x14ac:dyDescent="0.35">
      <c r="A185" s="3" t="s">
        <v>872</v>
      </c>
      <c r="B185" s="3" t="s">
        <v>873</v>
      </c>
      <c r="C185" s="6" t="str">
        <f>VLOOKUP(folha1[[#This Row],[Razão Social]],Planilha1!A:C,2,0)</f>
        <v>FGC  .</v>
      </c>
      <c r="D185" s="3" t="s">
        <v>15</v>
      </c>
      <c r="E185" s="6" t="str">
        <f>VLOOKUP(folha1[[#This Row],[Razão Social]],Planilha1!A:C,3,0)</f>
        <v>REGIONAL</v>
      </c>
      <c r="F185" s="3" t="s">
        <v>523</v>
      </c>
      <c r="G185" s="3" t="s">
        <v>524</v>
      </c>
      <c r="H185" s="3" t="s">
        <v>525</v>
      </c>
      <c r="I185" s="3" t="s">
        <v>526</v>
      </c>
      <c r="J185" s="3" t="s">
        <v>320</v>
      </c>
      <c r="K185" s="3" t="s">
        <v>118</v>
      </c>
      <c r="L185" s="4">
        <v>3838.98</v>
      </c>
      <c r="M185" s="4">
        <v>20</v>
      </c>
      <c r="N185" s="4" t="str">
        <f>IF(folha1[[#This Row],[Participação (%)]]=100,"BASE PRÓPRIA","BASE POOL")</f>
        <v>BASE POOL</v>
      </c>
      <c r="O185" s="3" t="s">
        <v>527</v>
      </c>
      <c r="P185" s="5">
        <v>44950</v>
      </c>
    </row>
    <row r="186" spans="1:16" ht="19.95" customHeight="1" thickBot="1" x14ac:dyDescent="0.35">
      <c r="A186" s="3" t="s">
        <v>874</v>
      </c>
      <c r="B186" s="3" t="s">
        <v>875</v>
      </c>
      <c r="C186" s="6" t="str">
        <f>VLOOKUP(folha1[[#This Row],[Razão Social]],Planilha1!A:C,2,0)</f>
        <v>ORCA  .</v>
      </c>
      <c r="D186" s="3" t="s">
        <v>15</v>
      </c>
      <c r="E186" s="6" t="str">
        <f>VLOOKUP(folha1[[#This Row],[Razão Social]],Planilha1!A:C,3,0)</f>
        <v>REGIONAL</v>
      </c>
      <c r="F186" s="3" t="s">
        <v>876</v>
      </c>
      <c r="G186" s="3" t="s">
        <v>64</v>
      </c>
      <c r="H186" s="3" t="s">
        <v>877</v>
      </c>
      <c r="I186" s="3" t="s">
        <v>878</v>
      </c>
      <c r="J186" s="3" t="s">
        <v>879</v>
      </c>
      <c r="K186" s="3" t="s">
        <v>44</v>
      </c>
      <c r="L186" s="4">
        <v>17745.84</v>
      </c>
      <c r="M186" s="4">
        <v>4.2300000000000004</v>
      </c>
      <c r="N186" s="4" t="str">
        <f>IF(folha1[[#This Row],[Participação (%)]]=100,"BASE PRÓPRIA","BASE POOL")</f>
        <v>BASE POOL</v>
      </c>
      <c r="O186" s="3" t="s">
        <v>880</v>
      </c>
      <c r="P186" s="5">
        <v>45926</v>
      </c>
    </row>
    <row r="187" spans="1:16" ht="19.95" customHeight="1" thickBot="1" x14ac:dyDescent="0.35">
      <c r="A187" s="3" t="s">
        <v>881</v>
      </c>
      <c r="B187" s="3" t="s">
        <v>882</v>
      </c>
      <c r="C187" s="6" t="str">
        <f>VLOOKUP(folha1[[#This Row],[Razão Social]],Planilha1!A:C,2,0)</f>
        <v>GOL COMBUSTÍVEIS S.A</v>
      </c>
      <c r="D187" s="3" t="s">
        <v>15</v>
      </c>
      <c r="E187" s="6" t="str">
        <f>VLOOKUP(folha1[[#This Row],[Razão Social]],Planilha1!A:C,3,0)</f>
        <v>REGIONAL</v>
      </c>
      <c r="F187" s="3" t="s">
        <v>16</v>
      </c>
      <c r="G187" s="3" t="s">
        <v>17</v>
      </c>
      <c r="H187" s="3" t="s">
        <v>18</v>
      </c>
      <c r="I187" s="3"/>
      <c r="J187" s="3" t="s">
        <v>19</v>
      </c>
      <c r="K187" s="3" t="s">
        <v>20</v>
      </c>
      <c r="L187" s="4">
        <v>11718.58</v>
      </c>
      <c r="M187" s="4">
        <v>6.4</v>
      </c>
      <c r="N187" s="4" t="str">
        <f>IF(folha1[[#This Row],[Participação (%)]]=100,"BASE PRÓPRIA","BASE POOL")</f>
        <v>BASE POOL</v>
      </c>
      <c r="O187" s="3" t="s">
        <v>21</v>
      </c>
      <c r="P187" s="5">
        <v>41949</v>
      </c>
    </row>
    <row r="188" spans="1:16" ht="19.95" customHeight="1" thickBot="1" x14ac:dyDescent="0.35">
      <c r="A188" s="3" t="s">
        <v>883</v>
      </c>
      <c r="B188" s="3" t="s">
        <v>882</v>
      </c>
      <c r="C188" s="6" t="str">
        <f>VLOOKUP(folha1[[#This Row],[Razão Social]],Planilha1!A:C,2,0)</f>
        <v>GOL COMBUSTÍVEIS S.A</v>
      </c>
      <c r="D188" s="3" t="s">
        <v>15</v>
      </c>
      <c r="E188" s="6" t="str">
        <f>VLOOKUP(folha1[[#This Row],[Razão Social]],Planilha1!A:C,3,0)</f>
        <v>REGIONAL</v>
      </c>
      <c r="F188" s="3" t="s">
        <v>884</v>
      </c>
      <c r="G188" s="3" t="s">
        <v>64</v>
      </c>
      <c r="H188" s="3" t="s">
        <v>92</v>
      </c>
      <c r="I188" s="3" t="s">
        <v>885</v>
      </c>
      <c r="J188" s="3" t="s">
        <v>886</v>
      </c>
      <c r="K188" s="3" t="s">
        <v>887</v>
      </c>
      <c r="L188" s="4">
        <v>6160</v>
      </c>
      <c r="M188" s="4">
        <v>12.5</v>
      </c>
      <c r="N188" s="4" t="str">
        <f>IF(folha1[[#This Row],[Participação (%)]]=100,"BASE PRÓPRIA","BASE POOL")</f>
        <v>BASE POOL</v>
      </c>
      <c r="O188" s="3" t="s">
        <v>427</v>
      </c>
      <c r="P188" s="5">
        <v>45541</v>
      </c>
    </row>
    <row r="189" spans="1:16" ht="19.95" customHeight="1" thickBot="1" x14ac:dyDescent="0.35">
      <c r="A189" s="3" t="s">
        <v>888</v>
      </c>
      <c r="B189" s="3" t="s">
        <v>889</v>
      </c>
      <c r="C189" s="6" t="str">
        <f>VLOOKUP(folha1[[#This Row],[Razão Social]],Planilha1!A:C,2,0)</f>
        <v>ACOL  .</v>
      </c>
      <c r="D189" s="3" t="s">
        <v>15</v>
      </c>
      <c r="E189" s="6" t="str">
        <f>VLOOKUP(folha1[[#This Row],[Razão Social]],Planilha1!A:C,3,0)</f>
        <v>REGIONAL</v>
      </c>
      <c r="F189" s="3" t="s">
        <v>533</v>
      </c>
      <c r="G189" s="3" t="s">
        <v>534</v>
      </c>
      <c r="H189" s="3" t="s">
        <v>535</v>
      </c>
      <c r="I189" s="3" t="s">
        <v>536</v>
      </c>
      <c r="J189" s="3" t="s">
        <v>126</v>
      </c>
      <c r="K189" s="3" t="s">
        <v>87</v>
      </c>
      <c r="L189" s="4">
        <v>5998.12</v>
      </c>
      <c r="M189" s="4">
        <v>12.2</v>
      </c>
      <c r="N189" s="4" t="str">
        <f>IF(folha1[[#This Row],[Participação (%)]]=100,"BASE PRÓPRIA","BASE POOL")</f>
        <v>BASE POOL</v>
      </c>
      <c r="O189" s="3" t="s">
        <v>537</v>
      </c>
      <c r="P189" s="5">
        <v>45376</v>
      </c>
    </row>
    <row r="190" spans="1:16" ht="19.95" customHeight="1" thickBot="1" x14ac:dyDescent="0.35">
      <c r="A190" s="3" t="s">
        <v>890</v>
      </c>
      <c r="B190" s="3" t="s">
        <v>889</v>
      </c>
      <c r="C190" s="6" t="str">
        <f>VLOOKUP(folha1[[#This Row],[Razão Social]],Planilha1!A:C,2,0)</f>
        <v>ACOL  .</v>
      </c>
      <c r="D190" s="3" t="s">
        <v>15</v>
      </c>
      <c r="E190" s="6" t="str">
        <f>VLOOKUP(folha1[[#This Row],[Razão Social]],Planilha1!A:C,3,0)</f>
        <v>REGIONAL</v>
      </c>
      <c r="F190" s="3" t="s">
        <v>217</v>
      </c>
      <c r="G190" s="3" t="s">
        <v>218</v>
      </c>
      <c r="H190" s="3" t="s">
        <v>219</v>
      </c>
      <c r="I190" s="3"/>
      <c r="J190" s="3" t="s">
        <v>80</v>
      </c>
      <c r="K190" s="3" t="s">
        <v>20</v>
      </c>
      <c r="L190" s="4">
        <v>11732.83</v>
      </c>
      <c r="M190" s="4">
        <v>5.95</v>
      </c>
      <c r="N190" s="4" t="str">
        <f>IF(folha1[[#This Row],[Participação (%)]]=100,"BASE PRÓPRIA","BASE POOL")</f>
        <v>BASE POOL</v>
      </c>
      <c r="O190" s="3" t="s">
        <v>220</v>
      </c>
      <c r="P190" s="5">
        <v>45183</v>
      </c>
    </row>
    <row r="191" spans="1:16" ht="19.95" customHeight="1" thickBot="1" x14ac:dyDescent="0.35">
      <c r="A191" s="3" t="s">
        <v>891</v>
      </c>
      <c r="B191" s="3" t="s">
        <v>892</v>
      </c>
      <c r="C191" s="6" t="str">
        <f>VLOOKUP(folha1[[#This Row],[Razão Social]],Planilha1!A:C,2,0)</f>
        <v>CENTRO OESTE BRASIL PETRÓLEO .</v>
      </c>
      <c r="D191" s="3" t="s">
        <v>15</v>
      </c>
      <c r="E191" s="6" t="str">
        <f>VLOOKUP(folha1[[#This Row],[Razão Social]],Planilha1!A:C,3,0)</f>
        <v>REGIONAL</v>
      </c>
      <c r="F191" s="3" t="s">
        <v>316</v>
      </c>
      <c r="G191" s="3" t="s">
        <v>317</v>
      </c>
      <c r="H191" s="3" t="s">
        <v>318</v>
      </c>
      <c r="I191" s="3" t="s">
        <v>319</v>
      </c>
      <c r="J191" s="3" t="s">
        <v>320</v>
      </c>
      <c r="K191" s="3" t="s">
        <v>118</v>
      </c>
      <c r="L191" s="4">
        <v>3301</v>
      </c>
      <c r="M191" s="4">
        <v>24.6</v>
      </c>
      <c r="N191" s="4" t="str">
        <f>IF(folha1[[#This Row],[Participação (%)]]=100,"BASE PRÓPRIA","BASE POOL")</f>
        <v>BASE POOL</v>
      </c>
      <c r="O191" s="3" t="s">
        <v>321</v>
      </c>
      <c r="P191" s="5">
        <v>40441</v>
      </c>
    </row>
    <row r="192" spans="1:16" ht="19.95" customHeight="1" thickBot="1" x14ac:dyDescent="0.35">
      <c r="A192" s="3" t="s">
        <v>893</v>
      </c>
      <c r="B192" s="3" t="s">
        <v>894</v>
      </c>
      <c r="C192" s="6" t="str">
        <f>VLOOKUP(folha1[[#This Row],[Razão Social]],Planilha1!A:C,2,0)</f>
        <v>GRAN PETRO  .</v>
      </c>
      <c r="D192" s="3" t="s">
        <v>15</v>
      </c>
      <c r="E192" s="6" t="str">
        <f>VLOOKUP(folha1[[#This Row],[Razão Social]],Planilha1!A:C,3,0)</f>
        <v>REGIONAL</v>
      </c>
      <c r="F192" s="3" t="s">
        <v>167</v>
      </c>
      <c r="G192" s="3" t="s">
        <v>168</v>
      </c>
      <c r="H192" s="3" t="s">
        <v>169</v>
      </c>
      <c r="I192" s="3"/>
      <c r="J192" s="3" t="s">
        <v>19</v>
      </c>
      <c r="K192" s="3" t="s">
        <v>20</v>
      </c>
      <c r="L192" s="4">
        <v>19710</v>
      </c>
      <c r="M192" s="4">
        <v>1</v>
      </c>
      <c r="N192" s="4" t="str">
        <f>IF(folha1[[#This Row],[Participação (%)]]=100,"BASE PRÓPRIA","BASE POOL")</f>
        <v>BASE POOL</v>
      </c>
      <c r="O192" s="3" t="s">
        <v>170</v>
      </c>
      <c r="P192" s="5">
        <v>43810</v>
      </c>
    </row>
    <row r="193" spans="1:16" ht="19.95" customHeight="1" thickBot="1" x14ac:dyDescent="0.35">
      <c r="A193" s="3" t="s">
        <v>895</v>
      </c>
      <c r="B193" s="3" t="s">
        <v>894</v>
      </c>
      <c r="C193" s="6" t="str">
        <f>VLOOKUP(folha1[[#This Row],[Razão Social]],Planilha1!A:C,2,0)</f>
        <v>GRAN PETRO  .</v>
      </c>
      <c r="D193" s="3" t="s">
        <v>15</v>
      </c>
      <c r="E193" s="6" t="str">
        <f>VLOOKUP(folha1[[#This Row],[Razão Social]],Planilha1!A:C,3,0)</f>
        <v>REGIONAL</v>
      </c>
      <c r="F193" s="3" t="s">
        <v>316</v>
      </c>
      <c r="G193" s="3" t="s">
        <v>317</v>
      </c>
      <c r="H193" s="3" t="s">
        <v>318</v>
      </c>
      <c r="I193" s="3" t="s">
        <v>319</v>
      </c>
      <c r="J193" s="3" t="s">
        <v>320</v>
      </c>
      <c r="K193" s="3" t="s">
        <v>118</v>
      </c>
      <c r="L193" s="4">
        <v>3301</v>
      </c>
      <c r="M193" s="4">
        <v>24.5</v>
      </c>
      <c r="N193" s="4" t="str">
        <f>IF(folha1[[#This Row],[Participação (%)]]=100,"BASE PRÓPRIA","BASE POOL")</f>
        <v>BASE POOL</v>
      </c>
      <c r="O193" s="3" t="s">
        <v>321</v>
      </c>
      <c r="P193" s="5">
        <v>40441</v>
      </c>
    </row>
    <row r="194" spans="1:16" ht="19.95" customHeight="1" thickBot="1" x14ac:dyDescent="0.35">
      <c r="A194" s="3" t="s">
        <v>896</v>
      </c>
      <c r="B194" s="3" t="s">
        <v>897</v>
      </c>
      <c r="C194" s="6" t="str">
        <f>VLOOKUP(folha1[[#This Row],[Razão Social]],Planilha1!A:C,2,0)</f>
        <v>ALFA  .</v>
      </c>
      <c r="D194" s="3" t="s">
        <v>15</v>
      </c>
      <c r="E194" s="6" t="str">
        <f>VLOOKUP(folha1[[#This Row],[Razão Social]],Planilha1!A:C,3,0)</f>
        <v>REGIONAL</v>
      </c>
      <c r="F194" s="3" t="s">
        <v>898</v>
      </c>
      <c r="G194" s="3" t="s">
        <v>899</v>
      </c>
      <c r="H194" s="3" t="s">
        <v>149</v>
      </c>
      <c r="I194" s="3" t="s">
        <v>900</v>
      </c>
      <c r="J194" s="3" t="s">
        <v>117</v>
      </c>
      <c r="K194" s="3" t="s">
        <v>118</v>
      </c>
      <c r="L194" s="4">
        <v>1050</v>
      </c>
      <c r="M194" s="4">
        <v>100</v>
      </c>
      <c r="N194" s="4" t="str">
        <f>IF(folha1[[#This Row],[Participação (%)]]=100,"BASE PRÓPRIA","BASE POOL")</f>
        <v>BASE PRÓPRIA</v>
      </c>
      <c r="O194" s="3" t="s">
        <v>901</v>
      </c>
      <c r="P194" s="5">
        <v>40729</v>
      </c>
    </row>
    <row r="195" spans="1:16" ht="19.95" customHeight="1" thickBot="1" x14ac:dyDescent="0.35">
      <c r="A195" s="3" t="s">
        <v>902</v>
      </c>
      <c r="B195" s="3" t="s">
        <v>903</v>
      </c>
      <c r="C195" s="6" t="str">
        <f>VLOOKUP(folha1[[#This Row],[Razão Social]],Planilha1!A:C,2,0)</f>
        <v>PETROQUALITY  .</v>
      </c>
      <c r="D195" s="3" t="s">
        <v>15</v>
      </c>
      <c r="E195" s="6" t="str">
        <f>VLOOKUP(folha1[[#This Row],[Razão Social]],Planilha1!A:C,3,0)</f>
        <v>REGIONAL</v>
      </c>
      <c r="F195" s="3" t="s">
        <v>23</v>
      </c>
      <c r="G195" s="3" t="s">
        <v>24</v>
      </c>
      <c r="H195" s="3" t="s">
        <v>25</v>
      </c>
      <c r="I195" s="3" t="s">
        <v>26</v>
      </c>
      <c r="J195" s="3" t="s">
        <v>27</v>
      </c>
      <c r="K195" s="3" t="s">
        <v>28</v>
      </c>
      <c r="L195" s="4">
        <v>12289</v>
      </c>
      <c r="M195" s="4">
        <v>6.1</v>
      </c>
      <c r="N195" s="4" t="str">
        <f>IF(folha1[[#This Row],[Participação (%)]]=100,"BASE PRÓPRIA","BASE POOL")</f>
        <v>BASE POOL</v>
      </c>
      <c r="O195" s="3" t="s">
        <v>29</v>
      </c>
      <c r="P195" s="5">
        <v>45296</v>
      </c>
    </row>
    <row r="196" spans="1:16" ht="19.95" customHeight="1" thickBot="1" x14ac:dyDescent="0.35">
      <c r="A196" s="3" t="s">
        <v>904</v>
      </c>
      <c r="B196" s="3" t="s">
        <v>903</v>
      </c>
      <c r="C196" s="6" t="str">
        <f>VLOOKUP(folha1[[#This Row],[Razão Social]],Planilha1!A:C,2,0)</f>
        <v>PETROQUALITY  .</v>
      </c>
      <c r="D196" s="3" t="s">
        <v>15</v>
      </c>
      <c r="E196" s="6" t="str">
        <f>VLOOKUP(folha1[[#This Row],[Razão Social]],Planilha1!A:C,3,0)</f>
        <v>REGIONAL</v>
      </c>
      <c r="F196" s="3" t="s">
        <v>588</v>
      </c>
      <c r="G196" s="3" t="s">
        <v>548</v>
      </c>
      <c r="H196" s="3" t="s">
        <v>589</v>
      </c>
      <c r="I196" s="3" t="s">
        <v>590</v>
      </c>
      <c r="J196" s="3" t="s">
        <v>591</v>
      </c>
      <c r="K196" s="3" t="s">
        <v>20</v>
      </c>
      <c r="L196" s="4">
        <v>8093</v>
      </c>
      <c r="M196" s="4">
        <v>9.02</v>
      </c>
      <c r="N196" s="4" t="str">
        <f>IF(folha1[[#This Row],[Participação (%)]]=100,"BASE PRÓPRIA","BASE POOL")</f>
        <v>BASE POOL</v>
      </c>
      <c r="O196" s="3" t="s">
        <v>592</v>
      </c>
      <c r="P196" s="5">
        <v>44944</v>
      </c>
    </row>
    <row r="197" spans="1:16" ht="19.95" customHeight="1" thickBot="1" x14ac:dyDescent="0.35">
      <c r="A197" s="3" t="s">
        <v>905</v>
      </c>
      <c r="B197" s="3" t="s">
        <v>906</v>
      </c>
      <c r="C197" s="6" t="str">
        <f>VLOOKUP(folha1[[#This Row],[Razão Social]],Planilha1!A:C,2,0)</f>
        <v xml:space="preserve">RODOIL  </v>
      </c>
      <c r="D197" s="3" t="s">
        <v>15</v>
      </c>
      <c r="E197" s="6" t="str">
        <f>VLOOKUP(folha1[[#This Row],[Razão Social]],Planilha1!A:C,3,0)</f>
        <v>REGIONAL</v>
      </c>
      <c r="F197" s="3" t="s">
        <v>312</v>
      </c>
      <c r="G197" s="3" t="s">
        <v>168</v>
      </c>
      <c r="H197" s="3" t="s">
        <v>313</v>
      </c>
      <c r="I197" s="3"/>
      <c r="J197" s="3" t="s">
        <v>43</v>
      </c>
      <c r="K197" s="3" t="s">
        <v>44</v>
      </c>
      <c r="L197" s="4">
        <v>37955.21</v>
      </c>
      <c r="M197" s="4">
        <v>2.2200000000000002</v>
      </c>
      <c r="N197" s="4" t="str">
        <f>IF(folha1[[#This Row],[Participação (%)]]=100,"BASE PRÓPRIA","BASE POOL")</f>
        <v>BASE POOL</v>
      </c>
      <c r="O197" s="3" t="s">
        <v>314</v>
      </c>
      <c r="P197" s="5">
        <v>45548</v>
      </c>
    </row>
    <row r="198" spans="1:16" ht="19.95" customHeight="1" thickBot="1" x14ac:dyDescent="0.35">
      <c r="A198" s="3" t="s">
        <v>907</v>
      </c>
      <c r="B198" s="3" t="s">
        <v>906</v>
      </c>
      <c r="C198" s="6" t="str">
        <f>VLOOKUP(folha1[[#This Row],[Razão Social]],Planilha1!A:C,2,0)</f>
        <v xml:space="preserve">RODOIL  </v>
      </c>
      <c r="D198" s="3" t="s">
        <v>15</v>
      </c>
      <c r="E198" s="6" t="str">
        <f>VLOOKUP(folha1[[#This Row],[Razão Social]],Planilha1!A:C,3,0)</f>
        <v>REGIONAL</v>
      </c>
      <c r="F198" s="3" t="s">
        <v>908</v>
      </c>
      <c r="G198" s="3"/>
      <c r="H198" s="3" t="s">
        <v>92</v>
      </c>
      <c r="I198" s="3"/>
      <c r="J198" s="3" t="s">
        <v>909</v>
      </c>
      <c r="K198" s="3" t="s">
        <v>44</v>
      </c>
      <c r="L198" s="4">
        <v>1678.56</v>
      </c>
      <c r="M198" s="4">
        <v>100</v>
      </c>
      <c r="N198" s="4" t="str">
        <f>IF(folha1[[#This Row],[Participação (%)]]=100,"BASE PRÓPRIA","BASE POOL")</f>
        <v>BASE PRÓPRIA</v>
      </c>
      <c r="O198" s="3" t="s">
        <v>910</v>
      </c>
      <c r="P198" s="5">
        <v>43473</v>
      </c>
    </row>
    <row r="199" spans="1:16" ht="19.95" customHeight="1" thickBot="1" x14ac:dyDescent="0.35">
      <c r="A199" s="3" t="s">
        <v>911</v>
      </c>
      <c r="B199" s="3" t="s">
        <v>906</v>
      </c>
      <c r="C199" s="6" t="str">
        <f>VLOOKUP(folha1[[#This Row],[Razão Social]],Planilha1!A:C,2,0)</f>
        <v xml:space="preserve">RODOIL  </v>
      </c>
      <c r="D199" s="3" t="s">
        <v>15</v>
      </c>
      <c r="E199" s="6" t="str">
        <f>VLOOKUP(folha1[[#This Row],[Razão Social]],Planilha1!A:C,3,0)</f>
        <v>REGIONAL</v>
      </c>
      <c r="F199" s="3" t="s">
        <v>912</v>
      </c>
      <c r="G199" s="3" t="s">
        <v>913</v>
      </c>
      <c r="H199" s="3" t="s">
        <v>92</v>
      </c>
      <c r="I199" s="3"/>
      <c r="J199" s="3" t="s">
        <v>914</v>
      </c>
      <c r="K199" s="3" t="s">
        <v>37</v>
      </c>
      <c r="L199" s="4">
        <v>2361</v>
      </c>
      <c r="M199" s="4">
        <v>100</v>
      </c>
      <c r="N199" s="4" t="str">
        <f>IF(folha1[[#This Row],[Participação (%)]]=100,"BASE PRÓPRIA","BASE POOL")</f>
        <v>BASE PRÓPRIA</v>
      </c>
      <c r="O199" s="3" t="s">
        <v>915</v>
      </c>
      <c r="P199" s="5">
        <v>44476</v>
      </c>
    </row>
    <row r="200" spans="1:16" ht="19.95" customHeight="1" thickBot="1" x14ac:dyDescent="0.35">
      <c r="A200" s="3" t="s">
        <v>916</v>
      </c>
      <c r="B200" s="3" t="s">
        <v>917</v>
      </c>
      <c r="C200" s="6" t="str">
        <f>VLOOKUP(folha1[[#This Row],[Razão Social]],Planilha1!A:C,2,0)</f>
        <v>CRUZ DE MALTA  .</v>
      </c>
      <c r="D200" s="3" t="s">
        <v>15</v>
      </c>
      <c r="E200" s="6" t="str">
        <f>VLOOKUP(folha1[[#This Row],[Razão Social]],Planilha1!A:C,3,0)</f>
        <v>REGIONAL</v>
      </c>
      <c r="F200" s="3" t="s">
        <v>378</v>
      </c>
      <c r="G200" s="3" t="s">
        <v>379</v>
      </c>
      <c r="H200" s="3" t="s">
        <v>380</v>
      </c>
      <c r="I200" s="3"/>
      <c r="J200" s="3" t="s">
        <v>19</v>
      </c>
      <c r="K200" s="3" t="s">
        <v>20</v>
      </c>
      <c r="L200" s="4">
        <v>10019.959999999999</v>
      </c>
      <c r="M200" s="4">
        <v>7.7</v>
      </c>
      <c r="N200" s="4" t="str">
        <f>IF(folha1[[#This Row],[Participação (%)]]=100,"BASE PRÓPRIA","BASE POOL")</f>
        <v>BASE POOL</v>
      </c>
      <c r="O200" s="3" t="s">
        <v>381</v>
      </c>
      <c r="P200" s="5">
        <v>42662</v>
      </c>
    </row>
    <row r="201" spans="1:16" ht="19.95" customHeight="1" thickBot="1" x14ac:dyDescent="0.35">
      <c r="A201" s="3" t="s">
        <v>918</v>
      </c>
      <c r="B201" s="3" t="s">
        <v>919</v>
      </c>
      <c r="C201" s="6" t="str">
        <f>VLOOKUP(folha1[[#This Row],[Razão Social]],Planilha1!A:C,2,0)</f>
        <v xml:space="preserve">SIM  </v>
      </c>
      <c r="D201" s="3" t="s">
        <v>15</v>
      </c>
      <c r="E201" s="6" t="str">
        <f>VLOOKUP(folha1[[#This Row],[Razão Social]],Planilha1!A:C,3,0)</f>
        <v>CONC MERC</v>
      </c>
      <c r="F201" s="3" t="s">
        <v>920</v>
      </c>
      <c r="G201" s="3" t="s">
        <v>921</v>
      </c>
      <c r="H201" s="3" t="s">
        <v>922</v>
      </c>
      <c r="I201" s="3"/>
      <c r="J201" s="3" t="s">
        <v>644</v>
      </c>
      <c r="K201" s="3" t="s">
        <v>59</v>
      </c>
      <c r="L201" s="4">
        <v>25017.33</v>
      </c>
      <c r="M201" s="4">
        <v>65</v>
      </c>
      <c r="N201" s="4" t="str">
        <f>IF(folha1[[#This Row],[Participação (%)]]=100,"BASE PRÓPRIA","BASE POOL")</f>
        <v>BASE POOL</v>
      </c>
      <c r="O201" s="3" t="s">
        <v>923</v>
      </c>
      <c r="P201" s="5">
        <v>45146</v>
      </c>
    </row>
    <row r="202" spans="1:16" ht="19.95" customHeight="1" thickBot="1" x14ac:dyDescent="0.35">
      <c r="A202" s="3" t="s">
        <v>924</v>
      </c>
      <c r="B202" s="3" t="s">
        <v>919</v>
      </c>
      <c r="C202" s="6" t="str">
        <f>VLOOKUP(folha1[[#This Row],[Razão Social]],Planilha1!A:C,2,0)</f>
        <v xml:space="preserve">SIM  </v>
      </c>
      <c r="D202" s="3" t="s">
        <v>15</v>
      </c>
      <c r="E202" s="6" t="str">
        <f>VLOOKUP(folha1[[#This Row],[Razão Social]],Planilha1!A:C,3,0)</f>
        <v>CONC MERC</v>
      </c>
      <c r="F202" s="3" t="s">
        <v>925</v>
      </c>
      <c r="G202" s="3" t="s">
        <v>926</v>
      </c>
      <c r="H202" s="3" t="s">
        <v>42</v>
      </c>
      <c r="I202" s="3"/>
      <c r="J202" s="3" t="s">
        <v>43</v>
      </c>
      <c r="K202" s="3" t="s">
        <v>44</v>
      </c>
      <c r="L202" s="4">
        <v>33952</v>
      </c>
      <c r="M202" s="4">
        <v>3</v>
      </c>
      <c r="N202" s="4" t="str">
        <f>IF(folha1[[#This Row],[Participação (%)]]=100,"BASE PRÓPRIA","BASE POOL")</f>
        <v>BASE POOL</v>
      </c>
      <c r="O202" s="3" t="s">
        <v>927</v>
      </c>
      <c r="P202" s="5">
        <v>45770</v>
      </c>
    </row>
    <row r="203" spans="1:16" ht="19.95" customHeight="1" thickBot="1" x14ac:dyDescent="0.35">
      <c r="A203" s="3" t="s">
        <v>928</v>
      </c>
      <c r="B203" s="3" t="s">
        <v>919</v>
      </c>
      <c r="C203" s="6" t="str">
        <f>VLOOKUP(folha1[[#This Row],[Razão Social]],Planilha1!A:C,2,0)</f>
        <v xml:space="preserve">SIM  </v>
      </c>
      <c r="D203" s="3" t="s">
        <v>15</v>
      </c>
      <c r="E203" s="6" t="str">
        <f>VLOOKUP(folha1[[#This Row],[Razão Social]],Planilha1!A:C,3,0)</f>
        <v>CONC MERC</v>
      </c>
      <c r="F203" s="3" t="s">
        <v>929</v>
      </c>
      <c r="G203" s="3" t="s">
        <v>930</v>
      </c>
      <c r="H203" s="3" t="s">
        <v>931</v>
      </c>
      <c r="I203" s="3" t="s">
        <v>319</v>
      </c>
      <c r="J203" s="3" t="s">
        <v>860</v>
      </c>
      <c r="K203" s="3" t="s">
        <v>59</v>
      </c>
      <c r="L203" s="4">
        <v>7091</v>
      </c>
      <c r="M203" s="4">
        <v>100</v>
      </c>
      <c r="N203" s="4" t="str">
        <f>IF(folha1[[#This Row],[Participação (%)]]=100,"BASE PRÓPRIA","BASE POOL")</f>
        <v>BASE PRÓPRIA</v>
      </c>
      <c r="O203" s="3" t="s">
        <v>932</v>
      </c>
      <c r="P203" s="5">
        <v>45846</v>
      </c>
    </row>
    <row r="204" spans="1:16" ht="19.95" customHeight="1" thickBot="1" x14ac:dyDescent="0.35">
      <c r="A204" s="3" t="s">
        <v>933</v>
      </c>
      <c r="B204" s="3" t="s">
        <v>934</v>
      </c>
      <c r="C204" s="6" t="str">
        <f>VLOOKUP(folha1[[#This Row],[Razão Social]],Planilha1!A:C,2,0)</f>
        <v xml:space="preserve">ECO  </v>
      </c>
      <c r="D204" s="3" t="s">
        <v>15</v>
      </c>
      <c r="E204" s="6" t="str">
        <f>VLOOKUP(folha1[[#This Row],[Razão Social]],Planilha1!A:C,3,0)</f>
        <v>REGIONAL</v>
      </c>
      <c r="F204" s="3" t="s">
        <v>935</v>
      </c>
      <c r="G204" s="3" t="s">
        <v>64</v>
      </c>
      <c r="H204" s="3" t="s">
        <v>149</v>
      </c>
      <c r="I204" s="3" t="s">
        <v>936</v>
      </c>
      <c r="J204" s="3" t="s">
        <v>117</v>
      </c>
      <c r="K204" s="3" t="s">
        <v>118</v>
      </c>
      <c r="L204" s="4">
        <v>2278</v>
      </c>
      <c r="M204" s="4">
        <v>100</v>
      </c>
      <c r="N204" s="4" t="str">
        <f>IF(folha1[[#This Row],[Participação (%)]]=100,"BASE PRÓPRIA","BASE POOL")</f>
        <v>BASE PRÓPRIA</v>
      </c>
      <c r="O204" s="3" t="s">
        <v>937</v>
      </c>
      <c r="P204" s="5">
        <v>44139</v>
      </c>
    </row>
    <row r="205" spans="1:16" ht="19.95" customHeight="1" thickBot="1" x14ac:dyDescent="0.35">
      <c r="A205" s="3" t="s">
        <v>938</v>
      </c>
      <c r="B205" s="3" t="s">
        <v>939</v>
      </c>
      <c r="C205" s="6" t="str">
        <f>VLOOKUP(folha1[[#This Row],[Razão Social]],Planilha1!A:C,2,0)</f>
        <v>GASOIL</v>
      </c>
      <c r="D205" s="3" t="s">
        <v>15</v>
      </c>
      <c r="E205" s="6" t="str">
        <f>VLOOKUP(folha1[[#This Row],[Razão Social]],Planilha1!A:C,3,0)</f>
        <v>REGIONAL</v>
      </c>
      <c r="F205" s="3" t="s">
        <v>670</v>
      </c>
      <c r="G205" s="3" t="s">
        <v>671</v>
      </c>
      <c r="H205" s="3" t="s">
        <v>672</v>
      </c>
      <c r="I205" s="3" t="s">
        <v>673</v>
      </c>
      <c r="J205" s="3" t="s">
        <v>80</v>
      </c>
      <c r="K205" s="3" t="s">
        <v>20</v>
      </c>
      <c r="L205" s="4">
        <v>20364.12</v>
      </c>
      <c r="M205" s="4">
        <v>3.68</v>
      </c>
      <c r="N205" s="4" t="str">
        <f>IF(folha1[[#This Row],[Participação (%)]]=100,"BASE PRÓPRIA","BASE POOL")</f>
        <v>BASE POOL</v>
      </c>
      <c r="O205" s="3" t="s">
        <v>674</v>
      </c>
      <c r="P205" s="5">
        <v>45173</v>
      </c>
    </row>
    <row r="206" spans="1:16" ht="19.95" customHeight="1" thickBot="1" x14ac:dyDescent="0.35">
      <c r="A206" s="3" t="s">
        <v>940</v>
      </c>
      <c r="B206" s="3" t="s">
        <v>941</v>
      </c>
      <c r="C206" s="6" t="str">
        <f>VLOOKUP(folha1[[#This Row],[Razão Social]],Planilha1!A:C,2,0)</f>
        <v xml:space="preserve">SADA COMBUSTÍVEIS </v>
      </c>
      <c r="D206" s="3" t="s">
        <v>15</v>
      </c>
      <c r="E206" s="6" t="str">
        <f>VLOOKUP(folha1[[#This Row],[Razão Social]],Planilha1!A:C,3,0)</f>
        <v>REGIONAL</v>
      </c>
      <c r="F206" s="3" t="s">
        <v>942</v>
      </c>
      <c r="G206" s="3" t="s">
        <v>943</v>
      </c>
      <c r="H206" s="3" t="s">
        <v>92</v>
      </c>
      <c r="I206" s="3" t="s">
        <v>944</v>
      </c>
      <c r="J206" s="3" t="s">
        <v>945</v>
      </c>
      <c r="K206" s="3" t="s">
        <v>87</v>
      </c>
      <c r="L206" s="4">
        <v>3055.36</v>
      </c>
      <c r="M206" s="4">
        <v>100</v>
      </c>
      <c r="N206" s="4" t="str">
        <f>IF(folha1[[#This Row],[Participação (%)]]=100,"BASE PRÓPRIA","BASE POOL")</f>
        <v>BASE PRÓPRIA</v>
      </c>
      <c r="O206" s="3" t="s">
        <v>946</v>
      </c>
      <c r="P206" s="5">
        <v>45989</v>
      </c>
    </row>
    <row r="207" spans="1:16" ht="19.95" customHeight="1" thickBot="1" x14ac:dyDescent="0.35">
      <c r="A207" s="3" t="s">
        <v>947</v>
      </c>
      <c r="B207" s="3" t="s">
        <v>948</v>
      </c>
      <c r="C207" s="6" t="str">
        <f>VLOOKUP(folha1[[#This Row],[Razão Social]],Planilha1!A:C,2,0)</f>
        <v xml:space="preserve">FLEXPETRO  </v>
      </c>
      <c r="D207" s="3" t="s">
        <v>15</v>
      </c>
      <c r="E207" s="6" t="str">
        <f>VLOOKUP(folha1[[#This Row],[Razão Social]],Planilha1!A:C,3,0)</f>
        <v>REGIONAL</v>
      </c>
      <c r="F207" s="3" t="s">
        <v>97</v>
      </c>
      <c r="G207" s="3" t="s">
        <v>582</v>
      </c>
      <c r="H207" s="3" t="s">
        <v>99</v>
      </c>
      <c r="I207" s="3"/>
      <c r="J207" s="3" t="s">
        <v>43</v>
      </c>
      <c r="K207" s="3" t="s">
        <v>44</v>
      </c>
      <c r="L207" s="4">
        <v>27002.77</v>
      </c>
      <c r="M207" s="4">
        <v>3.7</v>
      </c>
      <c r="N207" s="4" t="str">
        <f>IF(folha1[[#This Row],[Participação (%)]]=100,"BASE PRÓPRIA","BASE POOL")</f>
        <v>BASE POOL</v>
      </c>
      <c r="O207" s="3" t="s">
        <v>582</v>
      </c>
      <c r="P207" s="5">
        <v>45166</v>
      </c>
    </row>
    <row r="208" spans="1:16" ht="19.95" customHeight="1" thickBot="1" x14ac:dyDescent="0.35">
      <c r="A208" s="3" t="s">
        <v>949</v>
      </c>
      <c r="B208" s="3" t="s">
        <v>950</v>
      </c>
      <c r="C208" s="6" t="str">
        <f>VLOOKUP(folha1[[#This Row],[Razão Social]],Planilha1!A:C,2,0)</f>
        <v>PETROWORLD COMBUSTÍVEIS .</v>
      </c>
      <c r="D208" s="3" t="s">
        <v>15</v>
      </c>
      <c r="E208" s="6" t="str">
        <f>VLOOKUP(folha1[[#This Row],[Razão Social]],Planilha1!A:C,3,0)</f>
        <v>REGIONAL</v>
      </c>
      <c r="F208" s="3" t="s">
        <v>588</v>
      </c>
      <c r="G208" s="3" t="s">
        <v>548</v>
      </c>
      <c r="H208" s="3" t="s">
        <v>589</v>
      </c>
      <c r="I208" s="3" t="s">
        <v>590</v>
      </c>
      <c r="J208" s="3" t="s">
        <v>591</v>
      </c>
      <c r="K208" s="3" t="s">
        <v>20</v>
      </c>
      <c r="L208" s="4">
        <v>8093</v>
      </c>
      <c r="M208" s="4">
        <v>9.02</v>
      </c>
      <c r="N208" s="4" t="str">
        <f>IF(folha1[[#This Row],[Participação (%)]]=100,"BASE PRÓPRIA","BASE POOL")</f>
        <v>BASE POOL</v>
      </c>
      <c r="O208" s="3" t="s">
        <v>592</v>
      </c>
      <c r="P208" s="5">
        <v>44944</v>
      </c>
    </row>
    <row r="209" spans="1:16" ht="19.95" customHeight="1" thickBot="1" x14ac:dyDescent="0.35">
      <c r="A209" s="3" t="s">
        <v>951</v>
      </c>
      <c r="B209" s="3" t="s">
        <v>952</v>
      </c>
      <c r="C209" s="6" t="str">
        <f>VLOOKUP(folha1[[#This Row],[Razão Social]],Planilha1!A:C,2,0)</f>
        <v>RZD  .</v>
      </c>
      <c r="D209" s="3" t="s">
        <v>15</v>
      </c>
      <c r="E209" s="6" t="str">
        <f>VLOOKUP(folha1[[#This Row],[Razão Social]],Planilha1!A:C,3,0)</f>
        <v>REGIONAL</v>
      </c>
      <c r="F209" s="3" t="s">
        <v>312</v>
      </c>
      <c r="G209" s="3" t="s">
        <v>168</v>
      </c>
      <c r="H209" s="3" t="s">
        <v>313</v>
      </c>
      <c r="I209" s="3"/>
      <c r="J209" s="3" t="s">
        <v>43</v>
      </c>
      <c r="K209" s="3" t="s">
        <v>44</v>
      </c>
      <c r="L209" s="4">
        <v>37955.21</v>
      </c>
      <c r="M209" s="4">
        <v>2.2200000000000002</v>
      </c>
      <c r="N209" s="4" t="str">
        <f>IF(folha1[[#This Row],[Participação (%)]]=100,"BASE PRÓPRIA","BASE POOL")</f>
        <v>BASE POOL</v>
      </c>
      <c r="O209" s="3" t="s">
        <v>314</v>
      </c>
      <c r="P209" s="5">
        <v>45548</v>
      </c>
    </row>
    <row r="210" spans="1:16" ht="19.95" customHeight="1" thickBot="1" x14ac:dyDescent="0.35">
      <c r="A210" s="3" t="s">
        <v>953</v>
      </c>
      <c r="B210" s="3" t="s">
        <v>952</v>
      </c>
      <c r="C210" s="6" t="str">
        <f>VLOOKUP(folha1[[#This Row],[Razão Social]],Planilha1!A:C,2,0)</f>
        <v>RZD  .</v>
      </c>
      <c r="D210" s="3" t="s">
        <v>15</v>
      </c>
      <c r="E210" s="6" t="str">
        <f>VLOOKUP(folha1[[#This Row],[Razão Social]],Planilha1!A:C,3,0)</f>
        <v>REGIONAL</v>
      </c>
      <c r="F210" s="3" t="s">
        <v>954</v>
      </c>
      <c r="G210" s="3" t="s">
        <v>64</v>
      </c>
      <c r="H210" s="3" t="s">
        <v>955</v>
      </c>
      <c r="I210" s="3" t="s">
        <v>956</v>
      </c>
      <c r="J210" s="3" t="s">
        <v>957</v>
      </c>
      <c r="K210" s="3" t="s">
        <v>958</v>
      </c>
      <c r="L210" s="4">
        <v>1510.28</v>
      </c>
      <c r="M210" s="4">
        <v>100</v>
      </c>
      <c r="N210" s="4" t="str">
        <f>IF(folha1[[#This Row],[Participação (%)]]=100,"BASE PRÓPRIA","BASE POOL")</f>
        <v>BASE PRÓPRIA</v>
      </c>
      <c r="O210" s="3" t="s">
        <v>959</v>
      </c>
      <c r="P210" s="5">
        <v>43984</v>
      </c>
    </row>
    <row r="211" spans="1:16" ht="19.95" customHeight="1" thickBot="1" x14ac:dyDescent="0.35">
      <c r="A211" s="3" t="s">
        <v>960</v>
      </c>
      <c r="B211" s="3" t="s">
        <v>961</v>
      </c>
      <c r="C211" s="6" t="str">
        <f>VLOOKUP(folha1[[#This Row],[Razão Social]],Planilha1!A:C,2,0)</f>
        <v>NIMO ENERGIA * E COMERCIO DE COMBUSTIVEIS LIMITADA</v>
      </c>
      <c r="D211" s="3" t="s">
        <v>15</v>
      </c>
      <c r="E211" s="6" t="str">
        <f>VLOOKUP(folha1[[#This Row],[Razão Social]],Planilha1!A:C,3,0)</f>
        <v>REGIONAL</v>
      </c>
      <c r="F211" s="3" t="s">
        <v>217</v>
      </c>
      <c r="G211" s="3" t="s">
        <v>218</v>
      </c>
      <c r="H211" s="3" t="s">
        <v>219</v>
      </c>
      <c r="I211" s="3"/>
      <c r="J211" s="3" t="s">
        <v>80</v>
      </c>
      <c r="K211" s="3" t="s">
        <v>20</v>
      </c>
      <c r="L211" s="4">
        <v>11732.83</v>
      </c>
      <c r="M211" s="4">
        <v>5.95</v>
      </c>
      <c r="N211" s="4" t="str">
        <f>IF(folha1[[#This Row],[Participação (%)]]=100,"BASE PRÓPRIA","BASE POOL")</f>
        <v>BASE POOL</v>
      </c>
      <c r="O211" s="3" t="s">
        <v>220</v>
      </c>
      <c r="P211" s="5">
        <v>45183</v>
      </c>
    </row>
    <row r="212" spans="1:16" ht="19.95" customHeight="1" thickBot="1" x14ac:dyDescent="0.35">
      <c r="A212" s="3" t="s">
        <v>962</v>
      </c>
      <c r="B212" s="3" t="s">
        <v>963</v>
      </c>
      <c r="C212" s="6" t="str">
        <f>VLOOKUP(folha1[[#This Row],[Razão Social]],Planilha1!A:C,2,0)</f>
        <v>PHOENIX  .</v>
      </c>
      <c r="D212" s="3" t="s">
        <v>15</v>
      </c>
      <c r="E212" s="6" t="str">
        <f>VLOOKUP(folha1[[#This Row],[Razão Social]],Planilha1!A:C,3,0)</f>
        <v>REGIONAL</v>
      </c>
      <c r="F212" s="3" t="s">
        <v>964</v>
      </c>
      <c r="G212" s="3" t="s">
        <v>24</v>
      </c>
      <c r="H212" s="3" t="s">
        <v>965</v>
      </c>
      <c r="I212" s="3" t="s">
        <v>966</v>
      </c>
      <c r="J212" s="3" t="s">
        <v>27</v>
      </c>
      <c r="K212" s="3" t="s">
        <v>28</v>
      </c>
      <c r="L212" s="4">
        <v>22581</v>
      </c>
      <c r="M212" s="4">
        <v>100</v>
      </c>
      <c r="N212" s="4" t="str">
        <f>IF(folha1[[#This Row],[Participação (%)]]=100,"BASE PRÓPRIA","BASE POOL")</f>
        <v>BASE PRÓPRIA</v>
      </c>
      <c r="O212" s="3" t="s">
        <v>157</v>
      </c>
      <c r="P212" s="5">
        <v>46071</v>
      </c>
    </row>
    <row r="213" spans="1:16" ht="19.95" customHeight="1" thickBot="1" x14ac:dyDescent="0.35">
      <c r="A213" s="3" t="s">
        <v>967</v>
      </c>
      <c r="B213" s="3" t="s">
        <v>968</v>
      </c>
      <c r="C213" s="6" t="str">
        <f>VLOOKUP(folha1[[#This Row],[Razão Social]],Planilha1!A:C,2,0)</f>
        <v>ALCOOLBRAS - ÁLCOOL DO BRASIL  .</v>
      </c>
      <c r="D213" s="3" t="s">
        <v>15</v>
      </c>
      <c r="E213" s="6" t="str">
        <f>VLOOKUP(folha1[[#This Row],[Razão Social]],Planilha1!A:C,3,0)</f>
        <v>REGIONAL</v>
      </c>
      <c r="F213" s="3" t="s">
        <v>969</v>
      </c>
      <c r="G213" s="3" t="s">
        <v>970</v>
      </c>
      <c r="H213" s="3" t="s">
        <v>971</v>
      </c>
      <c r="I213" s="3" t="s">
        <v>972</v>
      </c>
      <c r="J213" s="3" t="s">
        <v>27</v>
      </c>
      <c r="K213" s="3" t="s">
        <v>28</v>
      </c>
      <c r="L213" s="4">
        <v>4034.73</v>
      </c>
      <c r="M213" s="4">
        <v>81.41</v>
      </c>
      <c r="N213" s="4" t="str">
        <f>IF(folha1[[#This Row],[Participação (%)]]=100,"BASE PRÓPRIA","BASE POOL")</f>
        <v>BASE POOL</v>
      </c>
      <c r="O213" s="3" t="s">
        <v>973</v>
      </c>
      <c r="P213" s="5">
        <v>43194</v>
      </c>
    </row>
    <row r="214" spans="1:16" ht="19.95" customHeight="1" thickBot="1" x14ac:dyDescent="0.35">
      <c r="A214" s="3" t="s">
        <v>974</v>
      </c>
      <c r="B214" s="3" t="s">
        <v>975</v>
      </c>
      <c r="C214" s="6" t="str">
        <f>VLOOKUP(folha1[[#This Row],[Razão Social]],Planilha1!A:C,2,0)</f>
        <v xml:space="preserve">ON PETRO -  </v>
      </c>
      <c r="D214" s="3" t="s">
        <v>15</v>
      </c>
      <c r="E214" s="6" t="str">
        <f>VLOOKUP(folha1[[#This Row],[Razão Social]],Planilha1!A:C,3,0)</f>
        <v>REGIONAL</v>
      </c>
      <c r="F214" s="3" t="s">
        <v>424</v>
      </c>
      <c r="G214" s="3" t="s">
        <v>425</v>
      </c>
      <c r="H214" s="3" t="s">
        <v>426</v>
      </c>
      <c r="I214" s="3"/>
      <c r="J214" s="3" t="s">
        <v>43</v>
      </c>
      <c r="K214" s="3" t="s">
        <v>44</v>
      </c>
      <c r="L214" s="4">
        <v>11559.61</v>
      </c>
      <c r="M214" s="4">
        <v>6.07</v>
      </c>
      <c r="N214" s="4" t="str">
        <f>IF(folha1[[#This Row],[Participação (%)]]=100,"BASE PRÓPRIA","BASE POOL")</f>
        <v>BASE POOL</v>
      </c>
      <c r="O214" s="3" t="s">
        <v>427</v>
      </c>
      <c r="P214" s="5">
        <v>45901</v>
      </c>
    </row>
    <row r="215" spans="1:16" ht="19.95" customHeight="1" thickBot="1" x14ac:dyDescent="0.35">
      <c r="A215" s="3" t="s">
        <v>976</v>
      </c>
      <c r="B215" s="3" t="s">
        <v>975</v>
      </c>
      <c r="C215" s="6" t="str">
        <f>VLOOKUP(folha1[[#This Row],[Razão Social]],Planilha1!A:C,2,0)</f>
        <v xml:space="preserve">ON PETRO -  </v>
      </c>
      <c r="D215" s="3" t="s">
        <v>15</v>
      </c>
      <c r="E215" s="6" t="str">
        <f>VLOOKUP(folha1[[#This Row],[Razão Social]],Planilha1!A:C,3,0)</f>
        <v>REGIONAL</v>
      </c>
      <c r="F215" s="3" t="s">
        <v>253</v>
      </c>
      <c r="G215" s="3" t="s">
        <v>254</v>
      </c>
      <c r="H215" s="3" t="s">
        <v>255</v>
      </c>
      <c r="I215" s="3" t="s">
        <v>256</v>
      </c>
      <c r="J215" s="3" t="s">
        <v>111</v>
      </c>
      <c r="K215" s="3" t="s">
        <v>68</v>
      </c>
      <c r="L215" s="4">
        <v>8028</v>
      </c>
      <c r="M215" s="4">
        <v>50</v>
      </c>
      <c r="N215" s="4" t="str">
        <f>IF(folha1[[#This Row],[Participação (%)]]=100,"BASE PRÓPRIA","BASE POOL")</f>
        <v>BASE POOL</v>
      </c>
      <c r="O215" s="3" t="s">
        <v>257</v>
      </c>
      <c r="P215" s="5">
        <v>44340</v>
      </c>
    </row>
    <row r="216" spans="1:16" ht="19.95" customHeight="1" thickBot="1" x14ac:dyDescent="0.35">
      <c r="A216" s="3" t="s">
        <v>977</v>
      </c>
      <c r="B216" s="3" t="s">
        <v>978</v>
      </c>
      <c r="C216" s="6" t="str">
        <f>VLOOKUP(folha1[[#This Row],[Razão Social]],Planilha1!A:C,2,0)</f>
        <v>PETRONOL  E ETANOL .</v>
      </c>
      <c r="D216" s="3" t="s">
        <v>15</v>
      </c>
      <c r="E216" s="6" t="str">
        <f>VLOOKUP(folha1[[#This Row],[Razão Social]],Planilha1!A:C,3,0)</f>
        <v>REGIONAL</v>
      </c>
      <c r="F216" s="3" t="s">
        <v>340</v>
      </c>
      <c r="G216" s="3" t="s">
        <v>64</v>
      </c>
      <c r="H216" s="3" t="s">
        <v>341</v>
      </c>
      <c r="I216" s="3" t="s">
        <v>342</v>
      </c>
      <c r="J216" s="3" t="s">
        <v>343</v>
      </c>
      <c r="K216" s="3" t="s">
        <v>139</v>
      </c>
      <c r="L216" s="4">
        <v>5905.03</v>
      </c>
      <c r="M216" s="4">
        <v>12.87</v>
      </c>
      <c r="N216" s="4" t="str">
        <f>IF(folha1[[#This Row],[Participação (%)]]=100,"BASE PRÓPRIA","BASE POOL")</f>
        <v>BASE POOL</v>
      </c>
      <c r="O216" s="3" t="s">
        <v>344</v>
      </c>
      <c r="P216" s="5">
        <v>44929</v>
      </c>
    </row>
    <row r="217" spans="1:16" ht="19.95" customHeight="1" thickBot="1" x14ac:dyDescent="0.35">
      <c r="A217" s="3" t="s">
        <v>979</v>
      </c>
      <c r="B217" s="3" t="s">
        <v>978</v>
      </c>
      <c r="C217" s="6" t="str">
        <f>VLOOKUP(folha1[[#This Row],[Razão Social]],Planilha1!A:C,2,0)</f>
        <v>PETRONOL  E ETANOL .</v>
      </c>
      <c r="D217" s="3" t="s">
        <v>15</v>
      </c>
      <c r="E217" s="6" t="str">
        <f>VLOOKUP(folha1[[#This Row],[Razão Social]],Planilha1!A:C,3,0)</f>
        <v>REGIONAL</v>
      </c>
      <c r="F217" s="3" t="s">
        <v>980</v>
      </c>
      <c r="G217" s="3" t="s">
        <v>64</v>
      </c>
      <c r="H217" s="3" t="s">
        <v>981</v>
      </c>
      <c r="I217" s="3" t="s">
        <v>982</v>
      </c>
      <c r="J217" s="3" t="s">
        <v>804</v>
      </c>
      <c r="K217" s="3" t="s">
        <v>139</v>
      </c>
      <c r="L217" s="4">
        <v>10000</v>
      </c>
      <c r="M217" s="4">
        <v>100</v>
      </c>
      <c r="N217" s="4" t="str">
        <f>IF(folha1[[#This Row],[Participação (%)]]=100,"BASE PRÓPRIA","BASE POOL")</f>
        <v>BASE PRÓPRIA</v>
      </c>
      <c r="O217" s="3" t="s">
        <v>983</v>
      </c>
      <c r="P217" s="5">
        <v>45526</v>
      </c>
    </row>
    <row r="218" spans="1:16" ht="19.95" customHeight="1" thickBot="1" x14ac:dyDescent="0.35">
      <c r="A218" s="3" t="s">
        <v>984</v>
      </c>
      <c r="B218" s="3" t="s">
        <v>985</v>
      </c>
      <c r="C218" s="6" t="str">
        <f>VLOOKUP(folha1[[#This Row],[Razão Social]],Planilha1!A:C,2,0)</f>
        <v>TAG  .</v>
      </c>
      <c r="D218" s="3" t="s">
        <v>15</v>
      </c>
      <c r="E218" s="6" t="str">
        <f>VLOOKUP(folha1[[#This Row],[Razão Social]],Planilha1!A:C,3,0)</f>
        <v>REGIONAL</v>
      </c>
      <c r="F218" s="3" t="s">
        <v>986</v>
      </c>
      <c r="G218" s="3" t="s">
        <v>24</v>
      </c>
      <c r="H218" s="3" t="s">
        <v>987</v>
      </c>
      <c r="I218" s="3" t="s">
        <v>988</v>
      </c>
      <c r="J218" s="3" t="s">
        <v>111</v>
      </c>
      <c r="K218" s="3" t="s">
        <v>68</v>
      </c>
      <c r="L218" s="4">
        <v>1575.43</v>
      </c>
      <c r="M218" s="4">
        <v>100</v>
      </c>
      <c r="N218" s="4" t="str">
        <f>IF(folha1[[#This Row],[Participação (%)]]=100,"BASE PRÓPRIA","BASE POOL")</f>
        <v>BASE PRÓPRIA</v>
      </c>
      <c r="O218" s="3" t="s">
        <v>989</v>
      </c>
      <c r="P218" s="5">
        <v>45796</v>
      </c>
    </row>
    <row r="219" spans="1:16" ht="19.95" customHeight="1" thickBot="1" x14ac:dyDescent="0.35">
      <c r="A219" s="3" t="s">
        <v>990</v>
      </c>
      <c r="B219" s="3" t="s">
        <v>991</v>
      </c>
      <c r="C219" s="6" t="str">
        <f>VLOOKUP(folha1[[#This Row],[Razão Social]],Planilha1!A:C,2,0)</f>
        <v>MAX  .</v>
      </c>
      <c r="D219" s="3" t="s">
        <v>15</v>
      </c>
      <c r="E219" s="6" t="str">
        <f>VLOOKUP(folha1[[#This Row],[Razão Social]],Planilha1!A:C,3,0)</f>
        <v>REGIONAL</v>
      </c>
      <c r="F219" s="3" t="s">
        <v>129</v>
      </c>
      <c r="G219" s="3" t="s">
        <v>24</v>
      </c>
      <c r="H219" s="3" t="s">
        <v>130</v>
      </c>
      <c r="I219" s="3" t="s">
        <v>131</v>
      </c>
      <c r="J219" s="3" t="s">
        <v>27</v>
      </c>
      <c r="K219" s="3" t="s">
        <v>28</v>
      </c>
      <c r="L219" s="4">
        <v>13681.7</v>
      </c>
      <c r="M219" s="4">
        <v>6</v>
      </c>
      <c r="N219" s="4" t="str">
        <f>IF(folha1[[#This Row],[Participação (%)]]=100,"BASE PRÓPRIA","BASE POOL")</f>
        <v>BASE POOL</v>
      </c>
      <c r="O219" s="3" t="s">
        <v>132</v>
      </c>
      <c r="P219" s="5">
        <v>45817</v>
      </c>
    </row>
    <row r="220" spans="1:16" ht="19.95" customHeight="1" thickBot="1" x14ac:dyDescent="0.35">
      <c r="A220" s="3" t="s">
        <v>992</v>
      </c>
      <c r="B220" s="3" t="s">
        <v>993</v>
      </c>
      <c r="C220" s="6" t="str">
        <f>VLOOKUP(folha1[[#This Row],[Razão Social]],Planilha1!A:C,2,0)</f>
        <v xml:space="preserve">COPERCANA  </v>
      </c>
      <c r="D220" s="3" t="s">
        <v>15</v>
      </c>
      <c r="E220" s="6" t="str">
        <f>VLOOKUP(folha1[[#This Row],[Razão Social]],Planilha1!A:C,3,0)</f>
        <v>REGIONAL</v>
      </c>
      <c r="F220" s="3" t="s">
        <v>670</v>
      </c>
      <c r="G220" s="3" t="s">
        <v>671</v>
      </c>
      <c r="H220" s="3" t="s">
        <v>672</v>
      </c>
      <c r="I220" s="3" t="s">
        <v>673</v>
      </c>
      <c r="J220" s="3" t="s">
        <v>80</v>
      </c>
      <c r="K220" s="3" t="s">
        <v>20</v>
      </c>
      <c r="L220" s="4">
        <v>20364.12</v>
      </c>
      <c r="M220" s="4">
        <v>70.56</v>
      </c>
      <c r="N220" s="4" t="str">
        <f>IF(folha1[[#This Row],[Participação (%)]]=100,"BASE PRÓPRIA","BASE POOL")</f>
        <v>BASE POOL</v>
      </c>
      <c r="O220" s="3" t="s">
        <v>674</v>
      </c>
      <c r="P220" s="5">
        <v>45173</v>
      </c>
    </row>
    <row r="221" spans="1:16" ht="19.95" customHeight="1" thickBot="1" x14ac:dyDescent="0.35">
      <c r="A221" s="3" t="s">
        <v>994</v>
      </c>
      <c r="B221" s="3" t="s">
        <v>995</v>
      </c>
      <c r="C221" s="6" t="str">
        <f>VLOOKUP(folha1[[#This Row],[Razão Social]],Planilha1!A:C,2,0)</f>
        <v>ALPES  .</v>
      </c>
      <c r="D221" s="3" t="s">
        <v>15</v>
      </c>
      <c r="E221" s="6" t="str">
        <f>VLOOKUP(folha1[[#This Row],[Razão Social]],Planilha1!A:C,3,0)</f>
        <v>REGIONAL</v>
      </c>
      <c r="F221" s="3" t="s">
        <v>63</v>
      </c>
      <c r="G221" s="3" t="s">
        <v>64</v>
      </c>
      <c r="H221" s="3" t="s">
        <v>65</v>
      </c>
      <c r="I221" s="3" t="s">
        <v>66</v>
      </c>
      <c r="J221" s="3" t="s">
        <v>67</v>
      </c>
      <c r="K221" s="3" t="s">
        <v>68</v>
      </c>
      <c r="L221" s="4">
        <v>20120</v>
      </c>
      <c r="M221" s="4">
        <v>3.72</v>
      </c>
      <c r="N221" s="4" t="str">
        <f>IF(folha1[[#This Row],[Participação (%)]]=100,"BASE PRÓPRIA","BASE POOL")</f>
        <v>BASE POOL</v>
      </c>
      <c r="O221" s="3" t="s">
        <v>69</v>
      </c>
      <c r="P221" s="5">
        <v>45106</v>
      </c>
    </row>
    <row r="222" spans="1:16" ht="19.95" customHeight="1" thickBot="1" x14ac:dyDescent="0.35">
      <c r="A222" s="3" t="s">
        <v>996</v>
      </c>
      <c r="B222" s="3" t="s">
        <v>997</v>
      </c>
      <c r="C222" s="6" t="str">
        <f>VLOOKUP(folha1[[#This Row],[Razão Social]],Planilha1!A:C,2,0)</f>
        <v xml:space="preserve">EVEREST  </v>
      </c>
      <c r="D222" s="3" t="s">
        <v>15</v>
      </c>
      <c r="E222" s="6" t="str">
        <f>VLOOKUP(folha1[[#This Row],[Razão Social]],Planilha1!A:C,3,0)</f>
        <v>REGIONAL</v>
      </c>
      <c r="F222" s="3" t="s">
        <v>998</v>
      </c>
      <c r="G222" s="3" t="s">
        <v>999</v>
      </c>
      <c r="H222" s="3" t="s">
        <v>1000</v>
      </c>
      <c r="I222" s="3"/>
      <c r="J222" s="3" t="s">
        <v>1001</v>
      </c>
      <c r="K222" s="3" t="s">
        <v>199</v>
      </c>
      <c r="L222" s="4">
        <v>1078.3</v>
      </c>
      <c r="M222" s="4">
        <v>100</v>
      </c>
      <c r="N222" s="4" t="str">
        <f>IF(folha1[[#This Row],[Participação (%)]]=100,"BASE PRÓPRIA","BASE POOL")</f>
        <v>BASE PRÓPRIA</v>
      </c>
      <c r="O222" s="3" t="s">
        <v>1002</v>
      </c>
      <c r="P222" s="5">
        <v>45789</v>
      </c>
    </row>
    <row r="223" spans="1:16" ht="19.95" customHeight="1" thickBot="1" x14ac:dyDescent="0.35">
      <c r="A223" s="3" t="s">
        <v>1003</v>
      </c>
      <c r="B223" s="3" t="s">
        <v>1004</v>
      </c>
      <c r="C223" s="6" t="str">
        <f>VLOOKUP(folha1[[#This Row],[Razão Social]],Planilha1!A:C,2,0)</f>
        <v>RUMOS</v>
      </c>
      <c r="D223" s="3" t="s">
        <v>15</v>
      </c>
      <c r="E223" s="6" t="str">
        <f>VLOOKUP(folha1[[#This Row],[Razão Social]],Planilha1!A:C,3,0)</f>
        <v>REGIONAL</v>
      </c>
      <c r="F223" s="3" t="s">
        <v>217</v>
      </c>
      <c r="G223" s="3" t="s">
        <v>218</v>
      </c>
      <c r="H223" s="3" t="s">
        <v>219</v>
      </c>
      <c r="I223" s="3"/>
      <c r="J223" s="3" t="s">
        <v>80</v>
      </c>
      <c r="K223" s="3" t="s">
        <v>20</v>
      </c>
      <c r="L223" s="4">
        <v>11732.83</v>
      </c>
      <c r="M223" s="4">
        <v>16.66</v>
      </c>
      <c r="N223" s="4" t="str">
        <f>IF(folha1[[#This Row],[Participação (%)]]=100,"BASE PRÓPRIA","BASE POOL")</f>
        <v>BASE POOL</v>
      </c>
      <c r="O223" s="3" t="s">
        <v>220</v>
      </c>
      <c r="P223" s="5">
        <v>45183</v>
      </c>
    </row>
    <row r="224" spans="1:16" ht="19.95" customHeight="1" thickBot="1" x14ac:dyDescent="0.35">
      <c r="A224" s="3" t="s">
        <v>1005</v>
      </c>
      <c r="B224" s="3" t="s">
        <v>1004</v>
      </c>
      <c r="C224" s="6" t="str">
        <f>VLOOKUP(folha1[[#This Row],[Razão Social]],Planilha1!A:C,2,0)</f>
        <v>RUMOS</v>
      </c>
      <c r="D224" s="3" t="s">
        <v>15</v>
      </c>
      <c r="E224" s="6" t="str">
        <f>VLOOKUP(folha1[[#This Row],[Razão Social]],Planilha1!A:C,3,0)</f>
        <v>REGIONAL</v>
      </c>
      <c r="F224" s="3" t="s">
        <v>1006</v>
      </c>
      <c r="G224" s="3" t="s">
        <v>1007</v>
      </c>
      <c r="H224" s="3" t="s">
        <v>1008</v>
      </c>
      <c r="I224" s="3" t="s">
        <v>1009</v>
      </c>
      <c r="J224" s="3" t="s">
        <v>728</v>
      </c>
      <c r="K224" s="3" t="s">
        <v>20</v>
      </c>
      <c r="L224" s="4">
        <v>10794.38</v>
      </c>
      <c r="M224" s="4">
        <v>100</v>
      </c>
      <c r="N224" s="4" t="str">
        <f>IF(folha1[[#This Row],[Participação (%)]]=100,"BASE PRÓPRIA","BASE POOL")</f>
        <v>BASE PRÓPRIA</v>
      </c>
      <c r="O224" s="3" t="s">
        <v>1010</v>
      </c>
      <c r="P224" s="5">
        <v>46092</v>
      </c>
    </row>
    <row r="225" spans="1:16" ht="19.95" customHeight="1" thickBot="1" x14ac:dyDescent="0.35">
      <c r="A225" s="3" t="s">
        <v>1011</v>
      </c>
      <c r="B225" s="3" t="s">
        <v>1004</v>
      </c>
      <c r="C225" s="6" t="str">
        <f>VLOOKUP(folha1[[#This Row],[Razão Social]],Planilha1!A:C,2,0)</f>
        <v>RUMOS</v>
      </c>
      <c r="D225" s="3" t="s">
        <v>15</v>
      </c>
      <c r="E225" s="6" t="str">
        <f>VLOOKUP(folha1[[#This Row],[Razão Social]],Planilha1!A:C,3,0)</f>
        <v>REGIONAL</v>
      </c>
      <c r="F225" s="3" t="s">
        <v>488</v>
      </c>
      <c r="G225" s="3" t="s">
        <v>1012</v>
      </c>
      <c r="H225" s="3" t="s">
        <v>490</v>
      </c>
      <c r="I225" s="3"/>
      <c r="J225" s="3" t="s">
        <v>126</v>
      </c>
      <c r="K225" s="3" t="s">
        <v>87</v>
      </c>
      <c r="L225" s="4">
        <v>11036</v>
      </c>
      <c r="M225" s="4">
        <v>100</v>
      </c>
      <c r="N225" s="4" t="str">
        <f>IF(folha1[[#This Row],[Participação (%)]]=100,"BASE PRÓPRIA","BASE POOL")</f>
        <v>BASE PRÓPRIA</v>
      </c>
      <c r="O225" s="3" t="s">
        <v>1013</v>
      </c>
      <c r="P225" s="5">
        <v>46098</v>
      </c>
    </row>
    <row r="226" spans="1:16" ht="19.95" customHeight="1" thickBot="1" x14ac:dyDescent="0.35">
      <c r="A226" s="3" t="s">
        <v>1014</v>
      </c>
      <c r="B226" s="3" t="s">
        <v>1015</v>
      </c>
      <c r="C226" s="6" t="str">
        <f>VLOOKUP(folha1[[#This Row],[Razão Social]],Planilha1!A:C,2,0)</f>
        <v xml:space="preserve">FLAGLER COMBUSTIVEIS </v>
      </c>
      <c r="D226" s="3" t="s">
        <v>15</v>
      </c>
      <c r="E226" s="6" t="str">
        <f>VLOOKUP(folha1[[#This Row],[Razão Social]],Planilha1!A:C,3,0)</f>
        <v>REGIONAL</v>
      </c>
      <c r="F226" s="3" t="s">
        <v>23</v>
      </c>
      <c r="G226" s="3" t="s">
        <v>24</v>
      </c>
      <c r="H226" s="3" t="s">
        <v>25</v>
      </c>
      <c r="I226" s="3" t="s">
        <v>26</v>
      </c>
      <c r="J226" s="3" t="s">
        <v>27</v>
      </c>
      <c r="K226" s="3" t="s">
        <v>28</v>
      </c>
      <c r="L226" s="4">
        <v>12289</v>
      </c>
      <c r="M226" s="4">
        <v>6.1</v>
      </c>
      <c r="N226" s="4" t="str">
        <f>IF(folha1[[#This Row],[Participação (%)]]=100,"BASE PRÓPRIA","BASE POOL")</f>
        <v>BASE POOL</v>
      </c>
      <c r="O226" s="3" t="s">
        <v>29</v>
      </c>
      <c r="P226" s="5">
        <v>45296</v>
      </c>
    </row>
    <row r="227" spans="1:16" ht="19.95" customHeight="1" thickBot="1" x14ac:dyDescent="0.35">
      <c r="A227" s="3" t="s">
        <v>1016</v>
      </c>
      <c r="B227" s="3" t="s">
        <v>1015</v>
      </c>
      <c r="C227" s="6" t="str">
        <f>VLOOKUP(folha1[[#This Row],[Razão Social]],Planilha1!A:C,2,0)</f>
        <v xml:space="preserve">FLAGLER COMBUSTIVEIS </v>
      </c>
      <c r="D227" s="3" t="s">
        <v>15</v>
      </c>
      <c r="E227" s="6" t="str">
        <f>VLOOKUP(folha1[[#This Row],[Razão Social]],Planilha1!A:C,3,0)</f>
        <v>REGIONAL</v>
      </c>
      <c r="F227" s="3" t="s">
        <v>63</v>
      </c>
      <c r="G227" s="3" t="s">
        <v>64</v>
      </c>
      <c r="H227" s="3" t="s">
        <v>65</v>
      </c>
      <c r="I227" s="3" t="s">
        <v>66</v>
      </c>
      <c r="J227" s="3" t="s">
        <v>67</v>
      </c>
      <c r="K227" s="3" t="s">
        <v>68</v>
      </c>
      <c r="L227" s="4">
        <v>20120</v>
      </c>
      <c r="M227" s="4">
        <v>3.72</v>
      </c>
      <c r="N227" s="4" t="str">
        <f>IF(folha1[[#This Row],[Participação (%)]]=100,"BASE PRÓPRIA","BASE POOL")</f>
        <v>BASE POOL</v>
      </c>
      <c r="O227" s="3" t="s">
        <v>69</v>
      </c>
      <c r="P227" s="5">
        <v>45106</v>
      </c>
    </row>
    <row r="228" spans="1:16" ht="19.95" customHeight="1" thickBot="1" x14ac:dyDescent="0.35">
      <c r="A228" s="3" t="s">
        <v>1017</v>
      </c>
      <c r="B228" s="3" t="s">
        <v>1018</v>
      </c>
      <c r="C228" s="6" t="str">
        <f>VLOOKUP(folha1[[#This Row],[Razão Social]],Planilha1!A:C,2,0)</f>
        <v xml:space="preserve">TERRA BRASIL  </v>
      </c>
      <c r="D228" s="3" t="s">
        <v>15</v>
      </c>
      <c r="E228" s="6" t="str">
        <f>VLOOKUP(folha1[[#This Row],[Razão Social]],Planilha1!A:C,3,0)</f>
        <v>REGIONAL</v>
      </c>
      <c r="F228" s="3" t="s">
        <v>523</v>
      </c>
      <c r="G228" s="3" t="s">
        <v>524</v>
      </c>
      <c r="H228" s="3" t="s">
        <v>525</v>
      </c>
      <c r="I228" s="3" t="s">
        <v>526</v>
      </c>
      <c r="J228" s="3" t="s">
        <v>320</v>
      </c>
      <c r="K228" s="3" t="s">
        <v>118</v>
      </c>
      <c r="L228" s="4">
        <v>3838.98</v>
      </c>
      <c r="M228" s="4">
        <v>40</v>
      </c>
      <c r="N228" s="4" t="str">
        <f>IF(folha1[[#This Row],[Participação (%)]]=100,"BASE PRÓPRIA","BASE POOL")</f>
        <v>BASE POOL</v>
      </c>
      <c r="O228" s="3" t="s">
        <v>527</v>
      </c>
      <c r="P228" s="5">
        <v>44950</v>
      </c>
    </row>
    <row r="229" spans="1:16" ht="19.95" customHeight="1" thickBot="1" x14ac:dyDescent="0.35">
      <c r="A229" s="3" t="s">
        <v>1019</v>
      </c>
      <c r="B229" s="3" t="s">
        <v>1020</v>
      </c>
      <c r="C229" s="6" t="str">
        <f>VLOOKUP(folha1[[#This Row],[Razão Social]],Planilha1!A:C,2,0)</f>
        <v xml:space="preserve">AGILE LOGISTICA E  </v>
      </c>
      <c r="D229" s="3" t="s">
        <v>15</v>
      </c>
      <c r="E229" s="6" t="str">
        <f>VLOOKUP(folha1[[#This Row],[Razão Social]],Planilha1!A:C,3,0)</f>
        <v>REGIONAL</v>
      </c>
      <c r="F229" s="3" t="s">
        <v>167</v>
      </c>
      <c r="G229" s="3" t="s">
        <v>168</v>
      </c>
      <c r="H229" s="3" t="s">
        <v>169</v>
      </c>
      <c r="I229" s="3"/>
      <c r="J229" s="3" t="s">
        <v>19</v>
      </c>
      <c r="K229" s="3" t="s">
        <v>20</v>
      </c>
      <c r="L229" s="4">
        <v>19710</v>
      </c>
      <c r="M229" s="4">
        <v>4.8499999999999996</v>
      </c>
      <c r="N229" s="4" t="str">
        <f>IF(folha1[[#This Row],[Participação (%)]]=100,"BASE PRÓPRIA","BASE POOL")</f>
        <v>BASE POOL</v>
      </c>
      <c r="O229" s="3" t="s">
        <v>170</v>
      </c>
      <c r="P229" s="5">
        <v>43810</v>
      </c>
    </row>
    <row r="230" spans="1:16" ht="19.95" customHeight="1" thickBot="1" x14ac:dyDescent="0.35">
      <c r="A230" s="3" t="s">
        <v>1021</v>
      </c>
      <c r="B230" s="3" t="s">
        <v>1020</v>
      </c>
      <c r="C230" s="6" t="str">
        <f>VLOOKUP(folha1[[#This Row],[Razão Social]],Planilha1!A:C,2,0)</f>
        <v xml:space="preserve">AGILE LOGISTICA E  </v>
      </c>
      <c r="D230" s="3" t="s">
        <v>15</v>
      </c>
      <c r="E230" s="6" t="str">
        <f>VLOOKUP(folha1[[#This Row],[Razão Social]],Planilha1!A:C,3,0)</f>
        <v>REGIONAL</v>
      </c>
      <c r="F230" s="3" t="s">
        <v>840</v>
      </c>
      <c r="G230" s="3" t="s">
        <v>1022</v>
      </c>
      <c r="H230" s="3" t="s">
        <v>169</v>
      </c>
      <c r="I230" s="3" t="s">
        <v>1023</v>
      </c>
      <c r="J230" s="3" t="s">
        <v>19</v>
      </c>
      <c r="K230" s="3" t="s">
        <v>20</v>
      </c>
      <c r="L230" s="4">
        <v>12990</v>
      </c>
      <c r="M230" s="4">
        <v>100</v>
      </c>
      <c r="N230" s="4" t="str">
        <f>IF(folha1[[#This Row],[Participação (%)]]=100,"BASE PRÓPRIA","BASE POOL")</f>
        <v>BASE PRÓPRIA</v>
      </c>
      <c r="O230" s="3" t="s">
        <v>98</v>
      </c>
      <c r="P230" s="5">
        <v>45895</v>
      </c>
    </row>
    <row r="231" spans="1:16" ht="19.95" customHeight="1" thickBot="1" x14ac:dyDescent="0.35">
      <c r="A231" s="3" t="s">
        <v>1024</v>
      </c>
      <c r="B231" s="3" t="s">
        <v>1025</v>
      </c>
      <c r="C231" s="6" t="str">
        <f>VLOOKUP(folha1[[#This Row],[Razão Social]],Planilha1!A:C,2,0)</f>
        <v>STANG  .</v>
      </c>
      <c r="D231" s="3" t="s">
        <v>15</v>
      </c>
      <c r="E231" s="6" t="str">
        <f>VLOOKUP(folha1[[#This Row],[Razão Social]],Planilha1!A:C,3,0)</f>
        <v>REGIONAL</v>
      </c>
      <c r="F231" s="3" t="s">
        <v>1026</v>
      </c>
      <c r="G231" s="3" t="s">
        <v>1027</v>
      </c>
      <c r="H231" s="3" t="s">
        <v>1028</v>
      </c>
      <c r="I231" s="3" t="s">
        <v>1029</v>
      </c>
      <c r="J231" s="3" t="s">
        <v>1030</v>
      </c>
      <c r="K231" s="3" t="s">
        <v>44</v>
      </c>
      <c r="L231" s="4">
        <v>2653.41</v>
      </c>
      <c r="M231" s="4">
        <v>100</v>
      </c>
      <c r="N231" s="4" t="str">
        <f>IF(folha1[[#This Row],[Participação (%)]]=100,"BASE PRÓPRIA","BASE POOL")</f>
        <v>BASE PRÓPRIA</v>
      </c>
      <c r="O231" s="3" t="s">
        <v>1031</v>
      </c>
      <c r="P231" s="5">
        <v>43216</v>
      </c>
    </row>
    <row r="232" spans="1:16" ht="19.95" customHeight="1" thickBot="1" x14ac:dyDescent="0.35">
      <c r="A232" s="3" t="s">
        <v>1032</v>
      </c>
      <c r="B232" s="3" t="s">
        <v>1025</v>
      </c>
      <c r="C232" s="6" t="str">
        <f>VLOOKUP(folha1[[#This Row],[Razão Social]],Planilha1!A:C,2,0)</f>
        <v>STANG  .</v>
      </c>
      <c r="D232" s="3" t="s">
        <v>15</v>
      </c>
      <c r="E232" s="6" t="str">
        <f>VLOOKUP(folha1[[#This Row],[Razão Social]],Planilha1!A:C,3,0)</f>
        <v>REGIONAL</v>
      </c>
      <c r="F232" s="3" t="s">
        <v>1033</v>
      </c>
      <c r="G232" s="3" t="s">
        <v>1034</v>
      </c>
      <c r="H232" s="3" t="s">
        <v>1035</v>
      </c>
      <c r="I232" s="3" t="s">
        <v>110</v>
      </c>
      <c r="J232" s="3" t="s">
        <v>36</v>
      </c>
      <c r="K232" s="3" t="s">
        <v>37</v>
      </c>
      <c r="L232" s="4">
        <v>22065</v>
      </c>
      <c r="M232" s="4">
        <v>100</v>
      </c>
      <c r="N232" s="4" t="str">
        <f>IF(folha1[[#This Row],[Participação (%)]]=100,"BASE PRÓPRIA","BASE POOL")</f>
        <v>BASE PRÓPRIA</v>
      </c>
      <c r="O232" s="3" t="s">
        <v>1036</v>
      </c>
      <c r="P232" s="5">
        <v>46022</v>
      </c>
    </row>
    <row r="233" spans="1:16" ht="19.95" customHeight="1" thickBot="1" x14ac:dyDescent="0.35">
      <c r="A233" s="3" t="s">
        <v>1037</v>
      </c>
      <c r="B233" s="3" t="s">
        <v>1025</v>
      </c>
      <c r="C233" s="6" t="str">
        <f>VLOOKUP(folha1[[#This Row],[Razão Social]],Planilha1!A:C,2,0)</f>
        <v>STANG  .</v>
      </c>
      <c r="D233" s="3" t="s">
        <v>15</v>
      </c>
      <c r="E233" s="6" t="str">
        <f>VLOOKUP(folha1[[#This Row],[Razão Social]],Planilha1!A:C,3,0)</f>
        <v>REGIONAL</v>
      </c>
      <c r="F233" s="3" t="s">
        <v>1038</v>
      </c>
      <c r="G233" s="3" t="s">
        <v>1039</v>
      </c>
      <c r="H233" s="3" t="s">
        <v>1040</v>
      </c>
      <c r="I233" s="3"/>
      <c r="J233" s="3" t="s">
        <v>1041</v>
      </c>
      <c r="K233" s="3" t="s">
        <v>44</v>
      </c>
      <c r="L233" s="4">
        <v>1015</v>
      </c>
      <c r="M233" s="4">
        <v>100</v>
      </c>
      <c r="N233" s="4" t="str">
        <f>IF(folha1[[#This Row],[Participação (%)]]=100,"BASE PRÓPRIA","BASE POOL")</f>
        <v>BASE PRÓPRIA</v>
      </c>
      <c r="O233" s="3" t="s">
        <v>633</v>
      </c>
      <c r="P233" s="5">
        <v>43661</v>
      </c>
    </row>
    <row r="234" spans="1:16" ht="19.95" customHeight="1" thickBot="1" x14ac:dyDescent="0.35">
      <c r="A234" s="3" t="s">
        <v>1042</v>
      </c>
      <c r="B234" s="3" t="s">
        <v>1025</v>
      </c>
      <c r="C234" s="6" t="str">
        <f>VLOOKUP(folha1[[#This Row],[Razão Social]],Planilha1!A:C,2,0)</f>
        <v>STANG  .</v>
      </c>
      <c r="D234" s="3" t="s">
        <v>15</v>
      </c>
      <c r="E234" s="6" t="str">
        <f>VLOOKUP(folha1[[#This Row],[Razão Social]],Planilha1!A:C,3,0)</f>
        <v>REGIONAL</v>
      </c>
      <c r="F234" s="3" t="s">
        <v>1043</v>
      </c>
      <c r="G234" s="3" t="s">
        <v>518</v>
      </c>
      <c r="H234" s="3" t="s">
        <v>426</v>
      </c>
      <c r="I234" s="3"/>
      <c r="J234" s="3" t="s">
        <v>43</v>
      </c>
      <c r="K234" s="3" t="s">
        <v>44</v>
      </c>
      <c r="L234" s="4">
        <v>13615</v>
      </c>
      <c r="M234" s="4">
        <v>100</v>
      </c>
      <c r="N234" s="4" t="str">
        <f>IF(folha1[[#This Row],[Participação (%)]]=100,"BASE PRÓPRIA","BASE POOL")</f>
        <v>BASE PRÓPRIA</v>
      </c>
      <c r="O234" s="3" t="s">
        <v>1044</v>
      </c>
      <c r="P234" s="5">
        <v>45756</v>
      </c>
    </row>
    <row r="235" spans="1:16" ht="19.95" customHeight="1" thickBot="1" x14ac:dyDescent="0.35">
      <c r="A235" s="3" t="s">
        <v>1045</v>
      </c>
      <c r="B235" s="3" t="s">
        <v>1046</v>
      </c>
      <c r="C235" s="6" t="str">
        <f>VLOOKUP(folha1[[#This Row],[Razão Social]],Planilha1!A:C,2,0)</f>
        <v>PETROSALVADOR  .</v>
      </c>
      <c r="D235" s="3" t="s">
        <v>15</v>
      </c>
      <c r="E235" s="6" t="str">
        <f>VLOOKUP(folha1[[#This Row],[Razão Social]],Planilha1!A:C,3,0)</f>
        <v>REGIONAL</v>
      </c>
      <c r="F235" s="3" t="s">
        <v>284</v>
      </c>
      <c r="G235" s="3" t="s">
        <v>64</v>
      </c>
      <c r="H235" s="3" t="s">
        <v>85</v>
      </c>
      <c r="I235" s="3" t="s">
        <v>285</v>
      </c>
      <c r="J235" s="3" t="s">
        <v>156</v>
      </c>
      <c r="K235" s="3" t="s">
        <v>139</v>
      </c>
      <c r="L235" s="4">
        <v>6867</v>
      </c>
      <c r="M235" s="4">
        <v>22.53</v>
      </c>
      <c r="N235" s="4" t="str">
        <f>IF(folha1[[#This Row],[Participação (%)]]=100,"BASE PRÓPRIA","BASE POOL")</f>
        <v>BASE POOL</v>
      </c>
      <c r="O235" s="3" t="s">
        <v>286</v>
      </c>
      <c r="P235" s="5">
        <v>44104</v>
      </c>
    </row>
    <row r="236" spans="1:16" ht="19.95" customHeight="1" thickBot="1" x14ac:dyDescent="0.35">
      <c r="A236" s="3" t="s">
        <v>1047</v>
      </c>
      <c r="B236" s="3" t="s">
        <v>1048</v>
      </c>
      <c r="C236" s="6" t="str">
        <f>VLOOKUP(folha1[[#This Row],[Razão Social]],Planilha1!A:C,2,0)</f>
        <v>REALCOOL</v>
      </c>
      <c r="D236" s="3" t="s">
        <v>15</v>
      </c>
      <c r="E236" s="6" t="str">
        <f>VLOOKUP(folha1[[#This Row],[Razão Social]],Planilha1!A:C,3,0)</f>
        <v>REGIONAL</v>
      </c>
      <c r="F236" s="3" t="s">
        <v>378</v>
      </c>
      <c r="G236" s="3" t="s">
        <v>379</v>
      </c>
      <c r="H236" s="3" t="s">
        <v>380</v>
      </c>
      <c r="I236" s="3"/>
      <c r="J236" s="3" t="s">
        <v>19</v>
      </c>
      <c r="K236" s="3" t="s">
        <v>20</v>
      </c>
      <c r="L236" s="4">
        <v>10019.959999999999</v>
      </c>
      <c r="M236" s="4">
        <v>7.7</v>
      </c>
      <c r="N236" s="4" t="str">
        <f>IF(folha1[[#This Row],[Participação (%)]]=100,"BASE PRÓPRIA","BASE POOL")</f>
        <v>BASE POOL</v>
      </c>
      <c r="O236" s="3" t="s">
        <v>381</v>
      </c>
      <c r="P236" s="5">
        <v>42662</v>
      </c>
    </row>
    <row r="237" spans="1:16" ht="19.95" customHeight="1" thickBot="1" x14ac:dyDescent="0.35">
      <c r="A237" s="3" t="s">
        <v>1049</v>
      </c>
      <c r="B237" s="3" t="s">
        <v>1050</v>
      </c>
      <c r="C237" s="6" t="str">
        <f>VLOOKUP(folha1[[#This Row],[Razão Social]],Planilha1!A:C,2,0)</f>
        <v xml:space="preserve">YPETRO  </v>
      </c>
      <c r="D237" s="3" t="s">
        <v>15</v>
      </c>
      <c r="E237" s="6" t="str">
        <f>VLOOKUP(folha1[[#This Row],[Razão Social]],Planilha1!A:C,3,0)</f>
        <v>REGIONAL</v>
      </c>
      <c r="F237" s="3" t="s">
        <v>1051</v>
      </c>
      <c r="G237" s="3" t="s">
        <v>24</v>
      </c>
      <c r="H237" s="3" t="s">
        <v>1052</v>
      </c>
      <c r="I237" s="3" t="s">
        <v>1053</v>
      </c>
      <c r="J237" s="3" t="s">
        <v>1054</v>
      </c>
      <c r="K237" s="3" t="s">
        <v>275</v>
      </c>
      <c r="L237" s="4">
        <v>13506.23</v>
      </c>
      <c r="M237" s="4">
        <v>100</v>
      </c>
      <c r="N237" s="4" t="str">
        <f>IF(folha1[[#This Row],[Participação (%)]]=100,"BASE PRÓPRIA","BASE POOL")</f>
        <v>BASE PRÓPRIA</v>
      </c>
      <c r="O237" s="3"/>
      <c r="P237" s="5"/>
    </row>
    <row r="238" spans="1:16" ht="19.95" customHeight="1" thickBot="1" x14ac:dyDescent="0.35">
      <c r="A238" s="3" t="s">
        <v>1055</v>
      </c>
      <c r="B238" s="3" t="s">
        <v>1056</v>
      </c>
      <c r="C238" s="6" t="str">
        <f>VLOOKUP(folha1[[#This Row],[Razão Social]],Planilha1!A:C,2,0)</f>
        <v xml:space="preserve">GREEN  </v>
      </c>
      <c r="D238" s="3" t="s">
        <v>15</v>
      </c>
      <c r="E238" s="6" t="str">
        <f>VLOOKUP(folha1[[#This Row],[Razão Social]],Planilha1!A:C,3,0)</f>
        <v>REGIONAL</v>
      </c>
      <c r="F238" s="3" t="s">
        <v>1057</v>
      </c>
      <c r="G238" s="3" t="s">
        <v>24</v>
      </c>
      <c r="H238" s="3" t="s">
        <v>65</v>
      </c>
      <c r="I238" s="3" t="s">
        <v>1058</v>
      </c>
      <c r="J238" s="3" t="s">
        <v>1059</v>
      </c>
      <c r="K238" s="3" t="s">
        <v>162</v>
      </c>
      <c r="L238" s="4">
        <v>823.43</v>
      </c>
      <c r="M238" s="4">
        <v>100</v>
      </c>
      <c r="N238" s="4" t="str">
        <f>IF(folha1[[#This Row],[Participação (%)]]=100,"BASE PRÓPRIA","BASE POOL")</f>
        <v>BASE PRÓPRIA</v>
      </c>
      <c r="O238" s="3" t="s">
        <v>1060</v>
      </c>
      <c r="P238" s="5">
        <v>42307</v>
      </c>
    </row>
    <row r="239" spans="1:16" ht="19.95" customHeight="1" thickBot="1" x14ac:dyDescent="0.35">
      <c r="A239" s="3" t="s">
        <v>1061</v>
      </c>
      <c r="B239" s="3" t="s">
        <v>1062</v>
      </c>
      <c r="C239" s="6" t="str">
        <f>VLOOKUP(folha1[[#This Row],[Razão Social]],Planilha1!A:C,2,0)</f>
        <v xml:space="preserve">BIOSTRATUM  </v>
      </c>
      <c r="D239" s="3" t="s">
        <v>15</v>
      </c>
      <c r="E239" s="6" t="str">
        <f>VLOOKUP(folha1[[#This Row],[Razão Social]],Planilha1!A:C,3,0)</f>
        <v>REGIONAL</v>
      </c>
      <c r="F239" s="3" t="s">
        <v>648</v>
      </c>
      <c r="G239" s="3" t="s">
        <v>649</v>
      </c>
      <c r="H239" s="3" t="s">
        <v>175</v>
      </c>
      <c r="I239" s="3" t="s">
        <v>650</v>
      </c>
      <c r="J239" s="3" t="s">
        <v>117</v>
      </c>
      <c r="K239" s="3" t="s">
        <v>118</v>
      </c>
      <c r="L239" s="4">
        <v>2337.4499999999998</v>
      </c>
      <c r="M239" s="4">
        <v>32.090000000000003</v>
      </c>
      <c r="N239" s="4" t="str">
        <f>IF(folha1[[#This Row],[Participação (%)]]=100,"BASE PRÓPRIA","BASE POOL")</f>
        <v>BASE POOL</v>
      </c>
      <c r="O239" s="3" t="s">
        <v>651</v>
      </c>
      <c r="P239" s="5">
        <v>43150</v>
      </c>
    </row>
    <row r="240" spans="1:16" ht="19.95" customHeight="1" thickBot="1" x14ac:dyDescent="0.35">
      <c r="A240" s="3" t="s">
        <v>1063</v>
      </c>
      <c r="B240" s="3" t="s">
        <v>1064</v>
      </c>
      <c r="C240" s="6" t="str">
        <f>VLOOKUP(folha1[[#This Row],[Razão Social]],Planilha1!A:C,2,0)</f>
        <v xml:space="preserve">76 OIL  </v>
      </c>
      <c r="D240" s="3" t="s">
        <v>15</v>
      </c>
      <c r="E240" s="6" t="str">
        <f>VLOOKUP(folha1[[#This Row],[Razão Social]],Planilha1!A:C,3,0)</f>
        <v>REGIONAL</v>
      </c>
      <c r="F240" s="3" t="s">
        <v>1065</v>
      </c>
      <c r="G240" s="3" t="s">
        <v>1066</v>
      </c>
      <c r="H240" s="3" t="s">
        <v>1067</v>
      </c>
      <c r="I240" s="3" t="s">
        <v>1068</v>
      </c>
      <c r="J240" s="3" t="s">
        <v>1069</v>
      </c>
      <c r="K240" s="3" t="s">
        <v>798</v>
      </c>
      <c r="L240" s="4">
        <v>2255</v>
      </c>
      <c r="M240" s="4">
        <v>100</v>
      </c>
      <c r="N240" s="4" t="str">
        <f>IF(folha1[[#This Row],[Participação (%)]]=100,"BASE PRÓPRIA","BASE POOL")</f>
        <v>BASE PRÓPRIA</v>
      </c>
      <c r="O240" s="3" t="s">
        <v>1070</v>
      </c>
      <c r="P240" s="5">
        <v>45163</v>
      </c>
    </row>
    <row r="241" spans="1:16" ht="19.95" customHeight="1" thickBot="1" x14ac:dyDescent="0.35">
      <c r="A241" s="3" t="s">
        <v>1071</v>
      </c>
      <c r="B241" s="3" t="s">
        <v>1072</v>
      </c>
      <c r="C241" s="6" t="str">
        <f>VLOOKUP(folha1[[#This Row],[Razão Social]],Planilha1!A:C,2,0)</f>
        <v>MAXXI  .</v>
      </c>
      <c r="D241" s="3" t="s">
        <v>15</v>
      </c>
      <c r="E241" s="6" t="str">
        <f>VLOOKUP(folha1[[#This Row],[Razão Social]],Planilha1!A:C,3,0)</f>
        <v>REGIONAL</v>
      </c>
      <c r="F241" s="3" t="s">
        <v>884</v>
      </c>
      <c r="G241" s="3" t="s">
        <v>64</v>
      </c>
      <c r="H241" s="3" t="s">
        <v>92</v>
      </c>
      <c r="I241" s="3" t="s">
        <v>885</v>
      </c>
      <c r="J241" s="3" t="s">
        <v>886</v>
      </c>
      <c r="K241" s="3" t="s">
        <v>887</v>
      </c>
      <c r="L241" s="4">
        <v>6160</v>
      </c>
      <c r="M241" s="4">
        <v>12.5</v>
      </c>
      <c r="N241" s="4" t="str">
        <f>IF(folha1[[#This Row],[Participação (%)]]=100,"BASE PRÓPRIA","BASE POOL")</f>
        <v>BASE POOL</v>
      </c>
      <c r="O241" s="3" t="s">
        <v>427</v>
      </c>
      <c r="P241" s="5">
        <v>45541</v>
      </c>
    </row>
    <row r="242" spans="1:16" ht="19.95" customHeight="1" thickBot="1" x14ac:dyDescent="0.35">
      <c r="A242" s="3" t="s">
        <v>1073</v>
      </c>
      <c r="B242" s="3" t="s">
        <v>1074</v>
      </c>
      <c r="C242" s="6" t="str">
        <f>VLOOKUP(folha1[[#This Row],[Razão Social]],Planilha1!A:C,2,0)</f>
        <v xml:space="preserve">BIOPETRÓLEO DO BRASIL  </v>
      </c>
      <c r="D242" s="3" t="s">
        <v>15</v>
      </c>
      <c r="E242" s="6" t="str">
        <f>VLOOKUP(folha1[[#This Row],[Razão Social]],Planilha1!A:C,3,0)</f>
        <v>REGIONAL</v>
      </c>
      <c r="F242" s="3" t="s">
        <v>16</v>
      </c>
      <c r="G242" s="3" t="s">
        <v>17</v>
      </c>
      <c r="H242" s="3" t="s">
        <v>18</v>
      </c>
      <c r="I242" s="3"/>
      <c r="J242" s="3" t="s">
        <v>19</v>
      </c>
      <c r="K242" s="3" t="s">
        <v>20</v>
      </c>
      <c r="L242" s="4">
        <v>11718.58</v>
      </c>
      <c r="M242" s="4">
        <v>6.4</v>
      </c>
      <c r="N242" s="4" t="str">
        <f>IF(folha1[[#This Row],[Participação (%)]]=100,"BASE PRÓPRIA","BASE POOL")</f>
        <v>BASE POOL</v>
      </c>
      <c r="O242" s="3" t="s">
        <v>21</v>
      </c>
      <c r="P242" s="5">
        <v>41949</v>
      </c>
    </row>
    <row r="243" spans="1:16" ht="19.95" customHeight="1" thickBot="1" x14ac:dyDescent="0.35">
      <c r="A243" s="3" t="s">
        <v>1075</v>
      </c>
      <c r="B243" s="3" t="s">
        <v>1074</v>
      </c>
      <c r="C243" s="6" t="str">
        <f>VLOOKUP(folha1[[#This Row],[Razão Social]],Planilha1!A:C,2,0)</f>
        <v xml:space="preserve">BIOPETRÓLEO DO BRASIL  </v>
      </c>
      <c r="D243" s="3" t="s">
        <v>15</v>
      </c>
      <c r="E243" s="6" t="str">
        <f>VLOOKUP(folha1[[#This Row],[Razão Social]],Planilha1!A:C,3,0)</f>
        <v>REGIONAL</v>
      </c>
      <c r="F243" s="3" t="s">
        <v>63</v>
      </c>
      <c r="G243" s="3" t="s">
        <v>64</v>
      </c>
      <c r="H243" s="3" t="s">
        <v>65</v>
      </c>
      <c r="I243" s="3" t="s">
        <v>66</v>
      </c>
      <c r="J243" s="3" t="s">
        <v>67</v>
      </c>
      <c r="K243" s="3" t="s">
        <v>68</v>
      </c>
      <c r="L243" s="4">
        <v>20120</v>
      </c>
      <c r="M243" s="4">
        <v>3.72</v>
      </c>
      <c r="N243" s="4" t="str">
        <f>IF(folha1[[#This Row],[Participação (%)]]=100,"BASE PRÓPRIA","BASE POOL")</f>
        <v>BASE POOL</v>
      </c>
      <c r="O243" s="3" t="s">
        <v>69</v>
      </c>
      <c r="P243" s="5">
        <v>45106</v>
      </c>
    </row>
    <row r="244" spans="1:16" ht="19.95" customHeight="1" thickBot="1" x14ac:dyDescent="0.35">
      <c r="A244" s="3" t="s">
        <v>1076</v>
      </c>
      <c r="B244" s="3" t="s">
        <v>1077</v>
      </c>
      <c r="C244" s="6" t="str">
        <f>VLOOKUP(folha1[[#This Row],[Razão Social]],Planilha1!A:C,2,0)</f>
        <v>ECO BRASIL  .</v>
      </c>
      <c r="D244" s="3" t="s">
        <v>15</v>
      </c>
      <c r="E244" s="6" t="str">
        <f>VLOOKUP(folha1[[#This Row],[Razão Social]],Planilha1!A:C,3,0)</f>
        <v>REGIONAL</v>
      </c>
      <c r="F244" s="3" t="s">
        <v>884</v>
      </c>
      <c r="G244" s="3" t="s">
        <v>64</v>
      </c>
      <c r="H244" s="3" t="s">
        <v>92</v>
      </c>
      <c r="I244" s="3" t="s">
        <v>885</v>
      </c>
      <c r="J244" s="3" t="s">
        <v>886</v>
      </c>
      <c r="K244" s="3" t="s">
        <v>887</v>
      </c>
      <c r="L244" s="4">
        <v>6160</v>
      </c>
      <c r="M244" s="4">
        <v>12.5</v>
      </c>
      <c r="N244" s="4" t="str">
        <f>IF(folha1[[#This Row],[Participação (%)]]=100,"BASE PRÓPRIA","BASE POOL")</f>
        <v>BASE POOL</v>
      </c>
      <c r="O244" s="3" t="s">
        <v>427</v>
      </c>
      <c r="P244" s="5">
        <v>45541</v>
      </c>
    </row>
    <row r="245" spans="1:16" ht="19.95" customHeight="1" thickBot="1" x14ac:dyDescent="0.35">
      <c r="A245" s="3" t="s">
        <v>1078</v>
      </c>
      <c r="B245" s="3" t="s">
        <v>1079</v>
      </c>
      <c r="C245" s="6" t="str">
        <f>VLOOKUP(folha1[[#This Row],[Razão Social]],Planilha1!A:C,2,0)</f>
        <v xml:space="preserve">MIDAS COMÉRCIO DE COMBUSTÍVEIS </v>
      </c>
      <c r="D245" s="3" t="s">
        <v>15</v>
      </c>
      <c r="E245" s="6" t="str">
        <f>VLOOKUP(folha1[[#This Row],[Razão Social]],Planilha1!A:C,3,0)</f>
        <v>REGIONAL</v>
      </c>
      <c r="F245" s="3" t="s">
        <v>884</v>
      </c>
      <c r="G245" s="3" t="s">
        <v>64</v>
      </c>
      <c r="H245" s="3" t="s">
        <v>92</v>
      </c>
      <c r="I245" s="3" t="s">
        <v>885</v>
      </c>
      <c r="J245" s="3" t="s">
        <v>886</v>
      </c>
      <c r="K245" s="3" t="s">
        <v>887</v>
      </c>
      <c r="L245" s="4">
        <v>6160</v>
      </c>
      <c r="M245" s="4">
        <v>12.5</v>
      </c>
      <c r="N245" s="4" t="str">
        <f>IF(folha1[[#This Row],[Participação (%)]]=100,"BASE PRÓPRIA","BASE POOL")</f>
        <v>BASE POOL</v>
      </c>
      <c r="O245" s="3" t="s">
        <v>427</v>
      </c>
      <c r="P245" s="5">
        <v>45541</v>
      </c>
    </row>
    <row r="246" spans="1:16" ht="19.95" customHeight="1" thickBot="1" x14ac:dyDescent="0.35">
      <c r="A246" s="3" t="s">
        <v>1080</v>
      </c>
      <c r="B246" s="3" t="s">
        <v>1081</v>
      </c>
      <c r="C246" s="6" t="str">
        <f>VLOOKUP(folha1[[#This Row],[Razão Social]],Planilha1!A:C,2,0)</f>
        <v>REAL</v>
      </c>
      <c r="D246" s="3" t="s">
        <v>15</v>
      </c>
      <c r="E246" s="6" t="str">
        <f>VLOOKUP(folha1[[#This Row],[Razão Social]],Planilha1!A:C,3,0)</f>
        <v>REGIONAL</v>
      </c>
      <c r="F246" s="3" t="s">
        <v>63</v>
      </c>
      <c r="G246" s="3" t="s">
        <v>64</v>
      </c>
      <c r="H246" s="3" t="s">
        <v>65</v>
      </c>
      <c r="I246" s="3" t="s">
        <v>66</v>
      </c>
      <c r="J246" s="3" t="s">
        <v>67</v>
      </c>
      <c r="K246" s="3" t="s">
        <v>68</v>
      </c>
      <c r="L246" s="4">
        <v>20120</v>
      </c>
      <c r="M246" s="4">
        <v>3.72</v>
      </c>
      <c r="N246" s="4" t="str">
        <f>IF(folha1[[#This Row],[Participação (%)]]=100,"BASE PRÓPRIA","BASE POOL")</f>
        <v>BASE POOL</v>
      </c>
      <c r="O246" s="3" t="s">
        <v>69</v>
      </c>
      <c r="P246" s="5">
        <v>45106</v>
      </c>
    </row>
    <row r="247" spans="1:16" ht="19.95" customHeight="1" thickBot="1" x14ac:dyDescent="0.35">
      <c r="A247" s="3" t="s">
        <v>1082</v>
      </c>
      <c r="B247" s="3" t="s">
        <v>1081</v>
      </c>
      <c r="C247" s="6" t="str">
        <f>VLOOKUP(folha1[[#This Row],[Razão Social]],Planilha1!A:C,2,0)</f>
        <v>REAL</v>
      </c>
      <c r="D247" s="3" t="s">
        <v>15</v>
      </c>
      <c r="E247" s="6" t="str">
        <f>VLOOKUP(folha1[[#This Row],[Razão Social]],Planilha1!A:C,3,0)</f>
        <v>REGIONAL</v>
      </c>
      <c r="F247" s="3" t="s">
        <v>1083</v>
      </c>
      <c r="G247" s="3" t="s">
        <v>1084</v>
      </c>
      <c r="H247" s="3" t="s">
        <v>1085</v>
      </c>
      <c r="I247" s="3"/>
      <c r="J247" s="3" t="s">
        <v>111</v>
      </c>
      <c r="K247" s="3" t="s">
        <v>68</v>
      </c>
      <c r="L247" s="4">
        <v>1659</v>
      </c>
      <c r="M247" s="4">
        <v>100</v>
      </c>
      <c r="N247" s="4" t="str">
        <f>IF(folha1[[#This Row],[Participação (%)]]=100,"BASE PRÓPRIA","BASE POOL")</f>
        <v>BASE PRÓPRIA</v>
      </c>
      <c r="O247" s="3" t="s">
        <v>1086</v>
      </c>
      <c r="P247" s="5">
        <v>45842</v>
      </c>
    </row>
    <row r="248" spans="1:16" ht="19.95" customHeight="1" thickBot="1" x14ac:dyDescent="0.35">
      <c r="A248" s="3" t="s">
        <v>1087</v>
      </c>
      <c r="B248" s="3" t="s">
        <v>1088</v>
      </c>
      <c r="C248" s="6" t="str">
        <f>VLOOKUP(folha1[[#This Row],[Razão Social]],Planilha1!A:C,2,0)</f>
        <v xml:space="preserve">STOCK  </v>
      </c>
      <c r="D248" s="3" t="s">
        <v>15</v>
      </c>
      <c r="E248" s="6" t="str">
        <f>VLOOKUP(folha1[[#This Row],[Razão Social]],Planilha1!A:C,3,0)</f>
        <v>REGIONAL</v>
      </c>
      <c r="F248" s="3" t="s">
        <v>1089</v>
      </c>
      <c r="G248" s="3" t="s">
        <v>1090</v>
      </c>
      <c r="H248" s="3" t="s">
        <v>1091</v>
      </c>
      <c r="I248" s="3"/>
      <c r="J248" s="3" t="s">
        <v>471</v>
      </c>
      <c r="K248" s="3" t="s">
        <v>20</v>
      </c>
      <c r="L248" s="4">
        <v>7659.16</v>
      </c>
      <c r="M248" s="4">
        <v>88.41</v>
      </c>
      <c r="N248" s="4" t="str">
        <f>IF(folha1[[#This Row],[Participação (%)]]=100,"BASE PRÓPRIA","BASE POOL")</f>
        <v>BASE POOL</v>
      </c>
      <c r="O248" s="3" t="s">
        <v>463</v>
      </c>
      <c r="P248" s="5">
        <v>45408</v>
      </c>
    </row>
    <row r="249" spans="1:16" ht="19.95" customHeight="1" thickBot="1" x14ac:dyDescent="0.35">
      <c r="A249" s="3" t="s">
        <v>1092</v>
      </c>
      <c r="B249" s="3" t="s">
        <v>1093</v>
      </c>
      <c r="C249" s="6" t="str">
        <f>VLOOKUP(folha1[[#This Row],[Razão Social]],Planilha1!A:C,2,0)</f>
        <v>RAVATO  .</v>
      </c>
      <c r="D249" s="3" t="s">
        <v>15</v>
      </c>
      <c r="E249" s="6" t="str">
        <f>VLOOKUP(folha1[[#This Row],[Razão Social]],Planilha1!A:C,3,0)</f>
        <v>REGIONAL</v>
      </c>
      <c r="F249" s="3" t="s">
        <v>1094</v>
      </c>
      <c r="G249" s="3" t="s">
        <v>1095</v>
      </c>
      <c r="H249" s="3" t="s">
        <v>149</v>
      </c>
      <c r="I249" s="3"/>
      <c r="J249" s="3" t="s">
        <v>1096</v>
      </c>
      <c r="K249" s="3" t="s">
        <v>44</v>
      </c>
      <c r="L249" s="4">
        <v>991.4</v>
      </c>
      <c r="M249" s="4">
        <v>100</v>
      </c>
      <c r="N249" s="4" t="str">
        <f>IF(folha1[[#This Row],[Participação (%)]]=100,"BASE PRÓPRIA","BASE POOL")</f>
        <v>BASE PRÓPRIA</v>
      </c>
      <c r="O249" s="3" t="s">
        <v>1097</v>
      </c>
      <c r="P249" s="5">
        <v>41780</v>
      </c>
    </row>
    <row r="250" spans="1:16" ht="19.95" customHeight="1" thickBot="1" x14ac:dyDescent="0.35">
      <c r="A250" s="3" t="s">
        <v>1098</v>
      </c>
      <c r="B250" s="3" t="s">
        <v>1099</v>
      </c>
      <c r="C250" s="6" t="str">
        <f>VLOOKUP(folha1[[#This Row],[Razão Social]],Planilha1!A:C,2,0)</f>
        <v xml:space="preserve">MIDAS  </v>
      </c>
      <c r="D250" s="3" t="s">
        <v>15</v>
      </c>
      <c r="E250" s="6" t="str">
        <f>VLOOKUP(folha1[[#This Row],[Razão Social]],Planilha1!A:C,3,0)</f>
        <v>REGIONAL</v>
      </c>
      <c r="F250" s="3" t="s">
        <v>670</v>
      </c>
      <c r="G250" s="3" t="s">
        <v>671</v>
      </c>
      <c r="H250" s="3" t="s">
        <v>672</v>
      </c>
      <c r="I250" s="3" t="s">
        <v>673</v>
      </c>
      <c r="J250" s="3" t="s">
        <v>80</v>
      </c>
      <c r="K250" s="3" t="s">
        <v>20</v>
      </c>
      <c r="L250" s="4">
        <v>20364.12</v>
      </c>
      <c r="M250" s="4">
        <v>3.68</v>
      </c>
      <c r="N250" s="4" t="str">
        <f>IF(folha1[[#This Row],[Participação (%)]]=100,"BASE PRÓPRIA","BASE POOL")</f>
        <v>BASE POOL</v>
      </c>
      <c r="O250" s="3" t="s">
        <v>674</v>
      </c>
      <c r="P250" s="5">
        <v>45173</v>
      </c>
    </row>
    <row r="251" spans="1:16" ht="19.95" customHeight="1" thickBot="1" x14ac:dyDescent="0.35">
      <c r="A251" s="3" t="s">
        <v>1100</v>
      </c>
      <c r="B251" s="3" t="s">
        <v>1101</v>
      </c>
      <c r="C251" s="6" t="str">
        <f>VLOOKUP(folha1[[#This Row],[Razão Social]],Planilha1!A:C,2,0)</f>
        <v>VAISHIA E TRANSPORTADORA DE COMBUSTIVEIS EIRELI</v>
      </c>
      <c r="D251" s="3" t="s">
        <v>15</v>
      </c>
      <c r="E251" s="6" t="str">
        <f>VLOOKUP(folha1[[#This Row],[Razão Social]],Planilha1!A:C,3,0)</f>
        <v>REGIONAL</v>
      </c>
      <c r="F251" s="3" t="s">
        <v>1102</v>
      </c>
      <c r="G251" s="3" t="s">
        <v>1103</v>
      </c>
      <c r="H251" s="3" t="s">
        <v>1104</v>
      </c>
      <c r="I251" s="3"/>
      <c r="J251" s="3" t="s">
        <v>1105</v>
      </c>
      <c r="K251" s="3" t="s">
        <v>20</v>
      </c>
      <c r="L251" s="4">
        <v>6387</v>
      </c>
      <c r="M251" s="4">
        <v>100</v>
      </c>
      <c r="N251" s="4" t="str">
        <f>IF(folha1[[#This Row],[Participação (%)]]=100,"BASE PRÓPRIA","BASE POOL")</f>
        <v>BASE PRÓPRIA</v>
      </c>
      <c r="O251" s="3" t="s">
        <v>1106</v>
      </c>
      <c r="P251" s="5">
        <v>44026</v>
      </c>
    </row>
    <row r="252" spans="1:16" ht="19.95" customHeight="1" thickBot="1" x14ac:dyDescent="0.35">
      <c r="A252" s="3" t="s">
        <v>1107</v>
      </c>
      <c r="B252" s="3" t="s">
        <v>1108</v>
      </c>
      <c r="C252" s="6" t="str">
        <f>VLOOKUP(folha1[[#This Row],[Razão Social]],Planilha1!A:C,2,0)</f>
        <v xml:space="preserve">DELTA  </v>
      </c>
      <c r="D252" s="3" t="s">
        <v>15</v>
      </c>
      <c r="E252" s="6" t="str">
        <f>VLOOKUP(folha1[[#This Row],[Razão Social]],Planilha1!A:C,3,0)</f>
        <v>REGIONAL</v>
      </c>
      <c r="F252" s="3" t="s">
        <v>1109</v>
      </c>
      <c r="G252" s="3" t="s">
        <v>1110</v>
      </c>
      <c r="H252" s="3" t="s">
        <v>175</v>
      </c>
      <c r="I252" s="3" t="s">
        <v>1111</v>
      </c>
      <c r="J252" s="3" t="s">
        <v>117</v>
      </c>
      <c r="K252" s="3" t="s">
        <v>118</v>
      </c>
      <c r="L252" s="4">
        <v>4022</v>
      </c>
      <c r="M252" s="4">
        <v>100</v>
      </c>
      <c r="N252" s="4" t="str">
        <f>IF(folha1[[#This Row],[Participação (%)]]=100,"BASE PRÓPRIA","BASE POOL")</f>
        <v>BASE PRÓPRIA</v>
      </c>
      <c r="O252" s="3" t="s">
        <v>359</v>
      </c>
      <c r="P252" s="5">
        <v>45835</v>
      </c>
    </row>
    <row r="253" spans="1:16" ht="19.95" customHeight="1" thickBot="1" x14ac:dyDescent="0.35">
      <c r="A253" s="3" t="s">
        <v>1112</v>
      </c>
      <c r="B253" s="3" t="s">
        <v>1113</v>
      </c>
      <c r="C253" s="6" t="str">
        <f>VLOOKUP(folha1[[#This Row],[Razão Social]],Planilha1!A:C,2,0)</f>
        <v xml:space="preserve">BIOPETRO </v>
      </c>
      <c r="D253" s="3" t="s">
        <v>15</v>
      </c>
      <c r="E253" s="6" t="str">
        <f>VLOOKUP(folha1[[#This Row],[Razão Social]],Planilha1!A:C,3,0)</f>
        <v>REGIONAL</v>
      </c>
      <c r="F253" s="3" t="s">
        <v>670</v>
      </c>
      <c r="G253" s="3" t="s">
        <v>671</v>
      </c>
      <c r="H253" s="3" t="s">
        <v>672</v>
      </c>
      <c r="I253" s="3" t="s">
        <v>673</v>
      </c>
      <c r="J253" s="3" t="s">
        <v>80</v>
      </c>
      <c r="K253" s="3" t="s">
        <v>20</v>
      </c>
      <c r="L253" s="4">
        <v>20364.12</v>
      </c>
      <c r="M253" s="4">
        <v>3.68</v>
      </c>
      <c r="N253" s="4" t="str">
        <f>IF(folha1[[#This Row],[Participação (%)]]=100,"BASE PRÓPRIA","BASE POOL")</f>
        <v>BASE POOL</v>
      </c>
      <c r="O253" s="3" t="s">
        <v>674</v>
      </c>
      <c r="P253" s="5">
        <v>45173</v>
      </c>
    </row>
    <row r="254" spans="1:16" ht="19.95" customHeight="1" thickBot="1" x14ac:dyDescent="0.35">
      <c r="A254" s="3" t="s">
        <v>1114</v>
      </c>
      <c r="B254" s="3" t="s">
        <v>1115</v>
      </c>
      <c r="C254" s="6" t="str">
        <f>VLOOKUP(folha1[[#This Row],[Razão Social]],Planilha1!A:C,2,0)</f>
        <v xml:space="preserve">J.R  </v>
      </c>
      <c r="D254" s="3" t="s">
        <v>15</v>
      </c>
      <c r="E254" s="6" t="str">
        <f>VLOOKUP(folha1[[#This Row],[Razão Social]],Planilha1!A:C,3,0)</f>
        <v>REGIONAL</v>
      </c>
      <c r="F254" s="3" t="s">
        <v>1116</v>
      </c>
      <c r="G254" s="3" t="s">
        <v>64</v>
      </c>
      <c r="H254" s="3" t="s">
        <v>1117</v>
      </c>
      <c r="I254" s="3" t="s">
        <v>1118</v>
      </c>
      <c r="J254" s="3" t="s">
        <v>711</v>
      </c>
      <c r="K254" s="3" t="s">
        <v>706</v>
      </c>
      <c r="L254" s="4">
        <v>19440</v>
      </c>
      <c r="M254" s="4">
        <v>100</v>
      </c>
      <c r="N254" s="4" t="str">
        <f>IF(folha1[[#This Row],[Participação (%)]]=100,"BASE PRÓPRIA","BASE POOL")</f>
        <v>BASE PRÓPRIA</v>
      </c>
      <c r="O254" s="3" t="s">
        <v>1119</v>
      </c>
      <c r="P254" s="5">
        <v>44358</v>
      </c>
    </row>
    <row r="255" spans="1:16" ht="19.95" customHeight="1" thickBot="1" x14ac:dyDescent="0.35">
      <c r="A255" s="3" t="s">
        <v>1120</v>
      </c>
      <c r="B255" s="3" t="s">
        <v>1121</v>
      </c>
      <c r="C255" s="6" t="str">
        <f>VLOOKUP(folha1[[#This Row],[Razão Social]],Planilha1!A:C,2,0)</f>
        <v xml:space="preserve">ALE COMBUSTIVEIS </v>
      </c>
      <c r="D255" s="3" t="s">
        <v>15</v>
      </c>
      <c r="E255" s="6" t="str">
        <f>VLOOKUP(folha1[[#This Row],[Razão Social]],Planilha1!A:C,3,0)</f>
        <v>REGIONAL</v>
      </c>
      <c r="F255" s="3" t="s">
        <v>869</v>
      </c>
      <c r="G255" s="3" t="s">
        <v>1122</v>
      </c>
      <c r="H255" s="3" t="s">
        <v>836</v>
      </c>
      <c r="I255" s="3" t="s">
        <v>1123</v>
      </c>
      <c r="J255" s="3" t="s">
        <v>797</v>
      </c>
      <c r="K255" s="3" t="s">
        <v>798</v>
      </c>
      <c r="L255" s="4">
        <v>9952</v>
      </c>
      <c r="M255" s="4">
        <v>100</v>
      </c>
      <c r="N255" s="4" t="str">
        <f>IF(folha1[[#This Row],[Participação (%)]]=100,"BASE PRÓPRIA","BASE POOL")</f>
        <v>BASE PRÓPRIA</v>
      </c>
      <c r="O255" s="3" t="s">
        <v>1124</v>
      </c>
      <c r="P255" s="5">
        <v>44194</v>
      </c>
    </row>
    <row r="256" spans="1:16" ht="19.95" customHeight="1" thickBot="1" x14ac:dyDescent="0.35">
      <c r="A256" s="3" t="s">
        <v>1125</v>
      </c>
      <c r="B256" s="3" t="s">
        <v>1121</v>
      </c>
      <c r="C256" s="6" t="str">
        <f>VLOOKUP(folha1[[#This Row],[Razão Social]],Planilha1!A:C,2,0)</f>
        <v xml:space="preserve">ALE COMBUSTIVEIS </v>
      </c>
      <c r="D256" s="3" t="s">
        <v>15</v>
      </c>
      <c r="E256" s="6" t="str">
        <f>VLOOKUP(folha1[[#This Row],[Razão Social]],Planilha1!A:C,3,0)</f>
        <v>REGIONAL</v>
      </c>
      <c r="F256" s="3" t="s">
        <v>1126</v>
      </c>
      <c r="G256" s="3" t="s">
        <v>1127</v>
      </c>
      <c r="H256" s="3" t="s">
        <v>1128</v>
      </c>
      <c r="I256" s="3" t="s">
        <v>1129</v>
      </c>
      <c r="J256" s="3" t="s">
        <v>1130</v>
      </c>
      <c r="K256" s="3" t="s">
        <v>28</v>
      </c>
      <c r="L256" s="4">
        <v>3553</v>
      </c>
      <c r="M256" s="4">
        <v>100</v>
      </c>
      <c r="N256" s="4" t="str">
        <f>IF(folha1[[#This Row],[Participação (%)]]=100,"BASE PRÓPRIA","BASE POOL")</f>
        <v>BASE PRÓPRIA</v>
      </c>
      <c r="O256" s="3" t="s">
        <v>1131</v>
      </c>
      <c r="P256" s="5">
        <v>42384</v>
      </c>
    </row>
    <row r="257" spans="1:16" ht="19.95" customHeight="1" thickBot="1" x14ac:dyDescent="0.35">
      <c r="A257" s="3" t="s">
        <v>1132</v>
      </c>
      <c r="B257" s="3" t="s">
        <v>1121</v>
      </c>
      <c r="C257" s="6" t="str">
        <f>VLOOKUP(folha1[[#This Row],[Razão Social]],Planilha1!A:C,2,0)</f>
        <v xml:space="preserve">ALE COMBUSTIVEIS </v>
      </c>
      <c r="D257" s="3" t="s">
        <v>15</v>
      </c>
      <c r="E257" s="6" t="str">
        <f>VLOOKUP(folha1[[#This Row],[Razão Social]],Planilha1!A:C,3,0)</f>
        <v>REGIONAL</v>
      </c>
      <c r="F257" s="3" t="s">
        <v>469</v>
      </c>
      <c r="G257" s="3" t="s">
        <v>1133</v>
      </c>
      <c r="H257" s="3" t="s">
        <v>1134</v>
      </c>
      <c r="I257" s="3"/>
      <c r="J257" s="3" t="s">
        <v>471</v>
      </c>
      <c r="K257" s="3" t="s">
        <v>20</v>
      </c>
      <c r="L257" s="4">
        <v>10823.19</v>
      </c>
      <c r="M257" s="4">
        <v>100</v>
      </c>
      <c r="N257" s="4" t="str">
        <f>IF(folha1[[#This Row],[Participação (%)]]=100,"BASE PRÓPRIA","BASE POOL")</f>
        <v>BASE PRÓPRIA</v>
      </c>
      <c r="O257" s="3" t="s">
        <v>1135</v>
      </c>
      <c r="P257" s="5">
        <v>45358</v>
      </c>
    </row>
    <row r="258" spans="1:16" ht="19.95" customHeight="1" thickBot="1" x14ac:dyDescent="0.35">
      <c r="A258" s="3" t="s">
        <v>1136</v>
      </c>
      <c r="B258" s="3" t="s">
        <v>1121</v>
      </c>
      <c r="C258" s="6" t="str">
        <f>VLOOKUP(folha1[[#This Row],[Razão Social]],Planilha1!A:C,2,0)</f>
        <v xml:space="preserve">ALE COMBUSTIVEIS </v>
      </c>
      <c r="D258" s="3" t="s">
        <v>15</v>
      </c>
      <c r="E258" s="6" t="str">
        <f>VLOOKUP(folha1[[#This Row],[Razão Social]],Planilha1!A:C,3,0)</f>
        <v>REGIONAL</v>
      </c>
      <c r="F258" s="3" t="s">
        <v>1137</v>
      </c>
      <c r="G258" s="3" t="s">
        <v>1138</v>
      </c>
      <c r="H258" s="3" t="s">
        <v>329</v>
      </c>
      <c r="I258" s="3"/>
      <c r="J258" s="3" t="s">
        <v>1139</v>
      </c>
      <c r="K258" s="3" t="s">
        <v>20</v>
      </c>
      <c r="L258" s="4">
        <v>4302.1000000000004</v>
      </c>
      <c r="M258" s="4">
        <v>100</v>
      </c>
      <c r="N258" s="4" t="str">
        <f>IF(folha1[[#This Row],[Participação (%)]]=100,"BASE PRÓPRIA","BASE POOL")</f>
        <v>BASE PRÓPRIA</v>
      </c>
      <c r="O258" s="3" t="s">
        <v>1140</v>
      </c>
      <c r="P258" s="5">
        <v>42338</v>
      </c>
    </row>
    <row r="259" spans="1:16" ht="19.95" customHeight="1" thickBot="1" x14ac:dyDescent="0.35">
      <c r="A259" s="3" t="s">
        <v>1141</v>
      </c>
      <c r="B259" s="3" t="s">
        <v>1121</v>
      </c>
      <c r="C259" s="6" t="str">
        <f>VLOOKUP(folha1[[#This Row],[Razão Social]],Planilha1!A:C,2,0)</f>
        <v xml:space="preserve">ALE COMBUSTIVEIS </v>
      </c>
      <c r="D259" s="3" t="s">
        <v>15</v>
      </c>
      <c r="E259" s="6" t="str">
        <f>VLOOKUP(folha1[[#This Row],[Razão Social]],Planilha1!A:C,3,0)</f>
        <v>REGIONAL</v>
      </c>
      <c r="F259" s="3" t="s">
        <v>523</v>
      </c>
      <c r="G259" s="3" t="s">
        <v>524</v>
      </c>
      <c r="H259" s="3" t="s">
        <v>525</v>
      </c>
      <c r="I259" s="3" t="s">
        <v>526</v>
      </c>
      <c r="J259" s="3" t="s">
        <v>320</v>
      </c>
      <c r="K259" s="3" t="s">
        <v>118</v>
      </c>
      <c r="L259" s="4">
        <v>3838.98</v>
      </c>
      <c r="M259" s="4">
        <v>20</v>
      </c>
      <c r="N259" s="4" t="str">
        <f>IF(folha1[[#This Row],[Participação (%)]]=100,"BASE PRÓPRIA","BASE POOL")</f>
        <v>BASE POOL</v>
      </c>
      <c r="O259" s="3" t="s">
        <v>527</v>
      </c>
      <c r="P259" s="5">
        <v>44950</v>
      </c>
    </row>
    <row r="260" spans="1:16" ht="19.95" customHeight="1" thickBot="1" x14ac:dyDescent="0.35">
      <c r="A260" s="3" t="s">
        <v>1142</v>
      </c>
      <c r="B260" s="3" t="s">
        <v>1121</v>
      </c>
      <c r="C260" s="6" t="str">
        <f>VLOOKUP(folha1[[#This Row],[Razão Social]],Planilha1!A:C,2,0)</f>
        <v xml:space="preserve">ALE COMBUSTIVEIS </v>
      </c>
      <c r="D260" s="3" t="s">
        <v>15</v>
      </c>
      <c r="E260" s="6" t="str">
        <f>VLOOKUP(folha1[[#This Row],[Razão Social]],Planilha1!A:C,3,0)</f>
        <v>REGIONAL</v>
      </c>
      <c r="F260" s="3" t="s">
        <v>1143</v>
      </c>
      <c r="G260" s="3" t="s">
        <v>1027</v>
      </c>
      <c r="H260" s="3" t="s">
        <v>1144</v>
      </c>
      <c r="I260" s="3" t="s">
        <v>1145</v>
      </c>
      <c r="J260" s="3" t="s">
        <v>215</v>
      </c>
      <c r="K260" s="3" t="s">
        <v>87</v>
      </c>
      <c r="L260" s="4">
        <v>9712</v>
      </c>
      <c r="M260" s="4">
        <v>100</v>
      </c>
      <c r="N260" s="4" t="str">
        <f>IF(folha1[[#This Row],[Participação (%)]]=100,"BASE PRÓPRIA","BASE POOL")</f>
        <v>BASE PRÓPRIA</v>
      </c>
      <c r="O260" s="3" t="s">
        <v>425</v>
      </c>
      <c r="P260" s="5">
        <v>45146</v>
      </c>
    </row>
    <row r="261" spans="1:16" ht="19.95" customHeight="1" thickBot="1" x14ac:dyDescent="0.35">
      <c r="A261" s="3" t="s">
        <v>1146</v>
      </c>
      <c r="B261" s="3" t="s">
        <v>1121</v>
      </c>
      <c r="C261" s="6" t="str">
        <f>VLOOKUP(folha1[[#This Row],[Razão Social]],Planilha1!A:C,2,0)</f>
        <v xml:space="preserve">ALE COMBUSTIVEIS </v>
      </c>
      <c r="D261" s="3" t="s">
        <v>15</v>
      </c>
      <c r="E261" s="6" t="str">
        <f>VLOOKUP(folha1[[#This Row],[Razão Social]],Planilha1!A:C,3,0)</f>
        <v>REGIONAL</v>
      </c>
      <c r="F261" s="3" t="s">
        <v>811</v>
      </c>
      <c r="G261" s="3" t="s">
        <v>24</v>
      </c>
      <c r="H261" s="3" t="s">
        <v>65</v>
      </c>
      <c r="I261" s="3"/>
      <c r="J261" s="3" t="s">
        <v>280</v>
      </c>
      <c r="K261" s="3" t="s">
        <v>281</v>
      </c>
      <c r="L261" s="4">
        <v>8107.66</v>
      </c>
      <c r="M261" s="4">
        <v>60</v>
      </c>
      <c r="N261" s="4" t="str">
        <f>IF(folha1[[#This Row],[Participação (%)]]=100,"BASE PRÓPRIA","BASE POOL")</f>
        <v>BASE POOL</v>
      </c>
      <c r="O261" s="3" t="s">
        <v>1147</v>
      </c>
      <c r="P261" s="5">
        <v>45462</v>
      </c>
    </row>
    <row r="262" spans="1:16" ht="19.95" customHeight="1" thickBot="1" x14ac:dyDescent="0.35">
      <c r="A262" s="3" t="s">
        <v>1148</v>
      </c>
      <c r="B262" s="3" t="s">
        <v>1121</v>
      </c>
      <c r="C262" s="6" t="str">
        <f>VLOOKUP(folha1[[#This Row],[Razão Social]],Planilha1!A:C,2,0)</f>
        <v xml:space="preserve">ALE COMBUSTIVEIS </v>
      </c>
      <c r="D262" s="3" t="s">
        <v>15</v>
      </c>
      <c r="E262" s="6" t="str">
        <f>VLOOKUP(folha1[[#This Row],[Razão Social]],Planilha1!A:C,3,0)</f>
        <v>REGIONAL</v>
      </c>
      <c r="F262" s="3" t="s">
        <v>539</v>
      </c>
      <c r="G262" s="3" t="s">
        <v>540</v>
      </c>
      <c r="H262" s="3" t="s">
        <v>541</v>
      </c>
      <c r="I262" s="3"/>
      <c r="J262" s="3" t="s">
        <v>188</v>
      </c>
      <c r="K262" s="3" t="s">
        <v>189</v>
      </c>
      <c r="L262" s="4">
        <v>4380.54</v>
      </c>
      <c r="M262" s="4">
        <v>33.340000000000003</v>
      </c>
      <c r="N262" s="4" t="str">
        <f>IF(folha1[[#This Row],[Participação (%)]]=100,"BASE PRÓPRIA","BASE POOL")</f>
        <v>BASE POOL</v>
      </c>
      <c r="O262" s="3" t="s">
        <v>542</v>
      </c>
      <c r="P262" s="5">
        <v>45555</v>
      </c>
    </row>
    <row r="263" spans="1:16" ht="19.95" customHeight="1" thickBot="1" x14ac:dyDescent="0.35">
      <c r="A263" s="3" t="s">
        <v>1149</v>
      </c>
      <c r="B263" s="3" t="s">
        <v>1121</v>
      </c>
      <c r="C263" s="6" t="str">
        <f>VLOOKUP(folha1[[#This Row],[Razão Social]],Planilha1!A:C,2,0)</f>
        <v xml:space="preserve">ALE COMBUSTIVEIS </v>
      </c>
      <c r="D263" s="3" t="s">
        <v>15</v>
      </c>
      <c r="E263" s="6" t="str">
        <f>VLOOKUP(folha1[[#This Row],[Razão Social]],Planilha1!A:C,3,0)</f>
        <v>REGIONAL</v>
      </c>
      <c r="F263" s="3" t="s">
        <v>1150</v>
      </c>
      <c r="G263" s="3" t="s">
        <v>1151</v>
      </c>
      <c r="H263" s="3" t="s">
        <v>1152</v>
      </c>
      <c r="I263" s="3"/>
      <c r="J263" s="3" t="s">
        <v>144</v>
      </c>
      <c r="K263" s="3" t="s">
        <v>139</v>
      </c>
      <c r="L263" s="4">
        <v>2900.19</v>
      </c>
      <c r="M263" s="4">
        <v>100</v>
      </c>
      <c r="N263" s="4" t="str">
        <f>IF(folha1[[#This Row],[Participação (%)]]=100,"BASE PRÓPRIA","BASE POOL")</f>
        <v>BASE PRÓPRIA</v>
      </c>
      <c r="O263" s="3" t="s">
        <v>729</v>
      </c>
      <c r="P263" s="5">
        <v>42248</v>
      </c>
    </row>
    <row r="264" spans="1:16" ht="19.95" customHeight="1" thickBot="1" x14ac:dyDescent="0.35">
      <c r="A264" s="3" t="s">
        <v>1153</v>
      </c>
      <c r="B264" s="3" t="s">
        <v>1121</v>
      </c>
      <c r="C264" s="6" t="str">
        <f>VLOOKUP(folha1[[#This Row],[Razão Social]],Planilha1!A:C,2,0)</f>
        <v xml:space="preserve">ALE COMBUSTIVEIS </v>
      </c>
      <c r="D264" s="3" t="s">
        <v>15</v>
      </c>
      <c r="E264" s="6" t="str">
        <f>VLOOKUP(folha1[[#This Row],[Razão Social]],Planilha1!A:C,3,0)</f>
        <v>REGIONAL</v>
      </c>
      <c r="F264" s="3" t="s">
        <v>840</v>
      </c>
      <c r="G264" s="3" t="s">
        <v>1154</v>
      </c>
      <c r="H264" s="3" t="s">
        <v>18</v>
      </c>
      <c r="I264" s="3" t="s">
        <v>1155</v>
      </c>
      <c r="J264" s="3" t="s">
        <v>19</v>
      </c>
      <c r="K264" s="3" t="s">
        <v>20</v>
      </c>
      <c r="L264" s="4">
        <v>102624.56</v>
      </c>
      <c r="M264" s="4">
        <v>13.05</v>
      </c>
      <c r="N264" s="4" t="str">
        <f>IF(folha1[[#This Row],[Participação (%)]]=100,"BASE PRÓPRIA","BASE POOL")</f>
        <v>BASE POOL</v>
      </c>
      <c r="O264" s="3" t="s">
        <v>1156</v>
      </c>
      <c r="P264" s="5">
        <v>45926</v>
      </c>
    </row>
    <row r="265" spans="1:16" ht="19.95" customHeight="1" thickBot="1" x14ac:dyDescent="0.35">
      <c r="A265" s="3" t="s">
        <v>1157</v>
      </c>
      <c r="B265" s="3" t="s">
        <v>1158</v>
      </c>
      <c r="C265" s="6" t="str">
        <f>VLOOKUP(folha1[[#This Row],[Razão Social]],Planilha1!A:C,2,0)</f>
        <v>BEST FUEL</v>
      </c>
      <c r="D265" s="3" t="s">
        <v>15</v>
      </c>
      <c r="E265" s="6" t="str">
        <f>VLOOKUP(folha1[[#This Row],[Razão Social]],Planilha1!A:C,3,0)</f>
        <v>REGIONAL</v>
      </c>
      <c r="F265" s="3" t="s">
        <v>1159</v>
      </c>
      <c r="G265" s="3" t="s">
        <v>1160</v>
      </c>
      <c r="H265" s="3" t="s">
        <v>169</v>
      </c>
      <c r="I265" s="3"/>
      <c r="J265" s="3" t="s">
        <v>19</v>
      </c>
      <c r="K265" s="3" t="s">
        <v>20</v>
      </c>
      <c r="L265" s="4">
        <v>790</v>
      </c>
      <c r="M265" s="4">
        <v>100</v>
      </c>
      <c r="N265" s="4" t="str">
        <f>IF(folha1[[#This Row],[Participação (%)]]=100,"BASE PRÓPRIA","BASE POOL")</f>
        <v>BASE PRÓPRIA</v>
      </c>
      <c r="O265" s="3" t="s">
        <v>1161</v>
      </c>
      <c r="P265" s="5">
        <v>45111</v>
      </c>
    </row>
    <row r="266" spans="1:16" ht="19.95" customHeight="1" thickBot="1" x14ac:dyDescent="0.35">
      <c r="A266" s="3" t="s">
        <v>1162</v>
      </c>
      <c r="B266" s="3" t="s">
        <v>1163</v>
      </c>
      <c r="C266" s="6" t="str">
        <f>VLOOKUP(folha1[[#This Row],[Razão Social]],Planilha1!A:C,2,0)</f>
        <v xml:space="preserve">MEG  </v>
      </c>
      <c r="D266" s="3" t="s">
        <v>15</v>
      </c>
      <c r="E266" s="6" t="str">
        <f>VLOOKUP(folha1[[#This Row],[Razão Social]],Planilha1!A:C,3,0)</f>
        <v>REGIONAL</v>
      </c>
      <c r="F266" s="3" t="s">
        <v>884</v>
      </c>
      <c r="G266" s="3" t="s">
        <v>64</v>
      </c>
      <c r="H266" s="3" t="s">
        <v>92</v>
      </c>
      <c r="I266" s="3" t="s">
        <v>885</v>
      </c>
      <c r="J266" s="3" t="s">
        <v>886</v>
      </c>
      <c r="K266" s="3" t="s">
        <v>887</v>
      </c>
      <c r="L266" s="4">
        <v>6160</v>
      </c>
      <c r="M266" s="4">
        <v>12.5</v>
      </c>
      <c r="N266" s="4" t="str">
        <f>IF(folha1[[#This Row],[Participação (%)]]=100,"BASE PRÓPRIA","BASE POOL")</f>
        <v>BASE POOL</v>
      </c>
      <c r="O266" s="3" t="s">
        <v>427</v>
      </c>
      <c r="P266" s="5">
        <v>45541</v>
      </c>
    </row>
    <row r="267" spans="1:16" ht="19.95" customHeight="1" thickBot="1" x14ac:dyDescent="0.35">
      <c r="A267" s="3" t="s">
        <v>1164</v>
      </c>
      <c r="B267" s="3" t="s">
        <v>1165</v>
      </c>
      <c r="C267" s="6" t="str">
        <f>VLOOKUP(folha1[[#This Row],[Razão Social]],Planilha1!A:C,2,0)</f>
        <v>BRASPETRO</v>
      </c>
      <c r="D267" s="3" t="s">
        <v>15</v>
      </c>
      <c r="E267" s="6" t="str">
        <f>VLOOKUP(folha1[[#This Row],[Razão Social]],Planilha1!A:C,3,0)</f>
        <v>REGIONAL</v>
      </c>
      <c r="F267" s="3" t="s">
        <v>969</v>
      </c>
      <c r="G267" s="3" t="s">
        <v>970</v>
      </c>
      <c r="H267" s="3" t="s">
        <v>971</v>
      </c>
      <c r="I267" s="3" t="s">
        <v>972</v>
      </c>
      <c r="J267" s="3" t="s">
        <v>27</v>
      </c>
      <c r="K267" s="3" t="s">
        <v>28</v>
      </c>
      <c r="L267" s="4">
        <v>4034.73</v>
      </c>
      <c r="M267" s="4">
        <v>18.59</v>
      </c>
      <c r="N267" s="4" t="str">
        <f>IF(folha1[[#This Row],[Participação (%)]]=100,"BASE PRÓPRIA","BASE POOL")</f>
        <v>BASE POOL</v>
      </c>
      <c r="O267" s="3" t="s">
        <v>973</v>
      </c>
      <c r="P267" s="5">
        <v>43194</v>
      </c>
    </row>
    <row r="268" spans="1:16" ht="19.95" customHeight="1" thickBot="1" x14ac:dyDescent="0.35">
      <c r="A268" s="3" t="s">
        <v>1166</v>
      </c>
      <c r="B268" s="3" t="s">
        <v>1167</v>
      </c>
      <c r="C268" s="6" t="str">
        <f>VLOOKUP(folha1[[#This Row],[Razão Social]],Planilha1!A:C,2,0)</f>
        <v xml:space="preserve">ACAI PETROLEO MATO GROSSO </v>
      </c>
      <c r="D268" s="3" t="s">
        <v>15</v>
      </c>
      <c r="E268" s="6" t="str">
        <f>VLOOKUP(folha1[[#This Row],[Razão Social]],Planilha1!A:C,3,0)</f>
        <v>REGIONAL</v>
      </c>
      <c r="F268" s="3" t="s">
        <v>1168</v>
      </c>
      <c r="G268" s="3" t="s">
        <v>64</v>
      </c>
      <c r="H268" s="3" t="s">
        <v>92</v>
      </c>
      <c r="I268" s="3"/>
      <c r="J268" s="3" t="s">
        <v>659</v>
      </c>
      <c r="K268" s="3" t="s">
        <v>118</v>
      </c>
      <c r="L268" s="4">
        <v>4794</v>
      </c>
      <c r="M268" s="4">
        <v>100</v>
      </c>
      <c r="N268" s="4" t="str">
        <f>IF(folha1[[#This Row],[Participação (%)]]=100,"BASE PRÓPRIA","BASE POOL")</f>
        <v>BASE PRÓPRIA</v>
      </c>
      <c r="O268" s="3" t="s">
        <v>1097</v>
      </c>
      <c r="P268" s="5">
        <v>44656</v>
      </c>
    </row>
    <row r="269" spans="1:16" ht="19.95" customHeight="1" thickBot="1" x14ac:dyDescent="0.35">
      <c r="A269" s="3" t="s">
        <v>1169</v>
      </c>
      <c r="B269" s="3" t="s">
        <v>1170</v>
      </c>
      <c r="C269" s="6" t="str">
        <f>VLOOKUP(folha1[[#This Row],[Razão Social]],Planilha1!A:C,2,0)</f>
        <v>ALL  EIRELI</v>
      </c>
      <c r="D269" s="3" t="s">
        <v>15</v>
      </c>
      <c r="E269" s="6" t="str">
        <f>VLOOKUP(folha1[[#This Row],[Razão Social]],Planilha1!A:C,3,0)</f>
        <v>REGIONAL</v>
      </c>
      <c r="F269" s="3" t="s">
        <v>167</v>
      </c>
      <c r="G269" s="3" t="s">
        <v>168</v>
      </c>
      <c r="H269" s="3" t="s">
        <v>169</v>
      </c>
      <c r="I269" s="3"/>
      <c r="J269" s="3" t="s">
        <v>19</v>
      </c>
      <c r="K269" s="3" t="s">
        <v>20</v>
      </c>
      <c r="L269" s="4">
        <v>19710</v>
      </c>
      <c r="M269" s="4">
        <v>4.8499999999999996</v>
      </c>
      <c r="N269" s="4" t="str">
        <f>IF(folha1[[#This Row],[Participação (%)]]=100,"BASE PRÓPRIA","BASE POOL")</f>
        <v>BASE POOL</v>
      </c>
      <c r="O269" s="3" t="s">
        <v>170</v>
      </c>
      <c r="P269" s="5">
        <v>43810</v>
      </c>
    </row>
    <row r="270" spans="1:16" ht="19.95" customHeight="1" thickBot="1" x14ac:dyDescent="0.35">
      <c r="A270" s="3" t="s">
        <v>1171</v>
      </c>
      <c r="B270" s="3" t="s">
        <v>1172</v>
      </c>
      <c r="C270" s="6" t="str">
        <f>VLOOKUP(folha1[[#This Row],[Razão Social]],Planilha1!A:C,2,0)</f>
        <v xml:space="preserve">BV  </v>
      </c>
      <c r="D270" s="3" t="s">
        <v>15</v>
      </c>
      <c r="E270" s="6" t="str">
        <f>VLOOKUP(folha1[[#This Row],[Razão Social]],Planilha1!A:C,3,0)</f>
        <v>REGIONAL</v>
      </c>
      <c r="F270" s="3" t="s">
        <v>167</v>
      </c>
      <c r="G270" s="3" t="s">
        <v>168</v>
      </c>
      <c r="H270" s="3" t="s">
        <v>169</v>
      </c>
      <c r="I270" s="3"/>
      <c r="J270" s="3" t="s">
        <v>19</v>
      </c>
      <c r="K270" s="3" t="s">
        <v>20</v>
      </c>
      <c r="L270" s="4">
        <v>19710</v>
      </c>
      <c r="M270" s="4">
        <v>4.8499999999999996</v>
      </c>
      <c r="N270" s="4" t="str">
        <f>IF(folha1[[#This Row],[Participação (%)]]=100,"BASE PRÓPRIA","BASE POOL")</f>
        <v>BASE POOL</v>
      </c>
      <c r="O270" s="3" t="s">
        <v>170</v>
      </c>
      <c r="P270" s="5">
        <v>43810</v>
      </c>
    </row>
    <row r="271" spans="1:16" ht="19.95" customHeight="1" thickBot="1" x14ac:dyDescent="0.35">
      <c r="A271" s="3" t="s">
        <v>1173</v>
      </c>
      <c r="B271" s="3" t="s">
        <v>1174</v>
      </c>
      <c r="C271" s="6" t="str">
        <f>VLOOKUP(folha1[[#This Row],[Razão Social]],Planilha1!A:C,2,0)</f>
        <v>MONTE ALEGRE COMBUSTIVEIS .</v>
      </c>
      <c r="D271" s="3" t="s">
        <v>15</v>
      </c>
      <c r="E271" s="6" t="str">
        <f>VLOOKUP(folha1[[#This Row],[Razão Social]],Planilha1!A:C,3,0)</f>
        <v>REGIONAL</v>
      </c>
      <c r="F271" s="3" t="s">
        <v>1175</v>
      </c>
      <c r="G271" s="3" t="s">
        <v>64</v>
      </c>
      <c r="H271" s="3" t="s">
        <v>1176</v>
      </c>
      <c r="I271" s="3"/>
      <c r="J271" s="3" t="s">
        <v>1177</v>
      </c>
      <c r="K271" s="3" t="s">
        <v>87</v>
      </c>
      <c r="L271" s="4">
        <v>1037</v>
      </c>
      <c r="M271" s="4">
        <v>100</v>
      </c>
      <c r="N271" s="4" t="str">
        <f>IF(folha1[[#This Row],[Participação (%)]]=100,"BASE PRÓPRIA","BASE POOL")</f>
        <v>BASE PRÓPRIA</v>
      </c>
      <c r="O271" s="3" t="s">
        <v>1178</v>
      </c>
      <c r="P271" s="5">
        <v>44896</v>
      </c>
    </row>
    <row r="272" spans="1:16" ht="19.95" customHeight="1" thickBot="1" x14ac:dyDescent="0.35">
      <c r="A272" s="3" t="s">
        <v>1179</v>
      </c>
      <c r="B272" s="3" t="s">
        <v>1180</v>
      </c>
      <c r="C272" s="6" t="str">
        <f>VLOOKUP(folha1[[#This Row],[Razão Social]],Planilha1!A:C,2,0)</f>
        <v xml:space="preserve">BP COMERCIALIZADORA DE ENERGIA </v>
      </c>
      <c r="D272" s="3" t="s">
        <v>15</v>
      </c>
      <c r="E272" s="6" t="str">
        <f>VLOOKUP(folha1[[#This Row],[Razão Social]],Planilha1!A:C,3,0)</f>
        <v>REGIONAL</v>
      </c>
      <c r="F272" s="3" t="s">
        <v>670</v>
      </c>
      <c r="G272" s="3" t="s">
        <v>671</v>
      </c>
      <c r="H272" s="3" t="s">
        <v>672</v>
      </c>
      <c r="I272" s="3" t="s">
        <v>673</v>
      </c>
      <c r="J272" s="3" t="s">
        <v>80</v>
      </c>
      <c r="K272" s="3" t="s">
        <v>20</v>
      </c>
      <c r="L272" s="4">
        <v>20364.12</v>
      </c>
      <c r="M272" s="4">
        <v>3.68</v>
      </c>
      <c r="N272" s="4" t="str">
        <f>IF(folha1[[#This Row],[Participação (%)]]=100,"BASE PRÓPRIA","BASE POOL")</f>
        <v>BASE POOL</v>
      </c>
      <c r="O272" s="3" t="s">
        <v>674</v>
      </c>
      <c r="P272" s="5">
        <v>45173</v>
      </c>
    </row>
    <row r="273" spans="1:16" ht="19.95" customHeight="1" thickBot="1" x14ac:dyDescent="0.35">
      <c r="A273" s="3" t="s">
        <v>1181</v>
      </c>
      <c r="B273" s="3" t="s">
        <v>1182</v>
      </c>
      <c r="C273" s="6" t="str">
        <f>VLOOKUP(folha1[[#This Row],[Razão Social]],Planilha1!A:C,2,0)</f>
        <v>IPIRANGA PRODUTOS DE PETRÓLEO S.A</v>
      </c>
      <c r="D273" s="3" t="s">
        <v>15</v>
      </c>
      <c r="E273" s="6" t="str">
        <f>VLOOKUP(folha1[[#This Row],[Razão Social]],Planilha1!A:C,3,0)</f>
        <v>MAJOR</v>
      </c>
      <c r="F273" s="3" t="s">
        <v>1183</v>
      </c>
      <c r="G273" s="3" t="s">
        <v>1184</v>
      </c>
      <c r="H273" s="3" t="s">
        <v>1185</v>
      </c>
      <c r="I273" s="3"/>
      <c r="J273" s="3" t="s">
        <v>1186</v>
      </c>
      <c r="K273" s="3" t="s">
        <v>20</v>
      </c>
      <c r="L273" s="4">
        <v>27732.2</v>
      </c>
      <c r="M273" s="4">
        <v>100</v>
      </c>
      <c r="N273" s="4" t="str">
        <f>IF(folha1[[#This Row],[Participação (%)]]=100,"BASE PRÓPRIA","BASE POOL")</f>
        <v>BASE PRÓPRIA</v>
      </c>
      <c r="O273" s="3" t="s">
        <v>1187</v>
      </c>
      <c r="P273" s="5">
        <v>44147</v>
      </c>
    </row>
    <row r="274" spans="1:16" ht="19.95" customHeight="1" thickBot="1" x14ac:dyDescent="0.35">
      <c r="A274" s="3" t="s">
        <v>1188</v>
      </c>
      <c r="B274" s="3" t="s">
        <v>1182</v>
      </c>
      <c r="C274" s="6" t="str">
        <f>VLOOKUP(folha1[[#This Row],[Razão Social]],Planilha1!A:C,2,0)</f>
        <v>IPIRANGA PRODUTOS DE PETRÓLEO S.A</v>
      </c>
      <c r="D274" s="3" t="s">
        <v>15</v>
      </c>
      <c r="E274" s="6" t="str">
        <f>VLOOKUP(folha1[[#This Row],[Razão Social]],Planilha1!A:C,3,0)</f>
        <v>MAJOR</v>
      </c>
      <c r="F274" s="3" t="s">
        <v>1006</v>
      </c>
      <c r="G274" s="3" t="s">
        <v>1189</v>
      </c>
      <c r="H274" s="3" t="s">
        <v>85</v>
      </c>
      <c r="I274" s="3"/>
      <c r="J274" s="3" t="s">
        <v>728</v>
      </c>
      <c r="K274" s="3" t="s">
        <v>20</v>
      </c>
      <c r="L274" s="4">
        <v>3793.22</v>
      </c>
      <c r="M274" s="4">
        <v>100</v>
      </c>
      <c r="N274" s="4" t="str">
        <f>IF(folha1[[#This Row],[Participação (%)]]=100,"BASE PRÓPRIA","BASE POOL")</f>
        <v>BASE PRÓPRIA</v>
      </c>
      <c r="O274" s="3" t="s">
        <v>1190</v>
      </c>
      <c r="P274" s="5">
        <v>42557</v>
      </c>
    </row>
    <row r="275" spans="1:16" ht="19.95" customHeight="1" thickBot="1" x14ac:dyDescent="0.35">
      <c r="A275" s="3" t="s">
        <v>1191</v>
      </c>
      <c r="B275" s="3" t="s">
        <v>1182</v>
      </c>
      <c r="C275" s="6" t="str">
        <f>VLOOKUP(folha1[[#This Row],[Razão Social]],Planilha1!A:C,2,0)</f>
        <v>IPIRANGA PRODUTOS DE PETRÓLEO S.A</v>
      </c>
      <c r="D275" s="3" t="s">
        <v>15</v>
      </c>
      <c r="E275" s="6" t="str">
        <f>VLOOKUP(folha1[[#This Row],[Razão Social]],Planilha1!A:C,3,0)</f>
        <v>MAJOR</v>
      </c>
      <c r="F275" s="3" t="s">
        <v>1192</v>
      </c>
      <c r="G275" s="3" t="s">
        <v>1193</v>
      </c>
      <c r="H275" s="3" t="s">
        <v>1194</v>
      </c>
      <c r="I275" s="3"/>
      <c r="J275" s="3" t="s">
        <v>1195</v>
      </c>
      <c r="K275" s="3" t="s">
        <v>59</v>
      </c>
      <c r="L275" s="4">
        <v>5948.85</v>
      </c>
      <c r="M275" s="4">
        <v>100</v>
      </c>
      <c r="N275" s="4" t="str">
        <f>IF(folha1[[#This Row],[Participação (%)]]=100,"BASE PRÓPRIA","BASE POOL")</f>
        <v>BASE PRÓPRIA</v>
      </c>
      <c r="O275" s="3" t="s">
        <v>1196</v>
      </c>
      <c r="P275" s="5">
        <v>43250</v>
      </c>
    </row>
    <row r="276" spans="1:16" ht="19.95" customHeight="1" thickBot="1" x14ac:dyDescent="0.35">
      <c r="A276" s="3" t="s">
        <v>1197</v>
      </c>
      <c r="B276" s="3" t="s">
        <v>1182</v>
      </c>
      <c r="C276" s="6" t="str">
        <f>VLOOKUP(folha1[[#This Row],[Razão Social]],Planilha1!A:C,2,0)</f>
        <v>IPIRANGA PRODUTOS DE PETRÓLEO S.A</v>
      </c>
      <c r="D276" s="3" t="s">
        <v>15</v>
      </c>
      <c r="E276" s="6" t="str">
        <f>VLOOKUP(folha1[[#This Row],[Razão Social]],Planilha1!A:C,3,0)</f>
        <v>MAJOR</v>
      </c>
      <c r="F276" s="3" t="s">
        <v>1198</v>
      </c>
      <c r="G276" s="3" t="s">
        <v>1199</v>
      </c>
      <c r="H276" s="3" t="s">
        <v>1200</v>
      </c>
      <c r="I276" s="3" t="s">
        <v>721</v>
      </c>
      <c r="J276" s="3" t="s">
        <v>860</v>
      </c>
      <c r="K276" s="3" t="s">
        <v>59</v>
      </c>
      <c r="L276" s="4">
        <v>5872</v>
      </c>
      <c r="M276" s="4">
        <v>100</v>
      </c>
      <c r="N276" s="4" t="str">
        <f>IF(folha1[[#This Row],[Participação (%)]]=100,"BASE PRÓPRIA","BASE POOL")</f>
        <v>BASE PRÓPRIA</v>
      </c>
      <c r="O276" s="3" t="s">
        <v>1201</v>
      </c>
      <c r="P276" s="5">
        <v>43262</v>
      </c>
    </row>
    <row r="277" spans="1:16" ht="19.95" customHeight="1" thickBot="1" x14ac:dyDescent="0.35">
      <c r="A277" s="3" t="s">
        <v>1202</v>
      </c>
      <c r="B277" s="3" t="s">
        <v>1182</v>
      </c>
      <c r="C277" s="6" t="str">
        <f>VLOOKUP(folha1[[#This Row],[Razão Social]],Planilha1!A:C,2,0)</f>
        <v>IPIRANGA PRODUTOS DE PETRÓLEO S.A</v>
      </c>
      <c r="D277" s="3" t="s">
        <v>15</v>
      </c>
      <c r="E277" s="6" t="str">
        <f>VLOOKUP(folha1[[#This Row],[Razão Social]],Planilha1!A:C,3,0)</f>
        <v>MAJOR</v>
      </c>
      <c r="F277" s="3" t="s">
        <v>1203</v>
      </c>
      <c r="G277" s="3" t="s">
        <v>1204</v>
      </c>
      <c r="H277" s="3" t="s">
        <v>1205</v>
      </c>
      <c r="I277" s="3"/>
      <c r="J277" s="3" t="s">
        <v>504</v>
      </c>
      <c r="K277" s="3" t="s">
        <v>20</v>
      </c>
      <c r="L277" s="4">
        <v>3896.41</v>
      </c>
      <c r="M277" s="4">
        <v>100</v>
      </c>
      <c r="N277" s="4" t="str">
        <f>IF(folha1[[#This Row],[Participação (%)]]=100,"BASE PRÓPRIA","BASE POOL")</f>
        <v>BASE PRÓPRIA</v>
      </c>
      <c r="O277" s="3" t="s">
        <v>1206</v>
      </c>
      <c r="P277" s="5">
        <v>45727</v>
      </c>
    </row>
    <row r="278" spans="1:16" ht="19.95" customHeight="1" thickBot="1" x14ac:dyDescent="0.35">
      <c r="A278" s="3" t="s">
        <v>1207</v>
      </c>
      <c r="B278" s="3" t="s">
        <v>1182</v>
      </c>
      <c r="C278" s="6" t="str">
        <f>VLOOKUP(folha1[[#This Row],[Razão Social]],Planilha1!A:C,2,0)</f>
        <v>IPIRANGA PRODUTOS DE PETRÓLEO S.A</v>
      </c>
      <c r="D278" s="3" t="s">
        <v>15</v>
      </c>
      <c r="E278" s="6" t="str">
        <f>VLOOKUP(folha1[[#This Row],[Razão Social]],Planilha1!A:C,3,0)</f>
        <v>MAJOR</v>
      </c>
      <c r="F278" s="3" t="s">
        <v>1208</v>
      </c>
      <c r="G278" s="3" t="s">
        <v>1209</v>
      </c>
      <c r="H278" s="3" t="s">
        <v>1210</v>
      </c>
      <c r="I278" s="3"/>
      <c r="J278" s="3" t="s">
        <v>1139</v>
      </c>
      <c r="K278" s="3" t="s">
        <v>20</v>
      </c>
      <c r="L278" s="4">
        <v>2571.2800000000002</v>
      </c>
      <c r="M278" s="4">
        <v>100</v>
      </c>
      <c r="N278" s="4" t="str">
        <f>IF(folha1[[#This Row],[Participação (%)]]=100,"BASE PRÓPRIA","BASE POOL")</f>
        <v>BASE PRÓPRIA</v>
      </c>
      <c r="O278" s="3" t="s">
        <v>1211</v>
      </c>
      <c r="P278" s="5">
        <v>42713</v>
      </c>
    </row>
    <row r="279" spans="1:16" ht="19.95" customHeight="1" thickBot="1" x14ac:dyDescent="0.35">
      <c r="A279" s="3" t="s">
        <v>1212</v>
      </c>
      <c r="B279" s="3" t="s">
        <v>1182</v>
      </c>
      <c r="C279" s="6" t="str">
        <f>VLOOKUP(folha1[[#This Row],[Razão Social]],Planilha1!A:C,2,0)</f>
        <v>IPIRANGA PRODUTOS DE PETRÓLEO S.A</v>
      </c>
      <c r="D279" s="3" t="s">
        <v>15</v>
      </c>
      <c r="E279" s="6" t="str">
        <f>VLOOKUP(folha1[[#This Row],[Razão Social]],Planilha1!A:C,3,0)</f>
        <v>MAJOR</v>
      </c>
      <c r="F279" s="3" t="s">
        <v>1213</v>
      </c>
      <c r="G279" s="3" t="s">
        <v>1214</v>
      </c>
      <c r="H279" s="3" t="s">
        <v>1215</v>
      </c>
      <c r="I279" s="3"/>
      <c r="J279" s="3" t="s">
        <v>1041</v>
      </c>
      <c r="K279" s="3" t="s">
        <v>44</v>
      </c>
      <c r="L279" s="4">
        <v>10077.08</v>
      </c>
      <c r="M279" s="4">
        <v>70.22</v>
      </c>
      <c r="N279" s="4" t="str">
        <f>IF(folha1[[#This Row],[Participação (%)]]=100,"BASE PRÓPRIA","BASE POOL")</f>
        <v>BASE POOL</v>
      </c>
      <c r="O279" s="3" t="s">
        <v>1216</v>
      </c>
      <c r="P279" s="5">
        <v>41369</v>
      </c>
    </row>
    <row r="280" spans="1:16" ht="19.95" customHeight="1" thickBot="1" x14ac:dyDescent="0.35">
      <c r="A280" s="3" t="s">
        <v>1217</v>
      </c>
      <c r="B280" s="3" t="s">
        <v>1182</v>
      </c>
      <c r="C280" s="6" t="str">
        <f>VLOOKUP(folha1[[#This Row],[Razão Social]],Planilha1!A:C,2,0)</f>
        <v>IPIRANGA PRODUTOS DE PETRÓLEO S.A</v>
      </c>
      <c r="D280" s="3" t="s">
        <v>15</v>
      </c>
      <c r="E280" s="6" t="str">
        <f>VLOOKUP(folha1[[#This Row],[Razão Social]],Planilha1!A:C,3,0)</f>
        <v>MAJOR</v>
      </c>
      <c r="F280" s="3" t="s">
        <v>1218</v>
      </c>
      <c r="G280" s="3" t="s">
        <v>1219</v>
      </c>
      <c r="H280" s="3" t="s">
        <v>85</v>
      </c>
      <c r="I280" s="3"/>
      <c r="J280" s="3" t="s">
        <v>1220</v>
      </c>
      <c r="K280" s="3" t="s">
        <v>20</v>
      </c>
      <c r="L280" s="4">
        <v>10318</v>
      </c>
      <c r="M280" s="4">
        <v>100</v>
      </c>
      <c r="N280" s="4" t="str">
        <f>IF(folha1[[#This Row],[Participação (%)]]=100,"BASE PRÓPRIA","BASE POOL")</f>
        <v>BASE PRÓPRIA</v>
      </c>
      <c r="O280" s="3" t="s">
        <v>1221</v>
      </c>
      <c r="P280" s="5">
        <v>42552</v>
      </c>
    </row>
    <row r="281" spans="1:16" ht="19.95" customHeight="1" thickBot="1" x14ac:dyDescent="0.35">
      <c r="A281" s="3" t="s">
        <v>1222</v>
      </c>
      <c r="B281" s="3" t="s">
        <v>1182</v>
      </c>
      <c r="C281" s="6" t="str">
        <f>VLOOKUP(folha1[[#This Row],[Razão Social]],Planilha1!A:C,2,0)</f>
        <v>IPIRANGA PRODUTOS DE PETRÓLEO S.A</v>
      </c>
      <c r="D281" s="3" t="s">
        <v>15</v>
      </c>
      <c r="E281" s="6" t="str">
        <f>VLOOKUP(folha1[[#This Row],[Razão Social]],Planilha1!A:C,3,0)</f>
        <v>MAJOR</v>
      </c>
      <c r="F281" s="3" t="s">
        <v>412</v>
      </c>
      <c r="G281" s="3" t="s">
        <v>1223</v>
      </c>
      <c r="H281" s="3" t="s">
        <v>1224</v>
      </c>
      <c r="I281" s="3"/>
      <c r="J281" s="3" t="s">
        <v>421</v>
      </c>
      <c r="K281" s="3" t="s">
        <v>44</v>
      </c>
      <c r="L281" s="4">
        <v>4702.12</v>
      </c>
      <c r="M281" s="4">
        <v>100</v>
      </c>
      <c r="N281" s="4" t="str">
        <f>IF(folha1[[#This Row],[Participação (%)]]=100,"BASE PRÓPRIA","BASE POOL")</f>
        <v>BASE PRÓPRIA</v>
      </c>
      <c r="O281" s="3" t="s">
        <v>1225</v>
      </c>
      <c r="P281" s="5">
        <v>44341</v>
      </c>
    </row>
    <row r="282" spans="1:16" ht="19.95" customHeight="1" thickBot="1" x14ac:dyDescent="0.35">
      <c r="A282" s="3" t="s">
        <v>1226</v>
      </c>
      <c r="B282" s="3" t="s">
        <v>1182</v>
      </c>
      <c r="C282" s="6" t="str">
        <f>VLOOKUP(folha1[[#This Row],[Razão Social]],Planilha1!A:C,2,0)</f>
        <v>IPIRANGA PRODUTOS DE PETRÓLEO S.A</v>
      </c>
      <c r="D282" s="3" t="s">
        <v>15</v>
      </c>
      <c r="E282" s="6" t="str">
        <f>VLOOKUP(folha1[[#This Row],[Razão Social]],Planilha1!A:C,3,0)</f>
        <v>MAJOR</v>
      </c>
      <c r="F282" s="3" t="s">
        <v>1227</v>
      </c>
      <c r="G282" s="3" t="s">
        <v>64</v>
      </c>
      <c r="H282" s="3" t="s">
        <v>767</v>
      </c>
      <c r="I282" s="3"/>
      <c r="J282" s="3" t="s">
        <v>711</v>
      </c>
      <c r="K282" s="3" t="s">
        <v>706</v>
      </c>
      <c r="L282" s="4">
        <v>22767</v>
      </c>
      <c r="M282" s="4">
        <v>100</v>
      </c>
      <c r="N282" s="4" t="str">
        <f>IF(folha1[[#This Row],[Participação (%)]]=100,"BASE PRÓPRIA","BASE POOL")</f>
        <v>BASE PRÓPRIA</v>
      </c>
      <c r="O282" s="3" t="s">
        <v>1228</v>
      </c>
      <c r="P282" s="5">
        <v>44937</v>
      </c>
    </row>
    <row r="283" spans="1:16" ht="19.95" customHeight="1" thickBot="1" x14ac:dyDescent="0.35">
      <c r="A283" s="3" t="s">
        <v>1229</v>
      </c>
      <c r="B283" s="3" t="s">
        <v>1182</v>
      </c>
      <c r="C283" s="6" t="str">
        <f>VLOOKUP(folha1[[#This Row],[Razão Social]],Planilha1!A:C,2,0)</f>
        <v>IPIRANGA PRODUTOS DE PETRÓLEO S.A</v>
      </c>
      <c r="D283" s="3" t="s">
        <v>15</v>
      </c>
      <c r="E283" s="6" t="str">
        <f>VLOOKUP(folha1[[#This Row],[Razão Social]],Planilha1!A:C,3,0)</f>
        <v>MAJOR</v>
      </c>
      <c r="F283" s="3" t="s">
        <v>1230</v>
      </c>
      <c r="G283" s="3" t="s">
        <v>685</v>
      </c>
      <c r="H283" s="3" t="s">
        <v>614</v>
      </c>
      <c r="I283" s="3"/>
      <c r="J283" s="3" t="s">
        <v>615</v>
      </c>
      <c r="K283" s="3" t="s">
        <v>616</v>
      </c>
      <c r="L283" s="4">
        <v>9985.51</v>
      </c>
      <c r="M283" s="4">
        <v>100</v>
      </c>
      <c r="N283" s="4" t="str">
        <f>IF(folha1[[#This Row],[Participação (%)]]=100,"BASE PRÓPRIA","BASE POOL")</f>
        <v>BASE PRÓPRIA</v>
      </c>
      <c r="O283" s="3" t="s">
        <v>1231</v>
      </c>
      <c r="P283" s="5">
        <v>44195</v>
      </c>
    </row>
    <row r="284" spans="1:16" ht="19.95" customHeight="1" thickBot="1" x14ac:dyDescent="0.35">
      <c r="A284" s="3" t="s">
        <v>1232</v>
      </c>
      <c r="B284" s="3" t="s">
        <v>1182</v>
      </c>
      <c r="C284" s="6" t="str">
        <f>VLOOKUP(folha1[[#This Row],[Razão Social]],Planilha1!A:C,2,0)</f>
        <v>IPIRANGA PRODUTOS DE PETRÓLEO S.A</v>
      </c>
      <c r="D284" s="3" t="s">
        <v>15</v>
      </c>
      <c r="E284" s="6" t="str">
        <f>VLOOKUP(folha1[[#This Row],[Razão Social]],Planilha1!A:C,3,0)</f>
        <v>MAJOR</v>
      </c>
      <c r="F284" s="3" t="s">
        <v>1233</v>
      </c>
      <c r="G284" s="3" t="s">
        <v>1234</v>
      </c>
      <c r="H284" s="3" t="s">
        <v>149</v>
      </c>
      <c r="I284" s="3" t="s">
        <v>1235</v>
      </c>
      <c r="J284" s="3" t="s">
        <v>1236</v>
      </c>
      <c r="K284" s="3" t="s">
        <v>87</v>
      </c>
      <c r="L284" s="4">
        <v>8746</v>
      </c>
      <c r="M284" s="4">
        <v>100</v>
      </c>
      <c r="N284" s="4" t="str">
        <f>IF(folha1[[#This Row],[Participação (%)]]=100,"BASE PRÓPRIA","BASE POOL")</f>
        <v>BASE PRÓPRIA</v>
      </c>
      <c r="O284" s="3" t="s">
        <v>1237</v>
      </c>
      <c r="P284" s="5">
        <v>45434</v>
      </c>
    </row>
    <row r="285" spans="1:16" ht="19.95" customHeight="1" thickBot="1" x14ac:dyDescent="0.35">
      <c r="A285" s="3" t="s">
        <v>1238</v>
      </c>
      <c r="B285" s="3" t="s">
        <v>1182</v>
      </c>
      <c r="C285" s="6" t="str">
        <f>VLOOKUP(folha1[[#This Row],[Razão Social]],Planilha1!A:C,2,0)</f>
        <v>IPIRANGA PRODUTOS DE PETRÓLEO S.A</v>
      </c>
      <c r="D285" s="3" t="s">
        <v>15</v>
      </c>
      <c r="E285" s="6" t="str">
        <f>VLOOKUP(folha1[[#This Row],[Razão Social]],Planilha1!A:C,3,0)</f>
        <v>MAJOR</v>
      </c>
      <c r="F285" s="3" t="s">
        <v>271</v>
      </c>
      <c r="G285" s="3" t="s">
        <v>548</v>
      </c>
      <c r="H285" s="3" t="s">
        <v>273</v>
      </c>
      <c r="I285" s="3"/>
      <c r="J285" s="3" t="s">
        <v>274</v>
      </c>
      <c r="K285" s="3" t="s">
        <v>275</v>
      </c>
      <c r="L285" s="4">
        <v>21807.22</v>
      </c>
      <c r="M285" s="4">
        <v>100</v>
      </c>
      <c r="N285" s="4" t="str">
        <f>IF(folha1[[#This Row],[Participação (%)]]=100,"BASE PRÓPRIA","BASE POOL")</f>
        <v>BASE PRÓPRIA</v>
      </c>
      <c r="O285" s="3" t="s">
        <v>1239</v>
      </c>
      <c r="P285" s="5">
        <v>44910</v>
      </c>
    </row>
    <row r="286" spans="1:16" ht="19.95" customHeight="1" thickBot="1" x14ac:dyDescent="0.35">
      <c r="A286" s="3" t="s">
        <v>1240</v>
      </c>
      <c r="B286" s="3" t="s">
        <v>1182</v>
      </c>
      <c r="C286" s="6" t="str">
        <f>VLOOKUP(folha1[[#This Row],[Razão Social]],Planilha1!A:C,2,0)</f>
        <v>IPIRANGA PRODUTOS DE PETRÓLEO S.A</v>
      </c>
      <c r="D286" s="3" t="s">
        <v>15</v>
      </c>
      <c r="E286" s="6" t="str">
        <f>VLOOKUP(folha1[[#This Row],[Razão Social]],Planilha1!A:C,3,0)</f>
        <v>MAJOR</v>
      </c>
      <c r="F286" s="3" t="s">
        <v>1241</v>
      </c>
      <c r="G286" s="3" t="s">
        <v>1242</v>
      </c>
      <c r="H286" s="3" t="s">
        <v>18</v>
      </c>
      <c r="I286" s="3"/>
      <c r="J286" s="3" t="s">
        <v>19</v>
      </c>
      <c r="K286" s="3" t="s">
        <v>20</v>
      </c>
      <c r="L286" s="4">
        <v>19429.240000000002</v>
      </c>
      <c r="M286" s="4">
        <v>100</v>
      </c>
      <c r="N286" s="4" t="str">
        <f>IF(folha1[[#This Row],[Participação (%)]]=100,"BASE PRÓPRIA","BASE POOL")</f>
        <v>BASE PRÓPRIA</v>
      </c>
      <c r="O286" s="3" t="s">
        <v>1243</v>
      </c>
      <c r="P286" s="5">
        <v>45940</v>
      </c>
    </row>
    <row r="287" spans="1:16" ht="19.95" customHeight="1" thickBot="1" x14ac:dyDescent="0.35">
      <c r="A287" s="3" t="s">
        <v>1244</v>
      </c>
      <c r="B287" s="3" t="s">
        <v>1182</v>
      </c>
      <c r="C287" s="6" t="str">
        <f>VLOOKUP(folha1[[#This Row],[Razão Social]],Planilha1!A:C,2,0)</f>
        <v>IPIRANGA PRODUTOS DE PETRÓLEO S.A</v>
      </c>
      <c r="D287" s="3" t="s">
        <v>15</v>
      </c>
      <c r="E287" s="6" t="str">
        <f>VLOOKUP(folha1[[#This Row],[Razão Social]],Planilha1!A:C,3,0)</f>
        <v>MAJOR</v>
      </c>
      <c r="F287" s="3" t="s">
        <v>1245</v>
      </c>
      <c r="G287" s="3" t="s">
        <v>1190</v>
      </c>
      <c r="H287" s="3" t="s">
        <v>329</v>
      </c>
      <c r="I287" s="3"/>
      <c r="J287" s="3" t="s">
        <v>1139</v>
      </c>
      <c r="K287" s="3" t="s">
        <v>20</v>
      </c>
      <c r="L287" s="4">
        <v>9415.98</v>
      </c>
      <c r="M287" s="4">
        <v>100</v>
      </c>
      <c r="N287" s="4" t="str">
        <f>IF(folha1[[#This Row],[Participação (%)]]=100,"BASE PRÓPRIA","BASE POOL")</f>
        <v>BASE PRÓPRIA</v>
      </c>
      <c r="O287" s="3" t="s">
        <v>1246</v>
      </c>
      <c r="P287" s="5">
        <v>42698</v>
      </c>
    </row>
    <row r="288" spans="1:16" ht="19.95" customHeight="1" thickBot="1" x14ac:dyDescent="0.35">
      <c r="A288" s="3" t="s">
        <v>1247</v>
      </c>
      <c r="B288" s="3" t="s">
        <v>1182</v>
      </c>
      <c r="C288" s="6" t="str">
        <f>VLOOKUP(folha1[[#This Row],[Razão Social]],Planilha1!A:C,2,0)</f>
        <v>IPIRANGA PRODUTOS DE PETRÓLEO S.A</v>
      </c>
      <c r="D288" s="3" t="s">
        <v>15</v>
      </c>
      <c r="E288" s="6" t="str">
        <f>VLOOKUP(folha1[[#This Row],[Razão Social]],Planilha1!A:C,3,0)</f>
        <v>MAJOR</v>
      </c>
      <c r="F288" s="3" t="s">
        <v>1248</v>
      </c>
      <c r="G288" s="3" t="s">
        <v>1249</v>
      </c>
      <c r="H288" s="3" t="s">
        <v>1250</v>
      </c>
      <c r="I288" s="3" t="s">
        <v>1251</v>
      </c>
      <c r="J288" s="3" t="s">
        <v>1252</v>
      </c>
      <c r="K288" s="3" t="s">
        <v>59</v>
      </c>
      <c r="L288" s="4">
        <v>22918.14</v>
      </c>
      <c r="M288" s="4">
        <v>53.84</v>
      </c>
      <c r="N288" s="4" t="str">
        <f>IF(folha1[[#This Row],[Participação (%)]]=100,"BASE PRÓPRIA","BASE POOL")</f>
        <v>BASE POOL</v>
      </c>
      <c r="O288" s="3" t="s">
        <v>400</v>
      </c>
      <c r="P288" s="5">
        <v>42550</v>
      </c>
    </row>
    <row r="289" spans="1:16" ht="19.95" customHeight="1" thickBot="1" x14ac:dyDescent="0.35">
      <c r="A289" s="3" t="s">
        <v>1253</v>
      </c>
      <c r="B289" s="3" t="s">
        <v>1182</v>
      </c>
      <c r="C289" s="6" t="str">
        <f>VLOOKUP(folha1[[#This Row],[Razão Social]],Planilha1!A:C,2,0)</f>
        <v>IPIRANGA PRODUTOS DE PETRÓLEO S.A</v>
      </c>
      <c r="D289" s="3" t="s">
        <v>15</v>
      </c>
      <c r="E289" s="6" t="str">
        <f>VLOOKUP(folha1[[#This Row],[Razão Social]],Planilha1!A:C,3,0)</f>
        <v>MAJOR</v>
      </c>
      <c r="F289" s="3" t="s">
        <v>1254</v>
      </c>
      <c r="G289" s="3" t="s">
        <v>64</v>
      </c>
      <c r="H289" s="3" t="s">
        <v>1255</v>
      </c>
      <c r="I289" s="3" t="s">
        <v>1256</v>
      </c>
      <c r="J289" s="3" t="s">
        <v>1257</v>
      </c>
      <c r="K289" s="3" t="s">
        <v>87</v>
      </c>
      <c r="L289" s="4">
        <v>5450</v>
      </c>
      <c r="M289" s="4">
        <v>100</v>
      </c>
      <c r="N289" s="4" t="str">
        <f>IF(folha1[[#This Row],[Participação (%)]]=100,"BASE PRÓPRIA","BASE POOL")</f>
        <v>BASE PRÓPRIA</v>
      </c>
      <c r="O289" s="3" t="s">
        <v>1258</v>
      </c>
      <c r="P289" s="5">
        <v>43368</v>
      </c>
    </row>
    <row r="290" spans="1:16" ht="19.95" customHeight="1" thickBot="1" x14ac:dyDescent="0.35">
      <c r="A290" s="3" t="s">
        <v>1259</v>
      </c>
      <c r="B290" s="3" t="s">
        <v>1182</v>
      </c>
      <c r="C290" s="6" t="str">
        <f>VLOOKUP(folha1[[#This Row],[Razão Social]],Planilha1!A:C,2,0)</f>
        <v>IPIRANGA PRODUTOS DE PETRÓLEO S.A</v>
      </c>
      <c r="D290" s="3" t="s">
        <v>15</v>
      </c>
      <c r="E290" s="6" t="str">
        <f>VLOOKUP(folha1[[#This Row],[Razão Social]],Planilha1!A:C,3,0)</f>
        <v>MAJOR</v>
      </c>
      <c r="F290" s="3" t="s">
        <v>1260</v>
      </c>
      <c r="G290" s="3" t="s">
        <v>1261</v>
      </c>
      <c r="H290" s="3" t="s">
        <v>149</v>
      </c>
      <c r="I290" s="3" t="s">
        <v>1262</v>
      </c>
      <c r="J290" s="3" t="s">
        <v>117</v>
      </c>
      <c r="K290" s="3" t="s">
        <v>118</v>
      </c>
      <c r="L290" s="4">
        <v>1804.34</v>
      </c>
      <c r="M290" s="4">
        <v>100</v>
      </c>
      <c r="N290" s="4" t="str">
        <f>IF(folha1[[#This Row],[Participação (%)]]=100,"BASE PRÓPRIA","BASE POOL")</f>
        <v>BASE PRÓPRIA</v>
      </c>
      <c r="O290" s="3" t="s">
        <v>1263</v>
      </c>
      <c r="P290" s="5">
        <v>43314</v>
      </c>
    </row>
    <row r="291" spans="1:16" ht="19.95" customHeight="1" thickBot="1" x14ac:dyDescent="0.35">
      <c r="A291" s="3" t="s">
        <v>1264</v>
      </c>
      <c r="B291" s="3" t="s">
        <v>1182</v>
      </c>
      <c r="C291" s="6" t="str">
        <f>VLOOKUP(folha1[[#This Row],[Razão Social]],Planilha1!A:C,2,0)</f>
        <v>IPIRANGA PRODUTOS DE PETRÓLEO S.A</v>
      </c>
      <c r="D291" s="3" t="s">
        <v>15</v>
      </c>
      <c r="E291" s="6" t="str">
        <f>VLOOKUP(folha1[[#This Row],[Razão Social]],Planilha1!A:C,3,0)</f>
        <v>MAJOR</v>
      </c>
      <c r="F291" s="3" t="s">
        <v>1265</v>
      </c>
      <c r="G291" s="3" t="s">
        <v>64</v>
      </c>
      <c r="H291" s="3" t="s">
        <v>1266</v>
      </c>
      <c r="I291" s="3" t="s">
        <v>1267</v>
      </c>
      <c r="J291" s="3" t="s">
        <v>797</v>
      </c>
      <c r="K291" s="3" t="s">
        <v>798</v>
      </c>
      <c r="L291" s="4">
        <v>32767.119999999999</v>
      </c>
      <c r="M291" s="4">
        <v>50</v>
      </c>
      <c r="N291" s="4" t="str">
        <f>IF(folha1[[#This Row],[Participação (%)]]=100,"BASE PRÓPRIA","BASE POOL")</f>
        <v>BASE POOL</v>
      </c>
      <c r="O291" s="3" t="s">
        <v>457</v>
      </c>
      <c r="P291" s="5">
        <v>41891</v>
      </c>
    </row>
    <row r="292" spans="1:16" ht="19.95" customHeight="1" thickBot="1" x14ac:dyDescent="0.35">
      <c r="A292" s="3" t="s">
        <v>1268</v>
      </c>
      <c r="B292" s="3" t="s">
        <v>1182</v>
      </c>
      <c r="C292" s="6" t="str">
        <f>VLOOKUP(folha1[[#This Row],[Razão Social]],Planilha1!A:C,2,0)</f>
        <v>IPIRANGA PRODUTOS DE PETRÓLEO S.A</v>
      </c>
      <c r="D292" s="3" t="s">
        <v>15</v>
      </c>
      <c r="E292" s="6" t="str">
        <f>VLOOKUP(folha1[[#This Row],[Razão Social]],Planilha1!A:C,3,0)</f>
        <v>MAJOR</v>
      </c>
      <c r="F292" s="3" t="s">
        <v>1269</v>
      </c>
      <c r="G292" s="3" t="s">
        <v>64</v>
      </c>
      <c r="H292" s="3" t="s">
        <v>1270</v>
      </c>
      <c r="I292" s="3" t="s">
        <v>1271</v>
      </c>
      <c r="J292" s="3" t="s">
        <v>1272</v>
      </c>
      <c r="K292" s="3" t="s">
        <v>1273</v>
      </c>
      <c r="L292" s="4">
        <v>12880</v>
      </c>
      <c r="M292" s="4">
        <v>100</v>
      </c>
      <c r="N292" s="4" t="str">
        <f>IF(folha1[[#This Row],[Participação (%)]]=100,"BASE PRÓPRIA","BASE POOL")</f>
        <v>BASE PRÓPRIA</v>
      </c>
      <c r="O292" s="3" t="s">
        <v>1274</v>
      </c>
      <c r="P292" s="5">
        <v>44238</v>
      </c>
    </row>
    <row r="293" spans="1:16" ht="19.95" customHeight="1" thickBot="1" x14ac:dyDescent="0.35">
      <c r="A293" s="3" t="s">
        <v>1275</v>
      </c>
      <c r="B293" s="3" t="s">
        <v>1182</v>
      </c>
      <c r="C293" s="6" t="str">
        <f>VLOOKUP(folha1[[#This Row],[Razão Social]],Planilha1!A:C,2,0)</f>
        <v>IPIRANGA PRODUTOS DE PETRÓLEO S.A</v>
      </c>
      <c r="D293" s="3" t="s">
        <v>15</v>
      </c>
      <c r="E293" s="6" t="str">
        <f>VLOOKUP(folha1[[#This Row],[Razão Social]],Planilha1!A:C,3,0)</f>
        <v>MAJOR</v>
      </c>
      <c r="F293" s="3" t="s">
        <v>1276</v>
      </c>
      <c r="G293" s="3" t="s">
        <v>103</v>
      </c>
      <c r="H293" s="3" t="s">
        <v>1277</v>
      </c>
      <c r="I293" s="3" t="s">
        <v>1277</v>
      </c>
      <c r="J293" s="3" t="s">
        <v>1278</v>
      </c>
      <c r="K293" s="3" t="s">
        <v>798</v>
      </c>
      <c r="L293" s="4">
        <v>9903.5300000000007</v>
      </c>
      <c r="M293" s="4">
        <v>50.82</v>
      </c>
      <c r="N293" s="4" t="str">
        <f>IF(folha1[[#This Row],[Participação (%)]]=100,"BASE PRÓPRIA","BASE POOL")</f>
        <v>BASE POOL</v>
      </c>
      <c r="O293" s="3" t="s">
        <v>1279</v>
      </c>
      <c r="P293" s="5">
        <v>42717</v>
      </c>
    </row>
    <row r="294" spans="1:16" ht="19.95" customHeight="1" thickBot="1" x14ac:dyDescent="0.35">
      <c r="A294" s="3" t="s">
        <v>1280</v>
      </c>
      <c r="B294" s="3" t="s">
        <v>1182</v>
      </c>
      <c r="C294" s="6" t="str">
        <f>VLOOKUP(folha1[[#This Row],[Razão Social]],Planilha1!A:C,2,0)</f>
        <v>IPIRANGA PRODUTOS DE PETRÓLEO S.A</v>
      </c>
      <c r="D294" s="3" t="s">
        <v>15</v>
      </c>
      <c r="E294" s="6" t="str">
        <f>VLOOKUP(folha1[[#This Row],[Razão Social]],Planilha1!A:C,3,0)</f>
        <v>MAJOR</v>
      </c>
      <c r="F294" s="3" t="s">
        <v>619</v>
      </c>
      <c r="G294" s="3" t="s">
        <v>64</v>
      </c>
      <c r="H294" s="3" t="s">
        <v>1281</v>
      </c>
      <c r="I294" s="3" t="s">
        <v>1282</v>
      </c>
      <c r="J294" s="3" t="s">
        <v>627</v>
      </c>
      <c r="K294" s="3" t="s">
        <v>628</v>
      </c>
      <c r="L294" s="4">
        <v>2236.44</v>
      </c>
      <c r="M294" s="4">
        <v>100</v>
      </c>
      <c r="N294" s="4" t="str">
        <f>IF(folha1[[#This Row],[Participação (%)]]=100,"BASE PRÓPRIA","BASE POOL")</f>
        <v>BASE PRÓPRIA</v>
      </c>
      <c r="O294" s="3" t="s">
        <v>33</v>
      </c>
      <c r="P294" s="5">
        <v>45608</v>
      </c>
    </row>
    <row r="295" spans="1:16" ht="19.95" customHeight="1" thickBot="1" x14ac:dyDescent="0.35">
      <c r="A295" s="3" t="s">
        <v>1283</v>
      </c>
      <c r="B295" s="3" t="s">
        <v>1182</v>
      </c>
      <c r="C295" s="6" t="str">
        <f>VLOOKUP(folha1[[#This Row],[Razão Social]],Planilha1!A:C,2,0)</f>
        <v>IPIRANGA PRODUTOS DE PETRÓLEO S.A</v>
      </c>
      <c r="D295" s="3" t="s">
        <v>15</v>
      </c>
      <c r="E295" s="6" t="str">
        <f>VLOOKUP(folha1[[#This Row],[Razão Social]],Planilha1!A:C,3,0)</f>
        <v>MAJOR</v>
      </c>
      <c r="F295" s="3" t="s">
        <v>1284</v>
      </c>
      <c r="G295" s="3" t="s">
        <v>38</v>
      </c>
      <c r="H295" s="3" t="s">
        <v>1285</v>
      </c>
      <c r="I295" s="3"/>
      <c r="J295" s="3" t="s">
        <v>717</v>
      </c>
      <c r="K295" s="3" t="s">
        <v>706</v>
      </c>
      <c r="L295" s="4">
        <v>3986</v>
      </c>
      <c r="M295" s="4">
        <v>100</v>
      </c>
      <c r="N295" s="4" t="str">
        <f>IF(folha1[[#This Row],[Participação (%)]]=100,"BASE PRÓPRIA","BASE POOL")</f>
        <v>BASE PRÓPRIA</v>
      </c>
      <c r="O295" s="3" t="s">
        <v>1286</v>
      </c>
      <c r="P295" s="5">
        <v>43055</v>
      </c>
    </row>
    <row r="296" spans="1:16" ht="19.95" customHeight="1" thickBot="1" x14ac:dyDescent="0.35">
      <c r="A296" s="3" t="s">
        <v>1287</v>
      </c>
      <c r="B296" s="3" t="s">
        <v>1182</v>
      </c>
      <c r="C296" s="6" t="str">
        <f>VLOOKUP(folha1[[#This Row],[Razão Social]],Planilha1!A:C,2,0)</f>
        <v>IPIRANGA PRODUTOS DE PETRÓLEO S.A</v>
      </c>
      <c r="D296" s="3" t="s">
        <v>15</v>
      </c>
      <c r="E296" s="6" t="str">
        <f>VLOOKUP(folha1[[#This Row],[Razão Social]],Planilha1!A:C,3,0)</f>
        <v>MAJOR</v>
      </c>
      <c r="F296" s="3" t="s">
        <v>1288</v>
      </c>
      <c r="G296" s="3" t="s">
        <v>970</v>
      </c>
      <c r="H296" s="3" t="s">
        <v>1289</v>
      </c>
      <c r="I296" s="3"/>
      <c r="J296" s="3" t="s">
        <v>705</v>
      </c>
      <c r="K296" s="3" t="s">
        <v>706</v>
      </c>
      <c r="L296" s="4">
        <v>1426.71</v>
      </c>
      <c r="M296" s="4">
        <v>100</v>
      </c>
      <c r="N296" s="4" t="str">
        <f>IF(folha1[[#This Row],[Participação (%)]]=100,"BASE PRÓPRIA","BASE POOL")</f>
        <v>BASE PRÓPRIA</v>
      </c>
      <c r="O296" s="3" t="s">
        <v>681</v>
      </c>
      <c r="P296" s="5">
        <v>42436</v>
      </c>
    </row>
    <row r="297" spans="1:16" ht="19.95" customHeight="1" thickBot="1" x14ac:dyDescent="0.35">
      <c r="A297" s="3" t="s">
        <v>1290</v>
      </c>
      <c r="B297" s="3" t="s">
        <v>1182</v>
      </c>
      <c r="C297" s="6" t="str">
        <f>VLOOKUP(folha1[[#This Row],[Razão Social]],Planilha1!A:C,2,0)</f>
        <v>IPIRANGA PRODUTOS DE PETRÓLEO S.A</v>
      </c>
      <c r="D297" s="3" t="s">
        <v>15</v>
      </c>
      <c r="E297" s="6" t="str">
        <f>VLOOKUP(folha1[[#This Row],[Razão Social]],Planilha1!A:C,3,0)</f>
        <v>MAJOR</v>
      </c>
      <c r="F297" s="3" t="s">
        <v>1291</v>
      </c>
      <c r="G297" s="3" t="s">
        <v>64</v>
      </c>
      <c r="H297" s="3" t="s">
        <v>1292</v>
      </c>
      <c r="I297" s="3"/>
      <c r="J297" s="3" t="s">
        <v>1293</v>
      </c>
      <c r="K297" s="3" t="s">
        <v>1294</v>
      </c>
      <c r="L297" s="4">
        <v>14833.12</v>
      </c>
      <c r="M297" s="4">
        <v>28</v>
      </c>
      <c r="N297" s="4" t="str">
        <f>IF(folha1[[#This Row],[Participação (%)]]=100,"BASE PRÓPRIA","BASE POOL")</f>
        <v>BASE POOL</v>
      </c>
      <c r="O297" s="3" t="s">
        <v>1295</v>
      </c>
      <c r="P297" s="5">
        <v>44438</v>
      </c>
    </row>
    <row r="298" spans="1:16" ht="19.95" customHeight="1" thickBot="1" x14ac:dyDescent="0.35">
      <c r="A298" s="3" t="s">
        <v>1296</v>
      </c>
      <c r="B298" s="3" t="s">
        <v>1182</v>
      </c>
      <c r="C298" s="6" t="str">
        <f>VLOOKUP(folha1[[#This Row],[Razão Social]],Planilha1!A:C,2,0)</f>
        <v>IPIRANGA PRODUTOS DE PETRÓLEO S.A</v>
      </c>
      <c r="D298" s="3" t="s">
        <v>15</v>
      </c>
      <c r="E298" s="6" t="str">
        <f>VLOOKUP(folha1[[#This Row],[Razão Social]],Planilha1!A:C,3,0)</f>
        <v>MAJOR</v>
      </c>
      <c r="F298" s="3" t="s">
        <v>1297</v>
      </c>
      <c r="G298" s="3" t="s">
        <v>103</v>
      </c>
      <c r="H298" s="3" t="s">
        <v>1298</v>
      </c>
      <c r="I298" s="3" t="s">
        <v>1299</v>
      </c>
      <c r="J298" s="3" t="s">
        <v>215</v>
      </c>
      <c r="K298" s="3" t="s">
        <v>87</v>
      </c>
      <c r="L298" s="4">
        <v>21160.83</v>
      </c>
      <c r="M298" s="4">
        <v>45</v>
      </c>
      <c r="N298" s="4" t="str">
        <f>IF(folha1[[#This Row],[Participação (%)]]=100,"BASE PRÓPRIA","BASE POOL")</f>
        <v>BASE POOL</v>
      </c>
      <c r="O298" s="3" t="s">
        <v>1300</v>
      </c>
      <c r="P298" s="5">
        <v>45146</v>
      </c>
    </row>
    <row r="299" spans="1:16" ht="19.95" customHeight="1" thickBot="1" x14ac:dyDescent="0.35">
      <c r="A299" s="3" t="s">
        <v>1301</v>
      </c>
      <c r="B299" s="3" t="s">
        <v>1182</v>
      </c>
      <c r="C299" s="6" t="str">
        <f>VLOOKUP(folha1[[#This Row],[Razão Social]],Planilha1!A:C,2,0)</f>
        <v>IPIRANGA PRODUTOS DE PETRÓLEO S.A</v>
      </c>
      <c r="D299" s="3" t="s">
        <v>15</v>
      </c>
      <c r="E299" s="6" t="str">
        <f>VLOOKUP(folha1[[#This Row],[Razão Social]],Planilha1!A:C,3,0)</f>
        <v>MAJOR</v>
      </c>
      <c r="F299" s="3" t="s">
        <v>1302</v>
      </c>
      <c r="G299" s="3" t="s">
        <v>64</v>
      </c>
      <c r="H299" s="3" t="s">
        <v>1303</v>
      </c>
      <c r="I299" s="3"/>
      <c r="J299" s="3" t="s">
        <v>415</v>
      </c>
      <c r="K299" s="3" t="s">
        <v>44</v>
      </c>
      <c r="L299" s="4">
        <v>6178.68</v>
      </c>
      <c r="M299" s="4">
        <v>100</v>
      </c>
      <c r="N299" s="4" t="str">
        <f>IF(folha1[[#This Row],[Participação (%)]]=100,"BASE PRÓPRIA","BASE POOL")</f>
        <v>BASE PRÓPRIA</v>
      </c>
      <c r="O299" s="3" t="s">
        <v>1304</v>
      </c>
      <c r="P299" s="5">
        <v>41551</v>
      </c>
    </row>
    <row r="300" spans="1:16" ht="19.95" customHeight="1" thickBot="1" x14ac:dyDescent="0.35">
      <c r="A300" s="3" t="s">
        <v>1305</v>
      </c>
      <c r="B300" s="3" t="s">
        <v>1182</v>
      </c>
      <c r="C300" s="6" t="str">
        <f>VLOOKUP(folha1[[#This Row],[Razão Social]],Planilha1!A:C,2,0)</f>
        <v>IPIRANGA PRODUTOS DE PETRÓLEO S.A</v>
      </c>
      <c r="D300" s="3" t="s">
        <v>15</v>
      </c>
      <c r="E300" s="6" t="str">
        <f>VLOOKUP(folha1[[#This Row],[Razão Social]],Planilha1!A:C,3,0)</f>
        <v>MAJOR</v>
      </c>
      <c r="F300" s="3" t="s">
        <v>1306</v>
      </c>
      <c r="G300" s="3" t="s">
        <v>64</v>
      </c>
      <c r="H300" s="3" t="s">
        <v>1307</v>
      </c>
      <c r="I300" s="3"/>
      <c r="J300" s="3" t="s">
        <v>188</v>
      </c>
      <c r="K300" s="3" t="s">
        <v>189</v>
      </c>
      <c r="L300" s="4">
        <v>16297</v>
      </c>
      <c r="M300" s="4">
        <v>50</v>
      </c>
      <c r="N300" s="4" t="str">
        <f>IF(folha1[[#This Row],[Participação (%)]]=100,"BASE PRÓPRIA","BASE POOL")</f>
        <v>BASE POOL</v>
      </c>
      <c r="O300" s="3" t="s">
        <v>1308</v>
      </c>
      <c r="P300" s="5">
        <v>45895</v>
      </c>
    </row>
    <row r="301" spans="1:16" ht="19.95" customHeight="1" thickBot="1" x14ac:dyDescent="0.35">
      <c r="A301" s="3" t="s">
        <v>1309</v>
      </c>
      <c r="B301" s="3" t="s">
        <v>1182</v>
      </c>
      <c r="C301" s="6" t="str">
        <f>VLOOKUP(folha1[[#This Row],[Razão Social]],Planilha1!A:C,2,0)</f>
        <v>IPIRANGA PRODUTOS DE PETRÓLEO S.A</v>
      </c>
      <c r="D301" s="3" t="s">
        <v>15</v>
      </c>
      <c r="E301" s="6" t="str">
        <f>VLOOKUP(folha1[[#This Row],[Razão Social]],Planilha1!A:C,3,0)</f>
        <v>MAJOR</v>
      </c>
      <c r="F301" s="3" t="s">
        <v>840</v>
      </c>
      <c r="G301" s="3" t="s">
        <v>1154</v>
      </c>
      <c r="H301" s="3" t="s">
        <v>18</v>
      </c>
      <c r="I301" s="3" t="s">
        <v>1155</v>
      </c>
      <c r="J301" s="3" t="s">
        <v>19</v>
      </c>
      <c r="K301" s="3" t="s">
        <v>20</v>
      </c>
      <c r="L301" s="4">
        <v>102624.56</v>
      </c>
      <c r="M301" s="4">
        <v>30.24</v>
      </c>
      <c r="N301" s="4" t="str">
        <f>IF(folha1[[#This Row],[Participação (%)]]=100,"BASE PRÓPRIA","BASE POOL")</f>
        <v>BASE POOL</v>
      </c>
      <c r="O301" s="3" t="s">
        <v>1156</v>
      </c>
      <c r="P301" s="5">
        <v>45926</v>
      </c>
    </row>
    <row r="302" spans="1:16" ht="19.95" customHeight="1" thickBot="1" x14ac:dyDescent="0.35">
      <c r="A302" s="3" t="s">
        <v>1310</v>
      </c>
      <c r="B302" s="3" t="s">
        <v>1182</v>
      </c>
      <c r="C302" s="6" t="str">
        <f>VLOOKUP(folha1[[#This Row],[Razão Social]],Planilha1!A:C,2,0)</f>
        <v>IPIRANGA PRODUTOS DE PETRÓLEO S.A</v>
      </c>
      <c r="D302" s="3" t="s">
        <v>15</v>
      </c>
      <c r="E302" s="6" t="str">
        <f>VLOOKUP(folha1[[#This Row],[Razão Social]],Planilha1!A:C,3,0)</f>
        <v>MAJOR</v>
      </c>
      <c r="F302" s="3" t="s">
        <v>1311</v>
      </c>
      <c r="G302" s="3" t="s">
        <v>1312</v>
      </c>
      <c r="H302" s="3" t="s">
        <v>1313</v>
      </c>
      <c r="I302" s="3"/>
      <c r="J302" s="3" t="s">
        <v>215</v>
      </c>
      <c r="K302" s="3" t="s">
        <v>87</v>
      </c>
      <c r="L302" s="4">
        <v>15417.53</v>
      </c>
      <c r="M302" s="4">
        <v>33.340000000000003</v>
      </c>
      <c r="N302" s="4" t="str">
        <f>IF(folha1[[#This Row],[Participação (%)]]=100,"BASE PRÓPRIA","BASE POOL")</f>
        <v>BASE POOL</v>
      </c>
      <c r="O302" s="3" t="s">
        <v>1314</v>
      </c>
      <c r="P302" s="5">
        <v>42930</v>
      </c>
    </row>
    <row r="303" spans="1:16" ht="19.95" customHeight="1" thickBot="1" x14ac:dyDescent="0.35">
      <c r="A303" s="3" t="s">
        <v>1315</v>
      </c>
      <c r="B303" s="3" t="s">
        <v>1182</v>
      </c>
      <c r="C303" s="6" t="str">
        <f>VLOOKUP(folha1[[#This Row],[Razão Social]],Planilha1!A:C,2,0)</f>
        <v>IPIRANGA PRODUTOS DE PETRÓLEO S.A</v>
      </c>
      <c r="D303" s="3" t="s">
        <v>15</v>
      </c>
      <c r="E303" s="6" t="str">
        <f>VLOOKUP(folha1[[#This Row],[Razão Social]],Planilha1!A:C,3,0)</f>
        <v>MAJOR</v>
      </c>
      <c r="F303" s="3" t="s">
        <v>1316</v>
      </c>
      <c r="G303" s="3" t="s">
        <v>1317</v>
      </c>
      <c r="H303" s="3" t="s">
        <v>1318</v>
      </c>
      <c r="I303" s="3" t="s">
        <v>1319</v>
      </c>
      <c r="J303" s="3" t="s">
        <v>1320</v>
      </c>
      <c r="K303" s="3" t="s">
        <v>20</v>
      </c>
      <c r="L303" s="4">
        <v>11131.68</v>
      </c>
      <c r="M303" s="4">
        <v>100</v>
      </c>
      <c r="N303" s="4" t="str">
        <f>IF(folha1[[#This Row],[Participação (%)]]=100,"BASE PRÓPRIA","BASE POOL")</f>
        <v>BASE PRÓPRIA</v>
      </c>
      <c r="O303" s="3" t="s">
        <v>871</v>
      </c>
      <c r="P303" s="5">
        <v>42906</v>
      </c>
    </row>
    <row r="304" spans="1:16" ht="19.95" customHeight="1" thickBot="1" x14ac:dyDescent="0.35">
      <c r="A304" s="3" t="s">
        <v>1321</v>
      </c>
      <c r="B304" s="3" t="s">
        <v>1182</v>
      </c>
      <c r="C304" s="6" t="str">
        <f>VLOOKUP(folha1[[#This Row],[Razão Social]],Planilha1!A:C,2,0)</f>
        <v>IPIRANGA PRODUTOS DE PETRÓLEO S.A</v>
      </c>
      <c r="D304" s="3" t="s">
        <v>15</v>
      </c>
      <c r="E304" s="6" t="str">
        <f>VLOOKUP(folha1[[#This Row],[Razão Social]],Planilha1!A:C,3,0)</f>
        <v>MAJOR</v>
      </c>
      <c r="F304" s="3" t="s">
        <v>747</v>
      </c>
      <c r="G304" s="3" t="s">
        <v>748</v>
      </c>
      <c r="H304" s="3" t="s">
        <v>230</v>
      </c>
      <c r="I304" s="3"/>
      <c r="J304" s="3" t="s">
        <v>705</v>
      </c>
      <c r="K304" s="3" t="s">
        <v>706</v>
      </c>
      <c r="L304" s="4">
        <v>21304</v>
      </c>
      <c r="M304" s="4">
        <v>33.33</v>
      </c>
      <c r="N304" s="4" t="str">
        <f>IF(folha1[[#This Row],[Participação (%)]]=100,"BASE PRÓPRIA","BASE POOL")</f>
        <v>BASE POOL</v>
      </c>
      <c r="O304" s="3" t="s">
        <v>749</v>
      </c>
      <c r="P304" s="5">
        <v>45278</v>
      </c>
    </row>
    <row r="305" spans="1:16" ht="19.95" customHeight="1" thickBot="1" x14ac:dyDescent="0.35">
      <c r="A305" s="3" t="s">
        <v>1322</v>
      </c>
      <c r="B305" s="3" t="s">
        <v>1182</v>
      </c>
      <c r="C305" s="6" t="str">
        <f>VLOOKUP(folha1[[#This Row],[Razão Social]],Planilha1!A:C,2,0)</f>
        <v>IPIRANGA PRODUTOS DE PETRÓLEO S.A</v>
      </c>
      <c r="D305" s="3" t="s">
        <v>15</v>
      </c>
      <c r="E305" s="6" t="str">
        <f>VLOOKUP(folha1[[#This Row],[Razão Social]],Planilha1!A:C,3,0)</f>
        <v>MAJOR</v>
      </c>
      <c r="F305" s="3" t="s">
        <v>1323</v>
      </c>
      <c r="G305" s="3" t="s">
        <v>1324</v>
      </c>
      <c r="H305" s="3" t="s">
        <v>1325</v>
      </c>
      <c r="I305" s="3"/>
      <c r="J305" s="3" t="s">
        <v>1326</v>
      </c>
      <c r="K305" s="3" t="s">
        <v>20</v>
      </c>
      <c r="L305" s="4">
        <v>24199.27</v>
      </c>
      <c r="M305" s="4">
        <v>100</v>
      </c>
      <c r="N305" s="4" t="str">
        <f>IF(folha1[[#This Row],[Participação (%)]]=100,"BASE PRÓPRIA","BASE POOL")</f>
        <v>BASE PRÓPRIA</v>
      </c>
      <c r="O305" s="3" t="s">
        <v>1327</v>
      </c>
      <c r="P305" s="5">
        <v>43777</v>
      </c>
    </row>
    <row r="306" spans="1:16" ht="19.95" customHeight="1" thickBot="1" x14ac:dyDescent="0.35">
      <c r="A306" s="3" t="s">
        <v>1328</v>
      </c>
      <c r="B306" s="3" t="s">
        <v>1182</v>
      </c>
      <c r="C306" s="6" t="str">
        <f>VLOOKUP(folha1[[#This Row],[Razão Social]],Planilha1!A:C,2,0)</f>
        <v>IPIRANGA PRODUTOS DE PETRÓLEO S.A</v>
      </c>
      <c r="D306" s="3" t="s">
        <v>15</v>
      </c>
      <c r="E306" s="6" t="str">
        <f>VLOOKUP(folha1[[#This Row],[Razão Social]],Planilha1!A:C,3,0)</f>
        <v>MAJOR</v>
      </c>
      <c r="F306" s="3" t="s">
        <v>741</v>
      </c>
      <c r="G306" s="3" t="s">
        <v>64</v>
      </c>
      <c r="H306" s="3" t="s">
        <v>742</v>
      </c>
      <c r="I306" s="3"/>
      <c r="J306" s="3" t="s">
        <v>743</v>
      </c>
      <c r="K306" s="3" t="s">
        <v>744</v>
      </c>
      <c r="L306" s="4">
        <v>14679</v>
      </c>
      <c r="M306" s="4">
        <v>33</v>
      </c>
      <c r="N306" s="4" t="str">
        <f>IF(folha1[[#This Row],[Participação (%)]]=100,"BASE PRÓPRIA","BASE POOL")</f>
        <v>BASE POOL</v>
      </c>
      <c r="O306" s="3" t="s">
        <v>745</v>
      </c>
      <c r="P306" s="5">
        <v>43075</v>
      </c>
    </row>
    <row r="307" spans="1:16" ht="19.95" customHeight="1" thickBot="1" x14ac:dyDescent="0.35">
      <c r="A307" s="3" t="s">
        <v>1329</v>
      </c>
      <c r="B307" s="3" t="s">
        <v>1182</v>
      </c>
      <c r="C307" s="6" t="str">
        <f>VLOOKUP(folha1[[#This Row],[Razão Social]],Planilha1!A:C,2,0)</f>
        <v>IPIRANGA PRODUTOS DE PETRÓLEO S.A</v>
      </c>
      <c r="D307" s="3" t="s">
        <v>15</v>
      </c>
      <c r="E307" s="6" t="str">
        <f>VLOOKUP(folha1[[#This Row],[Razão Social]],Planilha1!A:C,3,0)</f>
        <v>MAJOR</v>
      </c>
      <c r="F307" s="3" t="s">
        <v>811</v>
      </c>
      <c r="G307" s="3" t="s">
        <v>24</v>
      </c>
      <c r="H307" s="3" t="s">
        <v>65</v>
      </c>
      <c r="I307" s="3"/>
      <c r="J307" s="3" t="s">
        <v>280</v>
      </c>
      <c r="K307" s="3" t="s">
        <v>281</v>
      </c>
      <c r="L307" s="4">
        <v>8107.66</v>
      </c>
      <c r="M307" s="4">
        <v>40</v>
      </c>
      <c r="N307" s="4" t="str">
        <f>IF(folha1[[#This Row],[Participação (%)]]=100,"BASE PRÓPRIA","BASE POOL")</f>
        <v>BASE POOL</v>
      </c>
      <c r="O307" s="3" t="s">
        <v>1147</v>
      </c>
      <c r="P307" s="5">
        <v>45462</v>
      </c>
    </row>
    <row r="308" spans="1:16" ht="19.95" customHeight="1" thickBot="1" x14ac:dyDescent="0.35">
      <c r="A308" s="3" t="s">
        <v>1330</v>
      </c>
      <c r="B308" s="3" t="s">
        <v>1182</v>
      </c>
      <c r="C308" s="6" t="str">
        <f>VLOOKUP(folha1[[#This Row],[Razão Social]],Planilha1!A:C,2,0)</f>
        <v>IPIRANGA PRODUTOS DE PETRÓLEO S.A</v>
      </c>
      <c r="D308" s="3" t="s">
        <v>15</v>
      </c>
      <c r="E308" s="6" t="str">
        <f>VLOOKUP(folha1[[#This Row],[Razão Social]],Planilha1!A:C,3,0)</f>
        <v>MAJOR</v>
      </c>
      <c r="F308" s="3" t="s">
        <v>1331</v>
      </c>
      <c r="G308" s="3" t="s">
        <v>103</v>
      </c>
      <c r="H308" s="3" t="s">
        <v>1332</v>
      </c>
      <c r="I308" s="3"/>
      <c r="J308" s="3" t="s">
        <v>1333</v>
      </c>
      <c r="K308" s="3" t="s">
        <v>706</v>
      </c>
      <c r="L308" s="4">
        <v>12769</v>
      </c>
      <c r="M308" s="4">
        <v>100</v>
      </c>
      <c r="N308" s="4" t="str">
        <f>IF(folha1[[#This Row],[Participação (%)]]=100,"BASE PRÓPRIA","BASE POOL")</f>
        <v>BASE PRÓPRIA</v>
      </c>
      <c r="O308" s="3" t="s">
        <v>1334</v>
      </c>
      <c r="P308" s="5">
        <v>42017</v>
      </c>
    </row>
    <row r="309" spans="1:16" ht="19.95" customHeight="1" thickBot="1" x14ac:dyDescent="0.35">
      <c r="A309" s="3" t="s">
        <v>1335</v>
      </c>
      <c r="B309" s="3" t="s">
        <v>1182</v>
      </c>
      <c r="C309" s="6" t="str">
        <f>VLOOKUP(folha1[[#This Row],[Razão Social]],Planilha1!A:C,2,0)</f>
        <v>IPIRANGA PRODUTOS DE PETRÓLEO S.A</v>
      </c>
      <c r="D309" s="3" t="s">
        <v>15</v>
      </c>
      <c r="E309" s="6" t="str">
        <f>VLOOKUP(folha1[[#This Row],[Razão Social]],Planilha1!A:C,3,0)</f>
        <v>MAJOR</v>
      </c>
      <c r="F309" s="3" t="s">
        <v>1336</v>
      </c>
      <c r="G309" s="3" t="s">
        <v>286</v>
      </c>
      <c r="H309" s="3" t="s">
        <v>1200</v>
      </c>
      <c r="I309" s="3"/>
      <c r="J309" s="3" t="s">
        <v>1337</v>
      </c>
      <c r="K309" s="3" t="s">
        <v>59</v>
      </c>
      <c r="L309" s="4">
        <v>44068</v>
      </c>
      <c r="M309" s="4">
        <v>100</v>
      </c>
      <c r="N309" s="4" t="str">
        <f>IF(folha1[[#This Row],[Participação (%)]]=100,"BASE PRÓPRIA","BASE POOL")</f>
        <v>BASE PRÓPRIA</v>
      </c>
      <c r="O309" s="3" t="s">
        <v>56</v>
      </c>
      <c r="P309" s="5">
        <v>38985</v>
      </c>
    </row>
    <row r="310" spans="1:16" ht="19.95" customHeight="1" thickBot="1" x14ac:dyDescent="0.35">
      <c r="A310" s="3" t="s">
        <v>1338</v>
      </c>
      <c r="B310" s="3" t="s">
        <v>1182</v>
      </c>
      <c r="C310" s="6" t="str">
        <f>VLOOKUP(folha1[[#This Row],[Razão Social]],Planilha1!A:C,2,0)</f>
        <v>IPIRANGA PRODUTOS DE PETRÓLEO S.A</v>
      </c>
      <c r="D310" s="3" t="s">
        <v>15</v>
      </c>
      <c r="E310" s="6" t="str">
        <f>VLOOKUP(folha1[[#This Row],[Razão Social]],Planilha1!A:C,3,0)</f>
        <v>MAJOR</v>
      </c>
      <c r="F310" s="3" t="s">
        <v>1339</v>
      </c>
      <c r="G310" s="3" t="s">
        <v>24</v>
      </c>
      <c r="H310" s="3" t="s">
        <v>1340</v>
      </c>
      <c r="I310" s="3" t="s">
        <v>1341</v>
      </c>
      <c r="J310" s="3" t="s">
        <v>43</v>
      </c>
      <c r="K310" s="3" t="s">
        <v>44</v>
      </c>
      <c r="L310" s="4">
        <v>181687.1</v>
      </c>
      <c r="M310" s="4">
        <v>33.33</v>
      </c>
      <c r="N310" s="4" t="str">
        <f>IF(folha1[[#This Row],[Participação (%)]]=100,"BASE PRÓPRIA","BASE POOL")</f>
        <v>BASE POOL</v>
      </c>
      <c r="O310" s="3" t="s">
        <v>1342</v>
      </c>
      <c r="P310" s="5">
        <v>44231</v>
      </c>
    </row>
    <row r="311" spans="1:16" ht="19.95" customHeight="1" thickBot="1" x14ac:dyDescent="0.35">
      <c r="A311" s="3" t="s">
        <v>1343</v>
      </c>
      <c r="B311" s="3" t="s">
        <v>1182</v>
      </c>
      <c r="C311" s="6" t="str">
        <f>VLOOKUP(folha1[[#This Row],[Razão Social]],Planilha1!A:C,2,0)</f>
        <v>IPIRANGA PRODUTOS DE PETRÓLEO S.A</v>
      </c>
      <c r="D311" s="3" t="s">
        <v>15</v>
      </c>
      <c r="E311" s="6" t="str">
        <f>VLOOKUP(folha1[[#This Row],[Razão Social]],Planilha1!A:C,3,0)</f>
        <v>MAJOR</v>
      </c>
      <c r="F311" s="3" t="s">
        <v>643</v>
      </c>
      <c r="G311" s="3" t="s">
        <v>64</v>
      </c>
      <c r="H311" s="3" t="s">
        <v>1344</v>
      </c>
      <c r="I311" s="3" t="s">
        <v>1345</v>
      </c>
      <c r="J311" s="3" t="s">
        <v>150</v>
      </c>
      <c r="K311" s="3" t="s">
        <v>139</v>
      </c>
      <c r="L311" s="4">
        <v>3663.96</v>
      </c>
      <c r="M311" s="4">
        <v>33.33</v>
      </c>
      <c r="N311" s="4" t="str">
        <f>IF(folha1[[#This Row],[Participação (%)]]=100,"BASE PRÓPRIA","BASE POOL")</f>
        <v>BASE POOL</v>
      </c>
      <c r="O311" s="3" t="s">
        <v>1346</v>
      </c>
      <c r="P311" s="5">
        <v>41393</v>
      </c>
    </row>
    <row r="312" spans="1:16" ht="19.95" customHeight="1" thickBot="1" x14ac:dyDescent="0.35">
      <c r="A312" s="3" t="s">
        <v>1347</v>
      </c>
      <c r="B312" s="3" t="s">
        <v>1182</v>
      </c>
      <c r="C312" s="6" t="str">
        <f>VLOOKUP(folha1[[#This Row],[Razão Social]],Planilha1!A:C,2,0)</f>
        <v>IPIRANGA PRODUTOS DE PETRÓLEO S.A</v>
      </c>
      <c r="D312" s="3" t="s">
        <v>15</v>
      </c>
      <c r="E312" s="6" t="str">
        <f>VLOOKUP(folha1[[#This Row],[Razão Social]],Planilha1!A:C,3,0)</f>
        <v>MAJOR</v>
      </c>
      <c r="F312" s="3" t="s">
        <v>1348</v>
      </c>
      <c r="G312" s="3" t="s">
        <v>176</v>
      </c>
      <c r="H312" s="3" t="s">
        <v>1349</v>
      </c>
      <c r="I312" s="3"/>
      <c r="J312" s="3" t="s">
        <v>1350</v>
      </c>
      <c r="K312" s="3" t="s">
        <v>20</v>
      </c>
      <c r="L312" s="4">
        <v>24895.11</v>
      </c>
      <c r="M312" s="4">
        <v>40.44</v>
      </c>
      <c r="N312" s="4" t="str">
        <f>IF(folha1[[#This Row],[Participação (%)]]=100,"BASE PRÓPRIA","BASE POOL")</f>
        <v>BASE POOL</v>
      </c>
      <c r="O312" s="3" t="s">
        <v>1351</v>
      </c>
      <c r="P312" s="5">
        <v>43285</v>
      </c>
    </row>
    <row r="313" spans="1:16" ht="19.95" customHeight="1" thickBot="1" x14ac:dyDescent="0.35">
      <c r="A313" s="3" t="s">
        <v>1352</v>
      </c>
      <c r="B313" s="3" t="s">
        <v>1182</v>
      </c>
      <c r="C313" s="6" t="str">
        <f>VLOOKUP(folha1[[#This Row],[Razão Social]],Planilha1!A:C,2,0)</f>
        <v>IPIRANGA PRODUTOS DE PETRÓLEO S.A</v>
      </c>
      <c r="D313" s="3" t="s">
        <v>15</v>
      </c>
      <c r="E313" s="6" t="str">
        <f>VLOOKUP(folha1[[#This Row],[Razão Social]],Planilha1!A:C,3,0)</f>
        <v>MAJOR</v>
      </c>
      <c r="F313" s="3" t="s">
        <v>1353</v>
      </c>
      <c r="G313" s="3" t="s">
        <v>64</v>
      </c>
      <c r="H313" s="3" t="s">
        <v>1354</v>
      </c>
      <c r="I313" s="3" t="s">
        <v>1355</v>
      </c>
      <c r="J313" s="3" t="s">
        <v>80</v>
      </c>
      <c r="K313" s="3" t="s">
        <v>20</v>
      </c>
      <c r="L313" s="4">
        <v>45251.94</v>
      </c>
      <c r="M313" s="4">
        <v>31.41</v>
      </c>
      <c r="N313" s="4" t="str">
        <f>IF(folha1[[#This Row],[Participação (%)]]=100,"BASE PRÓPRIA","BASE POOL")</f>
        <v>BASE POOL</v>
      </c>
      <c r="O313" s="3" t="s">
        <v>1356</v>
      </c>
      <c r="P313" s="5">
        <v>44872</v>
      </c>
    </row>
    <row r="314" spans="1:16" ht="19.95" customHeight="1" thickBot="1" x14ac:dyDescent="0.35">
      <c r="A314" s="3" t="s">
        <v>1357</v>
      </c>
      <c r="B314" s="3" t="s">
        <v>1182</v>
      </c>
      <c r="C314" s="6" t="str">
        <f>VLOOKUP(folha1[[#This Row],[Razão Social]],Planilha1!A:C,2,0)</f>
        <v>IPIRANGA PRODUTOS DE PETRÓLEO S.A</v>
      </c>
      <c r="D314" s="3" t="s">
        <v>15</v>
      </c>
      <c r="E314" s="6" t="str">
        <f>VLOOKUP(folha1[[#This Row],[Razão Social]],Planilha1!A:C,3,0)</f>
        <v>MAJOR</v>
      </c>
      <c r="F314" s="3" t="s">
        <v>690</v>
      </c>
      <c r="G314" s="3" t="s">
        <v>1358</v>
      </c>
      <c r="H314" s="3" t="s">
        <v>1359</v>
      </c>
      <c r="I314" s="3" t="s">
        <v>1360</v>
      </c>
      <c r="J314" s="3" t="s">
        <v>693</v>
      </c>
      <c r="K314" s="3" t="s">
        <v>628</v>
      </c>
      <c r="L314" s="4">
        <v>9107</v>
      </c>
      <c r="M314" s="4">
        <v>100</v>
      </c>
      <c r="N314" s="4" t="str">
        <f>IF(folha1[[#This Row],[Participação (%)]]=100,"BASE PRÓPRIA","BASE POOL")</f>
        <v>BASE PRÓPRIA</v>
      </c>
      <c r="O314" s="3" t="s">
        <v>1237</v>
      </c>
      <c r="P314" s="5">
        <v>40718</v>
      </c>
    </row>
    <row r="315" spans="1:16" ht="19.95" customHeight="1" thickBot="1" x14ac:dyDescent="0.35">
      <c r="A315" s="3" t="s">
        <v>1361</v>
      </c>
      <c r="B315" s="3" t="s">
        <v>1182</v>
      </c>
      <c r="C315" s="6" t="str">
        <f>VLOOKUP(folha1[[#This Row],[Razão Social]],Planilha1!A:C,2,0)</f>
        <v>IPIRANGA PRODUTOS DE PETRÓLEO S.A</v>
      </c>
      <c r="D315" s="3" t="s">
        <v>15</v>
      </c>
      <c r="E315" s="6" t="str">
        <f>VLOOKUP(folha1[[#This Row],[Razão Social]],Planilha1!A:C,3,0)</f>
        <v>MAJOR</v>
      </c>
      <c r="F315" s="3" t="s">
        <v>107</v>
      </c>
      <c r="G315" s="3" t="s">
        <v>176</v>
      </c>
      <c r="H315" s="3" t="s">
        <v>109</v>
      </c>
      <c r="I315" s="3"/>
      <c r="J315" s="3" t="s">
        <v>111</v>
      </c>
      <c r="K315" s="3" t="s">
        <v>68</v>
      </c>
      <c r="L315" s="4">
        <v>6696.12</v>
      </c>
      <c r="M315" s="4">
        <v>100</v>
      </c>
      <c r="N315" s="4" t="str">
        <f>IF(folha1[[#This Row],[Participação (%)]]=100,"BASE PRÓPRIA","BASE POOL")</f>
        <v>BASE PRÓPRIA</v>
      </c>
      <c r="O315" s="3" t="s">
        <v>1362</v>
      </c>
      <c r="P315" s="5">
        <v>42514</v>
      </c>
    </row>
    <row r="316" spans="1:16" ht="19.95" customHeight="1" thickBot="1" x14ac:dyDescent="0.35">
      <c r="A316" s="3" t="s">
        <v>1363</v>
      </c>
      <c r="B316" s="3" t="s">
        <v>1182</v>
      </c>
      <c r="C316" s="6" t="str">
        <f>VLOOKUP(folha1[[#This Row],[Razão Social]],Planilha1!A:C,2,0)</f>
        <v>IPIRANGA PRODUTOS DE PETRÓLEO S.A</v>
      </c>
      <c r="D316" s="3" t="s">
        <v>15</v>
      </c>
      <c r="E316" s="6" t="str">
        <f>VLOOKUP(folha1[[#This Row],[Razão Social]],Planilha1!A:C,3,0)</f>
        <v>MAJOR</v>
      </c>
      <c r="F316" s="3" t="s">
        <v>1364</v>
      </c>
      <c r="G316" s="3" t="s">
        <v>64</v>
      </c>
      <c r="H316" s="3" t="s">
        <v>1365</v>
      </c>
      <c r="I316" s="3" t="s">
        <v>1366</v>
      </c>
      <c r="J316" s="3" t="s">
        <v>1130</v>
      </c>
      <c r="K316" s="3" t="s">
        <v>28</v>
      </c>
      <c r="L316" s="4">
        <v>43691</v>
      </c>
      <c r="M316" s="4">
        <v>20.62</v>
      </c>
      <c r="N316" s="4" t="str">
        <f>IF(folha1[[#This Row],[Participação (%)]]=100,"BASE PRÓPRIA","BASE POOL")</f>
        <v>BASE POOL</v>
      </c>
      <c r="O316" s="3" t="s">
        <v>1367</v>
      </c>
      <c r="P316" s="5">
        <v>44201</v>
      </c>
    </row>
    <row r="317" spans="1:16" ht="19.95" customHeight="1" thickBot="1" x14ac:dyDescent="0.35">
      <c r="A317" s="3" t="s">
        <v>1368</v>
      </c>
      <c r="B317" s="3" t="s">
        <v>1182</v>
      </c>
      <c r="C317" s="6" t="str">
        <f>VLOOKUP(folha1[[#This Row],[Razão Social]],Planilha1!A:C,2,0)</f>
        <v>IPIRANGA PRODUTOS DE PETRÓLEO S.A</v>
      </c>
      <c r="D317" s="3" t="s">
        <v>15</v>
      </c>
      <c r="E317" s="6" t="str">
        <f>VLOOKUP(folha1[[#This Row],[Razão Social]],Planilha1!A:C,3,0)</f>
        <v>MAJOR</v>
      </c>
      <c r="F317" s="3" t="s">
        <v>1369</v>
      </c>
      <c r="G317" s="3" t="s">
        <v>64</v>
      </c>
      <c r="H317" s="3" t="s">
        <v>1370</v>
      </c>
      <c r="I317" s="3" t="s">
        <v>1371</v>
      </c>
      <c r="J317" s="3" t="s">
        <v>1372</v>
      </c>
      <c r="K317" s="3" t="s">
        <v>887</v>
      </c>
      <c r="L317" s="4">
        <v>222118</v>
      </c>
      <c r="M317" s="4">
        <v>19.010000000000002</v>
      </c>
      <c r="N317" s="4" t="str">
        <f>IF(folha1[[#This Row],[Participação (%)]]=100,"BASE PRÓPRIA","BASE POOL")</f>
        <v>BASE POOL</v>
      </c>
      <c r="O317" s="3" t="s">
        <v>1373</v>
      </c>
      <c r="P317" s="5">
        <v>46015</v>
      </c>
    </row>
    <row r="318" spans="1:16" ht="19.95" customHeight="1" thickBot="1" x14ac:dyDescent="0.35">
      <c r="A318" s="3" t="s">
        <v>1374</v>
      </c>
      <c r="B318" s="3" t="s">
        <v>1182</v>
      </c>
      <c r="C318" s="6" t="str">
        <f>VLOOKUP(folha1[[#This Row],[Razão Social]],Planilha1!A:C,2,0)</f>
        <v>IPIRANGA PRODUTOS DE PETRÓLEO S.A</v>
      </c>
      <c r="D318" s="3" t="s">
        <v>15</v>
      </c>
      <c r="E318" s="6" t="str">
        <f>VLOOKUP(folha1[[#This Row],[Razão Social]],Planilha1!A:C,3,0)</f>
        <v>MAJOR</v>
      </c>
      <c r="F318" s="3" t="s">
        <v>775</v>
      </c>
      <c r="G318" s="3" t="s">
        <v>64</v>
      </c>
      <c r="H318" s="3" t="s">
        <v>776</v>
      </c>
      <c r="I318" s="3" t="s">
        <v>777</v>
      </c>
      <c r="J318" s="3" t="s">
        <v>778</v>
      </c>
      <c r="K318" s="3" t="s">
        <v>162</v>
      </c>
      <c r="L318" s="4">
        <v>16369.48</v>
      </c>
      <c r="M318" s="4">
        <v>27.72</v>
      </c>
      <c r="N318" s="4" t="str">
        <f>IF(folha1[[#This Row],[Participação (%)]]=100,"BASE PRÓPRIA","BASE POOL")</f>
        <v>BASE POOL</v>
      </c>
      <c r="O318" s="3"/>
      <c r="P318" s="5"/>
    </row>
    <row r="319" spans="1:16" ht="19.95" customHeight="1" thickBot="1" x14ac:dyDescent="0.35">
      <c r="A319" s="3" t="s">
        <v>1375</v>
      </c>
      <c r="B319" s="3" t="s">
        <v>1182</v>
      </c>
      <c r="C319" s="6" t="str">
        <f>VLOOKUP(folha1[[#This Row],[Razão Social]],Planilha1!A:C,2,0)</f>
        <v>IPIRANGA PRODUTOS DE PETRÓLEO S.A</v>
      </c>
      <c r="D319" s="3" t="s">
        <v>15</v>
      </c>
      <c r="E319" s="6" t="str">
        <f>VLOOKUP(folha1[[#This Row],[Razão Social]],Planilha1!A:C,3,0)</f>
        <v>MAJOR</v>
      </c>
      <c r="F319" s="3" t="s">
        <v>1376</v>
      </c>
      <c r="G319" s="3" t="s">
        <v>64</v>
      </c>
      <c r="H319" s="3" t="s">
        <v>1377</v>
      </c>
      <c r="I319" s="3" t="s">
        <v>1378</v>
      </c>
      <c r="J319" s="3" t="s">
        <v>215</v>
      </c>
      <c r="K319" s="3" t="s">
        <v>87</v>
      </c>
      <c r="L319" s="4">
        <v>19498.990000000002</v>
      </c>
      <c r="M319" s="4">
        <v>100</v>
      </c>
      <c r="N319" s="4" t="str">
        <f>IF(folha1[[#This Row],[Participação (%)]]=100,"BASE PRÓPRIA","BASE POOL")</f>
        <v>BASE PRÓPRIA</v>
      </c>
      <c r="O319" s="3" t="s">
        <v>1379</v>
      </c>
      <c r="P319" s="5">
        <v>45659</v>
      </c>
    </row>
    <row r="320" spans="1:16" ht="19.95" customHeight="1" thickBot="1" x14ac:dyDescent="0.35">
      <c r="A320" s="3" t="s">
        <v>1380</v>
      </c>
      <c r="B320" s="3" t="s">
        <v>1182</v>
      </c>
      <c r="C320" s="6" t="str">
        <f>VLOOKUP(folha1[[#This Row],[Razão Social]],Planilha1!A:C,2,0)</f>
        <v>IPIRANGA PRODUTOS DE PETRÓLEO S.A</v>
      </c>
      <c r="D320" s="3" t="s">
        <v>15</v>
      </c>
      <c r="E320" s="6" t="str">
        <f>VLOOKUP(folha1[[#This Row],[Razão Social]],Planilha1!A:C,3,0)</f>
        <v>MAJOR</v>
      </c>
      <c r="F320" s="3" t="s">
        <v>1381</v>
      </c>
      <c r="G320" s="3" t="s">
        <v>1122</v>
      </c>
      <c r="H320" s="3" t="s">
        <v>1266</v>
      </c>
      <c r="I320" s="3" t="s">
        <v>1382</v>
      </c>
      <c r="J320" s="3" t="s">
        <v>797</v>
      </c>
      <c r="K320" s="3" t="s">
        <v>798</v>
      </c>
      <c r="L320" s="4">
        <v>35718</v>
      </c>
      <c r="M320" s="4">
        <v>100</v>
      </c>
      <c r="N320" s="4" t="str">
        <f>IF(folha1[[#This Row],[Participação (%)]]=100,"BASE PRÓPRIA","BASE POOL")</f>
        <v>BASE PRÓPRIA</v>
      </c>
      <c r="O320" s="3" t="s">
        <v>1383</v>
      </c>
      <c r="P320" s="5">
        <v>43447</v>
      </c>
    </row>
    <row r="321" spans="1:16" ht="19.95" customHeight="1" thickBot="1" x14ac:dyDescent="0.35">
      <c r="A321" s="3" t="s">
        <v>1384</v>
      </c>
      <c r="B321" s="3" t="s">
        <v>1182</v>
      </c>
      <c r="C321" s="6" t="str">
        <f>VLOOKUP(folha1[[#This Row],[Razão Social]],Planilha1!A:C,2,0)</f>
        <v>IPIRANGA PRODUTOS DE PETRÓLEO S.A</v>
      </c>
      <c r="D321" s="3" t="s">
        <v>15</v>
      </c>
      <c r="E321" s="6" t="str">
        <f>VLOOKUP(folha1[[#This Row],[Razão Social]],Planilha1!A:C,3,0)</f>
        <v>MAJOR</v>
      </c>
      <c r="F321" s="3" t="s">
        <v>555</v>
      </c>
      <c r="G321" s="3" t="s">
        <v>540</v>
      </c>
      <c r="H321" s="3" t="s">
        <v>1385</v>
      </c>
      <c r="I321" s="3"/>
      <c r="J321" s="3" t="s">
        <v>343</v>
      </c>
      <c r="K321" s="3" t="s">
        <v>139</v>
      </c>
      <c r="L321" s="4">
        <v>12925</v>
      </c>
      <c r="M321" s="4">
        <v>55.33</v>
      </c>
      <c r="N321" s="4" t="str">
        <f>IF(folha1[[#This Row],[Participação (%)]]=100,"BASE PRÓPRIA","BASE POOL")</f>
        <v>BASE POOL</v>
      </c>
      <c r="O321" s="3" t="s">
        <v>108</v>
      </c>
      <c r="P321" s="5">
        <v>45379</v>
      </c>
    </row>
    <row r="322" spans="1:16" ht="19.95" customHeight="1" thickBot="1" x14ac:dyDescent="0.35">
      <c r="A322" s="3" t="s">
        <v>1386</v>
      </c>
      <c r="B322" s="3" t="s">
        <v>1182</v>
      </c>
      <c r="C322" s="6" t="str">
        <f>VLOOKUP(folha1[[#This Row],[Razão Social]],Planilha1!A:C,2,0)</f>
        <v>IPIRANGA PRODUTOS DE PETRÓLEO S.A</v>
      </c>
      <c r="D322" s="3" t="s">
        <v>15</v>
      </c>
      <c r="E322" s="6" t="str">
        <f>VLOOKUP(folha1[[#This Row],[Razão Social]],Planilha1!A:C,3,0)</f>
        <v>MAJOR</v>
      </c>
      <c r="F322" s="3" t="s">
        <v>454</v>
      </c>
      <c r="G322" s="3" t="s">
        <v>455</v>
      </c>
      <c r="H322" s="3" t="s">
        <v>456</v>
      </c>
      <c r="I322" s="3"/>
      <c r="J322" s="3" t="s">
        <v>36</v>
      </c>
      <c r="K322" s="3" t="s">
        <v>37</v>
      </c>
      <c r="L322" s="4">
        <v>14961.43</v>
      </c>
      <c r="M322" s="4">
        <v>71.05</v>
      </c>
      <c r="N322" s="4" t="str">
        <f>IF(folha1[[#This Row],[Participação (%)]]=100,"BASE PRÓPRIA","BASE POOL")</f>
        <v>BASE POOL</v>
      </c>
      <c r="O322" s="3" t="s">
        <v>457</v>
      </c>
      <c r="P322" s="5">
        <v>42129</v>
      </c>
    </row>
    <row r="323" spans="1:16" ht="19.95" customHeight="1" thickBot="1" x14ac:dyDescent="0.35">
      <c r="A323" s="3" t="s">
        <v>1387</v>
      </c>
      <c r="B323" s="3" t="s">
        <v>1182</v>
      </c>
      <c r="C323" s="6" t="str">
        <f>VLOOKUP(folha1[[#This Row],[Razão Social]],Planilha1!A:C,2,0)</f>
        <v>IPIRANGA PRODUTOS DE PETRÓLEO S.A</v>
      </c>
      <c r="D323" s="3" t="s">
        <v>15</v>
      </c>
      <c r="E323" s="6" t="str">
        <f>VLOOKUP(folha1[[#This Row],[Razão Social]],Planilha1!A:C,3,0)</f>
        <v>MAJOR</v>
      </c>
      <c r="F323" s="3" t="s">
        <v>1388</v>
      </c>
      <c r="G323" s="3" t="s">
        <v>1389</v>
      </c>
      <c r="H323" s="3" t="s">
        <v>124</v>
      </c>
      <c r="I323" s="3"/>
      <c r="J323" s="3" t="s">
        <v>126</v>
      </c>
      <c r="K323" s="3" t="s">
        <v>87</v>
      </c>
      <c r="L323" s="4">
        <v>19612</v>
      </c>
      <c r="M323" s="4">
        <v>42.85</v>
      </c>
      <c r="N323" s="4" t="str">
        <f>IF(folha1[[#This Row],[Participação (%)]]=100,"BASE PRÓPRIA","BASE POOL")</f>
        <v>BASE POOL</v>
      </c>
      <c r="O323" s="3" t="s">
        <v>1390</v>
      </c>
      <c r="P323" s="5">
        <v>45313</v>
      </c>
    </row>
    <row r="324" spans="1:16" ht="19.95" customHeight="1" thickBot="1" x14ac:dyDescent="0.35">
      <c r="A324" s="3" t="s">
        <v>1391</v>
      </c>
      <c r="B324" s="3" t="s">
        <v>1392</v>
      </c>
      <c r="C324" s="6" t="str">
        <f>VLOOKUP(folha1[[#This Row],[Razão Social]],Planilha1!A:C,2,0)</f>
        <v xml:space="preserve">RAIZEN </v>
      </c>
      <c r="D324" s="3" t="s">
        <v>15</v>
      </c>
      <c r="E324" s="6" t="str">
        <f>VLOOKUP(folha1[[#This Row],[Razão Social]],Planilha1!A:C,3,0)</f>
        <v>MAJOR</v>
      </c>
      <c r="F324" s="3" t="s">
        <v>1276</v>
      </c>
      <c r="G324" s="3" t="s">
        <v>103</v>
      </c>
      <c r="H324" s="3" t="s">
        <v>1277</v>
      </c>
      <c r="I324" s="3" t="s">
        <v>1277</v>
      </c>
      <c r="J324" s="3" t="s">
        <v>1278</v>
      </c>
      <c r="K324" s="3" t="s">
        <v>798</v>
      </c>
      <c r="L324" s="4">
        <v>9903.5300000000007</v>
      </c>
      <c r="M324" s="4">
        <v>17.8</v>
      </c>
      <c r="N324" s="4" t="str">
        <f>IF(folha1[[#This Row],[Participação (%)]]=100,"BASE PRÓPRIA","BASE POOL")</f>
        <v>BASE POOL</v>
      </c>
      <c r="O324" s="3" t="s">
        <v>1279</v>
      </c>
      <c r="P324" s="5">
        <v>42717</v>
      </c>
    </row>
    <row r="325" spans="1:16" ht="19.95" customHeight="1" thickBot="1" x14ac:dyDescent="0.35">
      <c r="A325" s="3" t="s">
        <v>1393</v>
      </c>
      <c r="B325" s="3" t="s">
        <v>1392</v>
      </c>
      <c r="C325" s="6" t="str">
        <f>VLOOKUP(folha1[[#This Row],[Razão Social]],Planilha1!A:C,2,0)</f>
        <v xml:space="preserve">RAIZEN </v>
      </c>
      <c r="D325" s="3" t="s">
        <v>15</v>
      </c>
      <c r="E325" s="6" t="str">
        <f>VLOOKUP(folha1[[#This Row],[Razão Social]],Planilha1!A:C,3,0)</f>
        <v>MAJOR</v>
      </c>
      <c r="F325" s="3" t="s">
        <v>1381</v>
      </c>
      <c r="G325" s="3" t="s">
        <v>425</v>
      </c>
      <c r="H325" s="3" t="s">
        <v>1394</v>
      </c>
      <c r="I325" s="3"/>
      <c r="J325" s="3" t="s">
        <v>797</v>
      </c>
      <c r="K325" s="3" t="s">
        <v>798</v>
      </c>
      <c r="L325" s="4">
        <v>72118.149999999994</v>
      </c>
      <c r="M325" s="4">
        <v>100</v>
      </c>
      <c r="N325" s="4" t="str">
        <f>IF(folha1[[#This Row],[Participação (%)]]=100,"BASE PRÓPRIA","BASE POOL")</f>
        <v>BASE PRÓPRIA</v>
      </c>
      <c r="O325" s="3" t="s">
        <v>629</v>
      </c>
      <c r="P325" s="5">
        <v>42731</v>
      </c>
    </row>
    <row r="326" spans="1:16" ht="19.95" customHeight="1" thickBot="1" x14ac:dyDescent="0.35">
      <c r="A326" s="3" t="s">
        <v>1395</v>
      </c>
      <c r="B326" s="3" t="s">
        <v>1392</v>
      </c>
      <c r="C326" s="6" t="str">
        <f>VLOOKUP(folha1[[#This Row],[Razão Social]],Planilha1!A:C,2,0)</f>
        <v xml:space="preserve">RAIZEN </v>
      </c>
      <c r="D326" s="3" t="s">
        <v>15</v>
      </c>
      <c r="E326" s="6" t="str">
        <f>VLOOKUP(folha1[[#This Row],[Razão Social]],Planilha1!A:C,3,0)</f>
        <v>MAJOR</v>
      </c>
      <c r="F326" s="3" t="s">
        <v>1006</v>
      </c>
      <c r="G326" s="3" t="s">
        <v>1396</v>
      </c>
      <c r="H326" s="3" t="s">
        <v>1397</v>
      </c>
      <c r="I326" s="3"/>
      <c r="J326" s="3" t="s">
        <v>728</v>
      </c>
      <c r="K326" s="3" t="s">
        <v>20</v>
      </c>
      <c r="L326" s="4">
        <v>11705.2</v>
      </c>
      <c r="M326" s="4">
        <v>100</v>
      </c>
      <c r="N326" s="4" t="str">
        <f>IF(folha1[[#This Row],[Participação (%)]]=100,"BASE PRÓPRIA","BASE POOL")</f>
        <v>BASE PRÓPRIA</v>
      </c>
      <c r="O326" s="3" t="s">
        <v>1398</v>
      </c>
      <c r="P326" s="5">
        <v>42459</v>
      </c>
    </row>
    <row r="327" spans="1:16" ht="19.95" customHeight="1" thickBot="1" x14ac:dyDescent="0.35">
      <c r="A327" s="3" t="s">
        <v>1399</v>
      </c>
      <c r="B327" s="3" t="s">
        <v>1392</v>
      </c>
      <c r="C327" s="6" t="str">
        <f>VLOOKUP(folha1[[#This Row],[Razão Social]],Planilha1!A:C,2,0)</f>
        <v xml:space="preserve">RAIZEN </v>
      </c>
      <c r="D327" s="3" t="s">
        <v>15</v>
      </c>
      <c r="E327" s="6" t="str">
        <f>VLOOKUP(folha1[[#This Row],[Razão Social]],Planilha1!A:C,3,0)</f>
        <v>MAJOR</v>
      </c>
      <c r="F327" s="3" t="s">
        <v>271</v>
      </c>
      <c r="G327" s="3" t="s">
        <v>272</v>
      </c>
      <c r="H327" s="3" t="s">
        <v>273</v>
      </c>
      <c r="I327" s="3"/>
      <c r="J327" s="3" t="s">
        <v>274</v>
      </c>
      <c r="K327" s="3" t="s">
        <v>275</v>
      </c>
      <c r="L327" s="4">
        <v>50709.51</v>
      </c>
      <c r="M327" s="4">
        <v>98.53</v>
      </c>
      <c r="N327" s="4" t="str">
        <f>IF(folha1[[#This Row],[Participação (%)]]=100,"BASE PRÓPRIA","BASE POOL")</f>
        <v>BASE POOL</v>
      </c>
      <c r="O327" s="3" t="s">
        <v>276</v>
      </c>
      <c r="P327" s="5">
        <v>44652</v>
      </c>
    </row>
    <row r="328" spans="1:16" ht="19.95" customHeight="1" thickBot="1" x14ac:dyDescent="0.35">
      <c r="A328" s="3" t="s">
        <v>1400</v>
      </c>
      <c r="B328" s="3" t="s">
        <v>1392</v>
      </c>
      <c r="C328" s="6" t="str">
        <f>VLOOKUP(folha1[[#This Row],[Razão Social]],Planilha1!A:C,2,0)</f>
        <v xml:space="preserve">RAIZEN </v>
      </c>
      <c r="D328" s="3" t="s">
        <v>15</v>
      </c>
      <c r="E328" s="6" t="str">
        <f>VLOOKUP(folha1[[#This Row],[Razão Social]],Planilha1!A:C,3,0)</f>
        <v>MAJOR</v>
      </c>
      <c r="F328" s="3" t="s">
        <v>1401</v>
      </c>
      <c r="G328" s="3" t="s">
        <v>64</v>
      </c>
      <c r="H328" s="3" t="s">
        <v>1255</v>
      </c>
      <c r="I328" s="3" t="s">
        <v>1402</v>
      </c>
      <c r="J328" s="3" t="s">
        <v>1257</v>
      </c>
      <c r="K328" s="3" t="s">
        <v>87</v>
      </c>
      <c r="L328" s="4">
        <v>3273.96</v>
      </c>
      <c r="M328" s="4">
        <v>100</v>
      </c>
      <c r="N328" s="4" t="str">
        <f>IF(folha1[[#This Row],[Participação (%)]]=100,"BASE PRÓPRIA","BASE POOL")</f>
        <v>BASE PRÓPRIA</v>
      </c>
      <c r="O328" s="3" t="s">
        <v>1403</v>
      </c>
      <c r="P328" s="5">
        <v>41151</v>
      </c>
    </row>
    <row r="329" spans="1:16" ht="19.95" customHeight="1" thickBot="1" x14ac:dyDescent="0.35">
      <c r="A329" s="3" t="s">
        <v>1404</v>
      </c>
      <c r="B329" s="3" t="s">
        <v>1392</v>
      </c>
      <c r="C329" s="6" t="str">
        <f>VLOOKUP(folha1[[#This Row],[Razão Social]],Planilha1!A:C,2,0)</f>
        <v xml:space="preserve">RAIZEN </v>
      </c>
      <c r="D329" s="3" t="s">
        <v>15</v>
      </c>
      <c r="E329" s="6" t="str">
        <f>VLOOKUP(folha1[[#This Row],[Razão Social]],Planilha1!A:C,3,0)</f>
        <v>MAJOR</v>
      </c>
      <c r="F329" s="3" t="s">
        <v>1405</v>
      </c>
      <c r="G329" s="3" t="s">
        <v>1367</v>
      </c>
      <c r="H329" s="3" t="s">
        <v>597</v>
      </c>
      <c r="I329" s="3"/>
      <c r="J329" s="3" t="s">
        <v>1220</v>
      </c>
      <c r="K329" s="3" t="s">
        <v>20</v>
      </c>
      <c r="L329" s="4">
        <v>41207.11</v>
      </c>
      <c r="M329" s="4">
        <v>100</v>
      </c>
      <c r="N329" s="4" t="str">
        <f>IF(folha1[[#This Row],[Participação (%)]]=100,"BASE PRÓPRIA","BASE POOL")</f>
        <v>BASE PRÓPRIA</v>
      </c>
      <c r="O329" s="3" t="s">
        <v>1406</v>
      </c>
      <c r="P329" s="5">
        <v>45260</v>
      </c>
    </row>
    <row r="330" spans="1:16" ht="19.95" customHeight="1" thickBot="1" x14ac:dyDescent="0.35">
      <c r="A330" s="3" t="s">
        <v>1407</v>
      </c>
      <c r="B330" s="3" t="s">
        <v>1392</v>
      </c>
      <c r="C330" s="6" t="str">
        <f>VLOOKUP(folha1[[#This Row],[Razão Social]],Planilha1!A:C,2,0)</f>
        <v xml:space="preserve">RAIZEN </v>
      </c>
      <c r="D330" s="3" t="s">
        <v>15</v>
      </c>
      <c r="E330" s="6" t="str">
        <f>VLOOKUP(folha1[[#This Row],[Razão Social]],Planilha1!A:C,3,0)</f>
        <v>MAJOR</v>
      </c>
      <c r="F330" s="3" t="s">
        <v>1265</v>
      </c>
      <c r="G330" s="3" t="s">
        <v>64</v>
      </c>
      <c r="H330" s="3" t="s">
        <v>1266</v>
      </c>
      <c r="I330" s="3" t="s">
        <v>1267</v>
      </c>
      <c r="J330" s="3" t="s">
        <v>797</v>
      </c>
      <c r="K330" s="3" t="s">
        <v>798</v>
      </c>
      <c r="L330" s="4">
        <v>32767.119999999999</v>
      </c>
      <c r="M330" s="4">
        <v>50</v>
      </c>
      <c r="N330" s="4" t="str">
        <f>IF(folha1[[#This Row],[Participação (%)]]=100,"BASE PRÓPRIA","BASE POOL")</f>
        <v>BASE POOL</v>
      </c>
      <c r="O330" s="3" t="s">
        <v>457</v>
      </c>
      <c r="P330" s="5">
        <v>41891</v>
      </c>
    </row>
    <row r="331" spans="1:16" ht="19.95" customHeight="1" thickBot="1" x14ac:dyDescent="0.35">
      <c r="A331" s="3" t="s">
        <v>1408</v>
      </c>
      <c r="B331" s="3" t="s">
        <v>1392</v>
      </c>
      <c r="C331" s="6" t="str">
        <f>VLOOKUP(folha1[[#This Row],[Razão Social]],Planilha1!A:C,2,0)</f>
        <v xml:space="preserve">RAIZEN </v>
      </c>
      <c r="D331" s="3" t="s">
        <v>15</v>
      </c>
      <c r="E331" s="6" t="str">
        <f>VLOOKUP(folha1[[#This Row],[Razão Social]],Planilha1!A:C,3,0)</f>
        <v>MAJOR</v>
      </c>
      <c r="F331" s="3" t="s">
        <v>1339</v>
      </c>
      <c r="G331" s="3" t="s">
        <v>24</v>
      </c>
      <c r="H331" s="3" t="s">
        <v>1340</v>
      </c>
      <c r="I331" s="3" t="s">
        <v>1341</v>
      </c>
      <c r="J331" s="3" t="s">
        <v>43</v>
      </c>
      <c r="K331" s="3" t="s">
        <v>44</v>
      </c>
      <c r="L331" s="4">
        <v>181687.1</v>
      </c>
      <c r="M331" s="4">
        <v>33.33</v>
      </c>
      <c r="N331" s="4" t="str">
        <f>IF(folha1[[#This Row],[Participação (%)]]=100,"BASE PRÓPRIA","BASE POOL")</f>
        <v>BASE POOL</v>
      </c>
      <c r="O331" s="3" t="s">
        <v>1342</v>
      </c>
      <c r="P331" s="5">
        <v>44231</v>
      </c>
    </row>
    <row r="332" spans="1:16" ht="19.95" customHeight="1" thickBot="1" x14ac:dyDescent="0.35">
      <c r="A332" s="3" t="s">
        <v>1409</v>
      </c>
      <c r="B332" s="3" t="s">
        <v>1392</v>
      </c>
      <c r="C332" s="6" t="str">
        <f>VLOOKUP(folha1[[#This Row],[Razão Social]],Planilha1!A:C,2,0)</f>
        <v xml:space="preserve">RAIZEN </v>
      </c>
      <c r="D332" s="3" t="s">
        <v>15</v>
      </c>
      <c r="E332" s="6" t="str">
        <f>VLOOKUP(folha1[[#This Row],[Razão Social]],Planilha1!A:C,3,0)</f>
        <v>MAJOR</v>
      </c>
      <c r="F332" s="3" t="s">
        <v>1213</v>
      </c>
      <c r="G332" s="3" t="s">
        <v>1214</v>
      </c>
      <c r="H332" s="3" t="s">
        <v>1215</v>
      </c>
      <c r="I332" s="3"/>
      <c r="J332" s="3" t="s">
        <v>1041</v>
      </c>
      <c r="K332" s="3" t="s">
        <v>44</v>
      </c>
      <c r="L332" s="4">
        <v>10077.08</v>
      </c>
      <c r="M332" s="4">
        <v>29.78</v>
      </c>
      <c r="N332" s="4" t="str">
        <f>IF(folha1[[#This Row],[Participação (%)]]=100,"BASE PRÓPRIA","BASE POOL")</f>
        <v>BASE POOL</v>
      </c>
      <c r="O332" s="3" t="s">
        <v>1216</v>
      </c>
      <c r="P332" s="5">
        <v>41369</v>
      </c>
    </row>
    <row r="333" spans="1:16" ht="19.95" customHeight="1" thickBot="1" x14ac:dyDescent="0.35">
      <c r="A333" s="3" t="s">
        <v>1410</v>
      </c>
      <c r="B333" s="3" t="s">
        <v>1392</v>
      </c>
      <c r="C333" s="6" t="str">
        <f>VLOOKUP(folha1[[#This Row],[Razão Social]],Planilha1!A:C,2,0)</f>
        <v xml:space="preserve">RAIZEN </v>
      </c>
      <c r="D333" s="3" t="s">
        <v>15</v>
      </c>
      <c r="E333" s="6" t="str">
        <f>VLOOKUP(folha1[[#This Row],[Razão Social]],Planilha1!A:C,3,0)</f>
        <v>MAJOR</v>
      </c>
      <c r="F333" s="3" t="s">
        <v>1248</v>
      </c>
      <c r="G333" s="3" t="s">
        <v>1249</v>
      </c>
      <c r="H333" s="3" t="s">
        <v>1250</v>
      </c>
      <c r="I333" s="3" t="s">
        <v>1251</v>
      </c>
      <c r="J333" s="3" t="s">
        <v>1252</v>
      </c>
      <c r="K333" s="3" t="s">
        <v>59</v>
      </c>
      <c r="L333" s="4">
        <v>22918.14</v>
      </c>
      <c r="M333" s="4">
        <v>10.91</v>
      </c>
      <c r="N333" s="4" t="str">
        <f>IF(folha1[[#This Row],[Participação (%)]]=100,"BASE PRÓPRIA","BASE POOL")</f>
        <v>BASE POOL</v>
      </c>
      <c r="O333" s="3" t="s">
        <v>400</v>
      </c>
      <c r="P333" s="5">
        <v>42550</v>
      </c>
    </row>
    <row r="334" spans="1:16" ht="19.95" customHeight="1" thickBot="1" x14ac:dyDescent="0.35">
      <c r="A334" s="3" t="s">
        <v>1411</v>
      </c>
      <c r="B334" s="3" t="s">
        <v>1392</v>
      </c>
      <c r="C334" s="6" t="str">
        <f>VLOOKUP(folha1[[#This Row],[Razão Social]],Planilha1!A:C,2,0)</f>
        <v xml:space="preserve">RAIZEN </v>
      </c>
      <c r="D334" s="3" t="s">
        <v>15</v>
      </c>
      <c r="E334" s="6" t="str">
        <f>VLOOKUP(folha1[[#This Row],[Razão Social]],Planilha1!A:C,3,0)</f>
        <v>MAJOR</v>
      </c>
      <c r="F334" s="3" t="s">
        <v>1412</v>
      </c>
      <c r="G334" s="3" t="s">
        <v>24</v>
      </c>
      <c r="H334" s="3" t="s">
        <v>1413</v>
      </c>
      <c r="I334" s="3" t="s">
        <v>1360</v>
      </c>
      <c r="J334" s="3" t="s">
        <v>1414</v>
      </c>
      <c r="K334" s="3" t="s">
        <v>20</v>
      </c>
      <c r="L334" s="4">
        <v>9078.89</v>
      </c>
      <c r="M334" s="4">
        <v>100</v>
      </c>
      <c r="N334" s="4" t="str">
        <f>IF(folha1[[#This Row],[Participação (%)]]=100,"BASE PRÓPRIA","BASE POOL")</f>
        <v>BASE PRÓPRIA</v>
      </c>
      <c r="O334" s="3" t="s">
        <v>1415</v>
      </c>
      <c r="P334" s="5">
        <v>45842</v>
      </c>
    </row>
    <row r="335" spans="1:16" ht="19.95" customHeight="1" thickBot="1" x14ac:dyDescent="0.35">
      <c r="A335" s="3" t="s">
        <v>1416</v>
      </c>
      <c r="B335" s="3" t="s">
        <v>1392</v>
      </c>
      <c r="C335" s="6" t="str">
        <f>VLOOKUP(folha1[[#This Row],[Razão Social]],Planilha1!A:C,2,0)</f>
        <v xml:space="preserve">RAIZEN </v>
      </c>
      <c r="D335" s="3" t="s">
        <v>15</v>
      </c>
      <c r="E335" s="6" t="str">
        <f>VLOOKUP(folha1[[#This Row],[Razão Social]],Planilha1!A:C,3,0)</f>
        <v>MAJOR</v>
      </c>
      <c r="F335" s="3" t="s">
        <v>1297</v>
      </c>
      <c r="G335" s="3" t="s">
        <v>103</v>
      </c>
      <c r="H335" s="3" t="s">
        <v>1298</v>
      </c>
      <c r="I335" s="3" t="s">
        <v>1299</v>
      </c>
      <c r="J335" s="3" t="s">
        <v>215</v>
      </c>
      <c r="K335" s="3" t="s">
        <v>87</v>
      </c>
      <c r="L335" s="4">
        <v>21160.83</v>
      </c>
      <c r="M335" s="4">
        <v>55</v>
      </c>
      <c r="N335" s="4" t="str">
        <f>IF(folha1[[#This Row],[Participação (%)]]=100,"BASE PRÓPRIA","BASE POOL")</f>
        <v>BASE POOL</v>
      </c>
      <c r="O335" s="3" t="s">
        <v>1300</v>
      </c>
      <c r="P335" s="5">
        <v>45146</v>
      </c>
    </row>
    <row r="336" spans="1:16" ht="19.95" customHeight="1" thickBot="1" x14ac:dyDescent="0.35">
      <c r="A336" s="3" t="s">
        <v>1417</v>
      </c>
      <c r="B336" s="3" t="s">
        <v>1392</v>
      </c>
      <c r="C336" s="6" t="str">
        <f>VLOOKUP(folha1[[#This Row],[Razão Social]],Planilha1!A:C,2,0)</f>
        <v xml:space="preserve">RAIZEN </v>
      </c>
      <c r="D336" s="3" t="s">
        <v>15</v>
      </c>
      <c r="E336" s="6" t="str">
        <f>VLOOKUP(folha1[[#This Row],[Razão Social]],Planilha1!A:C,3,0)</f>
        <v>MAJOR</v>
      </c>
      <c r="F336" s="3" t="s">
        <v>1418</v>
      </c>
      <c r="G336" s="3" t="s">
        <v>103</v>
      </c>
      <c r="H336" s="3" t="s">
        <v>1000</v>
      </c>
      <c r="I336" s="3" t="s">
        <v>1419</v>
      </c>
      <c r="J336" s="3" t="s">
        <v>198</v>
      </c>
      <c r="K336" s="3" t="s">
        <v>199</v>
      </c>
      <c r="L336" s="4">
        <v>13764.99</v>
      </c>
      <c r="M336" s="4">
        <v>100</v>
      </c>
      <c r="N336" s="4" t="str">
        <f>IF(folha1[[#This Row],[Participação (%)]]=100,"BASE PRÓPRIA","BASE POOL")</f>
        <v>BASE PRÓPRIA</v>
      </c>
      <c r="O336" s="3" t="s">
        <v>524</v>
      </c>
      <c r="P336" s="5">
        <v>44174</v>
      </c>
    </row>
    <row r="337" spans="1:16" ht="19.95" customHeight="1" thickBot="1" x14ac:dyDescent="0.35">
      <c r="A337" s="3" t="s">
        <v>1420</v>
      </c>
      <c r="B337" s="3" t="s">
        <v>1392</v>
      </c>
      <c r="C337" s="6" t="str">
        <f>VLOOKUP(folha1[[#This Row],[Razão Social]],Planilha1!A:C,2,0)</f>
        <v xml:space="preserve">RAIZEN </v>
      </c>
      <c r="D337" s="3" t="s">
        <v>15</v>
      </c>
      <c r="E337" s="6" t="str">
        <f>VLOOKUP(folha1[[#This Row],[Razão Social]],Planilha1!A:C,3,0)</f>
        <v>MAJOR</v>
      </c>
      <c r="F337" s="3" t="s">
        <v>643</v>
      </c>
      <c r="G337" s="3" t="s">
        <v>64</v>
      </c>
      <c r="H337" s="3" t="s">
        <v>1344</v>
      </c>
      <c r="I337" s="3" t="s">
        <v>1345</v>
      </c>
      <c r="J337" s="3" t="s">
        <v>150</v>
      </c>
      <c r="K337" s="3" t="s">
        <v>139</v>
      </c>
      <c r="L337" s="4">
        <v>3663.96</v>
      </c>
      <c r="M337" s="4">
        <v>33.33</v>
      </c>
      <c r="N337" s="4" t="str">
        <f>IF(folha1[[#This Row],[Participação (%)]]=100,"BASE PRÓPRIA","BASE POOL")</f>
        <v>BASE POOL</v>
      </c>
      <c r="O337" s="3" t="s">
        <v>1346</v>
      </c>
      <c r="P337" s="5">
        <v>41393</v>
      </c>
    </row>
    <row r="338" spans="1:16" ht="19.95" customHeight="1" thickBot="1" x14ac:dyDescent="0.35">
      <c r="A338" s="3" t="s">
        <v>1421</v>
      </c>
      <c r="B338" s="3" t="s">
        <v>1392</v>
      </c>
      <c r="C338" s="6" t="str">
        <f>VLOOKUP(folha1[[#This Row],[Razão Social]],Planilha1!A:C,2,0)</f>
        <v xml:space="preserve">RAIZEN </v>
      </c>
      <c r="D338" s="3" t="s">
        <v>15</v>
      </c>
      <c r="E338" s="6" t="str">
        <f>VLOOKUP(folha1[[#This Row],[Razão Social]],Planilha1!A:C,3,0)</f>
        <v>MAJOR</v>
      </c>
      <c r="F338" s="3" t="s">
        <v>1422</v>
      </c>
      <c r="G338" s="3" t="s">
        <v>1423</v>
      </c>
      <c r="H338" s="3" t="s">
        <v>1424</v>
      </c>
      <c r="I338" s="3"/>
      <c r="J338" s="3" t="s">
        <v>1425</v>
      </c>
      <c r="K338" s="3" t="s">
        <v>59</v>
      </c>
      <c r="L338" s="4">
        <v>4626.6000000000004</v>
      </c>
      <c r="M338" s="4">
        <v>100</v>
      </c>
      <c r="N338" s="4" t="str">
        <f>IF(folha1[[#This Row],[Participação (%)]]=100,"BASE PRÓPRIA","BASE POOL")</f>
        <v>BASE PRÓPRIA</v>
      </c>
      <c r="O338" s="3" t="s">
        <v>1426</v>
      </c>
      <c r="P338" s="5">
        <v>42615</v>
      </c>
    </row>
    <row r="339" spans="1:16" ht="19.95" customHeight="1" thickBot="1" x14ac:dyDescent="0.35">
      <c r="A339" s="3" t="s">
        <v>1427</v>
      </c>
      <c r="B339" s="3" t="s">
        <v>1392</v>
      </c>
      <c r="C339" s="6" t="str">
        <f>VLOOKUP(folha1[[#This Row],[Razão Social]],Planilha1!A:C,2,0)</f>
        <v xml:space="preserve">RAIZEN </v>
      </c>
      <c r="D339" s="3" t="s">
        <v>15</v>
      </c>
      <c r="E339" s="6" t="str">
        <f>VLOOKUP(folha1[[#This Row],[Razão Social]],Planilha1!A:C,3,0)</f>
        <v>MAJOR</v>
      </c>
      <c r="F339" s="3" t="s">
        <v>1428</v>
      </c>
      <c r="G339" s="3" t="s">
        <v>671</v>
      </c>
      <c r="H339" s="3" t="s">
        <v>1429</v>
      </c>
      <c r="I339" s="3" t="s">
        <v>1430</v>
      </c>
      <c r="J339" s="3" t="s">
        <v>215</v>
      </c>
      <c r="K339" s="3" t="s">
        <v>87</v>
      </c>
      <c r="L339" s="4">
        <v>33605.839999999997</v>
      </c>
      <c r="M339" s="4">
        <v>100</v>
      </c>
      <c r="N339" s="4" t="str">
        <f>IF(folha1[[#This Row],[Participação (%)]]=100,"BASE PRÓPRIA","BASE POOL")</f>
        <v>BASE PRÓPRIA</v>
      </c>
      <c r="O339" s="3" t="s">
        <v>1431</v>
      </c>
      <c r="P339" s="5">
        <v>43376</v>
      </c>
    </row>
    <row r="340" spans="1:16" ht="19.95" customHeight="1" thickBot="1" x14ac:dyDescent="0.35">
      <c r="A340" s="3" t="s">
        <v>1432</v>
      </c>
      <c r="B340" s="3" t="s">
        <v>1392</v>
      </c>
      <c r="C340" s="6" t="str">
        <f>VLOOKUP(folha1[[#This Row],[Razão Social]],Planilha1!A:C,2,0)</f>
        <v xml:space="preserve">RAIZEN </v>
      </c>
      <c r="D340" s="3" t="s">
        <v>15</v>
      </c>
      <c r="E340" s="6" t="str">
        <f>VLOOKUP(folha1[[#This Row],[Razão Social]],Planilha1!A:C,3,0)</f>
        <v>MAJOR</v>
      </c>
      <c r="F340" s="3" t="s">
        <v>1433</v>
      </c>
      <c r="G340" s="3" t="s">
        <v>1434</v>
      </c>
      <c r="H340" s="3" t="s">
        <v>1435</v>
      </c>
      <c r="I340" s="3" t="s">
        <v>1436</v>
      </c>
      <c r="J340" s="3" t="s">
        <v>111</v>
      </c>
      <c r="K340" s="3" t="s">
        <v>68</v>
      </c>
      <c r="L340" s="4">
        <v>7128.98</v>
      </c>
      <c r="M340" s="4">
        <v>100</v>
      </c>
      <c r="N340" s="4" t="str">
        <f>IF(folha1[[#This Row],[Participação (%)]]=100,"BASE PRÓPRIA","BASE POOL")</f>
        <v>BASE PRÓPRIA</v>
      </c>
      <c r="O340" s="3" t="s">
        <v>1437</v>
      </c>
      <c r="P340" s="5">
        <v>42206</v>
      </c>
    </row>
    <row r="341" spans="1:16" ht="19.95" customHeight="1" thickBot="1" x14ac:dyDescent="0.35">
      <c r="A341" s="3" t="s">
        <v>1438</v>
      </c>
      <c r="B341" s="3" t="s">
        <v>1392</v>
      </c>
      <c r="C341" s="6" t="str">
        <f>VLOOKUP(folha1[[#This Row],[Razão Social]],Planilha1!A:C,2,0)</f>
        <v xml:space="preserve">RAIZEN </v>
      </c>
      <c r="D341" s="3" t="s">
        <v>15</v>
      </c>
      <c r="E341" s="6" t="str">
        <f>VLOOKUP(folha1[[#This Row],[Razão Social]],Planilha1!A:C,3,0)</f>
        <v>MAJOR</v>
      </c>
      <c r="F341" s="3" t="s">
        <v>1439</v>
      </c>
      <c r="G341" s="3" t="s">
        <v>1440</v>
      </c>
      <c r="H341" s="3" t="s">
        <v>1441</v>
      </c>
      <c r="I341" s="3"/>
      <c r="J341" s="3" t="s">
        <v>1442</v>
      </c>
      <c r="K341" s="3" t="s">
        <v>20</v>
      </c>
      <c r="L341" s="4">
        <v>52182.68</v>
      </c>
      <c r="M341" s="4">
        <v>100</v>
      </c>
      <c r="N341" s="4" t="str">
        <f>IF(folha1[[#This Row],[Participação (%)]]=100,"BASE PRÓPRIA","BASE POOL")</f>
        <v>BASE PRÓPRIA</v>
      </c>
      <c r="O341" s="3" t="s">
        <v>1443</v>
      </c>
      <c r="P341" s="5">
        <v>43734</v>
      </c>
    </row>
    <row r="342" spans="1:16" ht="19.95" customHeight="1" thickBot="1" x14ac:dyDescent="0.35">
      <c r="A342" s="3" t="s">
        <v>1444</v>
      </c>
      <c r="B342" s="3" t="s">
        <v>1392</v>
      </c>
      <c r="C342" s="6" t="str">
        <f>VLOOKUP(folha1[[#This Row],[Razão Social]],Planilha1!A:C,2,0)</f>
        <v xml:space="preserve">RAIZEN </v>
      </c>
      <c r="D342" s="3" t="s">
        <v>15</v>
      </c>
      <c r="E342" s="6" t="str">
        <f>VLOOKUP(folha1[[#This Row],[Razão Social]],Planilha1!A:C,3,0)</f>
        <v>MAJOR</v>
      </c>
      <c r="F342" s="3" t="s">
        <v>1445</v>
      </c>
      <c r="G342" s="3" t="s">
        <v>1446</v>
      </c>
      <c r="H342" s="3" t="s">
        <v>1447</v>
      </c>
      <c r="I342" s="3"/>
      <c r="J342" s="3" t="s">
        <v>415</v>
      </c>
      <c r="K342" s="3" t="s">
        <v>44</v>
      </c>
      <c r="L342" s="4">
        <v>5393.14</v>
      </c>
      <c r="M342" s="4">
        <v>62.26</v>
      </c>
      <c r="N342" s="4" t="str">
        <f>IF(folha1[[#This Row],[Participação (%)]]=100,"BASE PRÓPRIA","BASE POOL")</f>
        <v>BASE POOL</v>
      </c>
      <c r="O342" s="3" t="s">
        <v>1286</v>
      </c>
      <c r="P342" s="5">
        <v>41561</v>
      </c>
    </row>
    <row r="343" spans="1:16" ht="19.95" customHeight="1" thickBot="1" x14ac:dyDescent="0.35">
      <c r="A343" s="3" t="s">
        <v>1448</v>
      </c>
      <c r="B343" s="3" t="s">
        <v>1392</v>
      </c>
      <c r="C343" s="6" t="str">
        <f>VLOOKUP(folha1[[#This Row],[Razão Social]],Planilha1!A:C,2,0)</f>
        <v xml:space="preserve">RAIZEN </v>
      </c>
      <c r="D343" s="3" t="s">
        <v>15</v>
      </c>
      <c r="E343" s="6" t="str">
        <f>VLOOKUP(folha1[[#This Row],[Razão Social]],Planilha1!A:C,3,0)</f>
        <v>MAJOR</v>
      </c>
      <c r="F343" s="3" t="s">
        <v>1449</v>
      </c>
      <c r="G343" s="3" t="s">
        <v>1450</v>
      </c>
      <c r="H343" s="3" t="s">
        <v>1451</v>
      </c>
      <c r="I343" s="3" t="s">
        <v>1452</v>
      </c>
      <c r="J343" s="3" t="s">
        <v>1453</v>
      </c>
      <c r="K343" s="3" t="s">
        <v>44</v>
      </c>
      <c r="L343" s="4">
        <v>16654.689999999999</v>
      </c>
      <c r="M343" s="4">
        <v>50</v>
      </c>
      <c r="N343" s="4" t="str">
        <f>IF(folha1[[#This Row],[Participação (%)]]=100,"BASE PRÓPRIA","BASE POOL")</f>
        <v>BASE POOL</v>
      </c>
      <c r="O343" s="3" t="s">
        <v>1454</v>
      </c>
      <c r="P343" s="5">
        <v>40351</v>
      </c>
    </row>
    <row r="344" spans="1:16" ht="19.95" customHeight="1" thickBot="1" x14ac:dyDescent="0.35">
      <c r="A344" s="3" t="s">
        <v>1455</v>
      </c>
      <c r="B344" s="3" t="s">
        <v>1392</v>
      </c>
      <c r="C344" s="6" t="str">
        <f>VLOOKUP(folha1[[#This Row],[Razão Social]],Planilha1!A:C,2,0)</f>
        <v xml:space="preserve">RAIZEN </v>
      </c>
      <c r="D344" s="3" t="s">
        <v>15</v>
      </c>
      <c r="E344" s="6" t="str">
        <f>VLOOKUP(folha1[[#This Row],[Razão Social]],Planilha1!A:C,3,0)</f>
        <v>MAJOR</v>
      </c>
      <c r="F344" s="3" t="s">
        <v>1311</v>
      </c>
      <c r="G344" s="3" t="s">
        <v>1312</v>
      </c>
      <c r="H344" s="3" t="s">
        <v>1313</v>
      </c>
      <c r="I344" s="3"/>
      <c r="J344" s="3" t="s">
        <v>215</v>
      </c>
      <c r="K344" s="3" t="s">
        <v>87</v>
      </c>
      <c r="L344" s="4">
        <v>15417.53</v>
      </c>
      <c r="M344" s="4">
        <v>33.33</v>
      </c>
      <c r="N344" s="4" t="str">
        <f>IF(folha1[[#This Row],[Participação (%)]]=100,"BASE PRÓPRIA","BASE POOL")</f>
        <v>BASE POOL</v>
      </c>
      <c r="O344" s="3" t="s">
        <v>1314</v>
      </c>
      <c r="P344" s="5">
        <v>42930</v>
      </c>
    </row>
    <row r="345" spans="1:16" ht="19.95" customHeight="1" thickBot="1" x14ac:dyDescent="0.35">
      <c r="A345" s="3" t="s">
        <v>1456</v>
      </c>
      <c r="B345" s="3" t="s">
        <v>1392</v>
      </c>
      <c r="C345" s="6" t="str">
        <f>VLOOKUP(folha1[[#This Row],[Razão Social]],Planilha1!A:C,2,0)</f>
        <v xml:space="preserve">RAIZEN </v>
      </c>
      <c r="D345" s="3" t="s">
        <v>15</v>
      </c>
      <c r="E345" s="6" t="str">
        <f>VLOOKUP(folha1[[#This Row],[Razão Social]],Planilha1!A:C,3,0)</f>
        <v>MAJOR</v>
      </c>
      <c r="F345" s="3" t="s">
        <v>1457</v>
      </c>
      <c r="G345" s="3" t="s">
        <v>1458</v>
      </c>
      <c r="H345" s="3" t="s">
        <v>85</v>
      </c>
      <c r="I345" s="3"/>
      <c r="J345" s="3" t="s">
        <v>644</v>
      </c>
      <c r="K345" s="3" t="s">
        <v>59</v>
      </c>
      <c r="L345" s="4">
        <v>27605.1</v>
      </c>
      <c r="M345" s="4">
        <v>100</v>
      </c>
      <c r="N345" s="4" t="str">
        <f>IF(folha1[[#This Row],[Participação (%)]]=100,"BASE PRÓPRIA","BASE POOL")</f>
        <v>BASE PRÓPRIA</v>
      </c>
      <c r="O345" s="3" t="s">
        <v>1459</v>
      </c>
      <c r="P345" s="5">
        <v>42993</v>
      </c>
    </row>
    <row r="346" spans="1:16" ht="19.95" customHeight="1" thickBot="1" x14ac:dyDescent="0.35">
      <c r="A346" s="3" t="s">
        <v>1460</v>
      </c>
      <c r="B346" s="3" t="s">
        <v>1392</v>
      </c>
      <c r="C346" s="6" t="str">
        <f>VLOOKUP(folha1[[#This Row],[Razão Social]],Planilha1!A:C,2,0)</f>
        <v xml:space="preserve">RAIZEN </v>
      </c>
      <c r="D346" s="3" t="s">
        <v>15</v>
      </c>
      <c r="E346" s="6" t="str">
        <f>VLOOKUP(folha1[[#This Row],[Razão Social]],Planilha1!A:C,3,0)</f>
        <v>MAJOR</v>
      </c>
      <c r="F346" s="3" t="s">
        <v>1461</v>
      </c>
      <c r="G346" s="3" t="s">
        <v>64</v>
      </c>
      <c r="H346" s="3" t="s">
        <v>154</v>
      </c>
      <c r="I346" s="3" t="s">
        <v>1462</v>
      </c>
      <c r="J346" s="3" t="s">
        <v>156</v>
      </c>
      <c r="K346" s="3" t="s">
        <v>139</v>
      </c>
      <c r="L346" s="4">
        <v>30376</v>
      </c>
      <c r="M346" s="4">
        <v>100</v>
      </c>
      <c r="N346" s="4" t="str">
        <f>IF(folha1[[#This Row],[Participação (%)]]=100,"BASE PRÓPRIA","BASE POOL")</f>
        <v>BASE PRÓPRIA</v>
      </c>
      <c r="O346" s="3" t="s">
        <v>1463</v>
      </c>
      <c r="P346" s="5">
        <v>46085</v>
      </c>
    </row>
    <row r="347" spans="1:16" ht="19.95" customHeight="1" thickBot="1" x14ac:dyDescent="0.35">
      <c r="A347" s="3" t="s">
        <v>1464</v>
      </c>
      <c r="B347" s="3" t="s">
        <v>1392</v>
      </c>
      <c r="C347" s="6" t="str">
        <f>VLOOKUP(folha1[[#This Row],[Razão Social]],Planilha1!A:C,2,0)</f>
        <v xml:space="preserve">RAIZEN </v>
      </c>
      <c r="D347" s="3" t="s">
        <v>15</v>
      </c>
      <c r="E347" s="6" t="str">
        <f>VLOOKUP(folha1[[#This Row],[Razão Social]],Planilha1!A:C,3,0)</f>
        <v>MAJOR</v>
      </c>
      <c r="F347" s="3" t="s">
        <v>1465</v>
      </c>
      <c r="G347" s="3" t="s">
        <v>1466</v>
      </c>
      <c r="H347" s="3" t="s">
        <v>18</v>
      </c>
      <c r="I347" s="3"/>
      <c r="J347" s="3" t="s">
        <v>19</v>
      </c>
      <c r="K347" s="3" t="s">
        <v>20</v>
      </c>
      <c r="L347" s="4">
        <v>42897.33</v>
      </c>
      <c r="M347" s="4">
        <v>100</v>
      </c>
      <c r="N347" s="4" t="str">
        <f>IF(folha1[[#This Row],[Participação (%)]]=100,"BASE PRÓPRIA","BASE POOL")</f>
        <v>BASE PRÓPRIA</v>
      </c>
      <c r="O347" s="3" t="s">
        <v>1467</v>
      </c>
      <c r="P347" s="5">
        <v>42138</v>
      </c>
    </row>
    <row r="348" spans="1:16" ht="19.95" customHeight="1" thickBot="1" x14ac:dyDescent="0.35">
      <c r="A348" s="3" t="s">
        <v>1468</v>
      </c>
      <c r="B348" s="3" t="s">
        <v>1392</v>
      </c>
      <c r="C348" s="6" t="str">
        <f>VLOOKUP(folha1[[#This Row],[Razão Social]],Planilha1!A:C,2,0)</f>
        <v xml:space="preserve">RAIZEN </v>
      </c>
      <c r="D348" s="3" t="s">
        <v>15</v>
      </c>
      <c r="E348" s="6" t="str">
        <f>VLOOKUP(folha1[[#This Row],[Razão Social]],Planilha1!A:C,3,0)</f>
        <v>MAJOR</v>
      </c>
      <c r="F348" s="3" t="s">
        <v>1469</v>
      </c>
      <c r="G348" s="3" t="s">
        <v>64</v>
      </c>
      <c r="H348" s="3" t="s">
        <v>85</v>
      </c>
      <c r="I348" s="3" t="s">
        <v>1470</v>
      </c>
      <c r="J348" s="3" t="s">
        <v>1326</v>
      </c>
      <c r="K348" s="3" t="s">
        <v>20</v>
      </c>
      <c r="L348" s="4">
        <v>28813.63</v>
      </c>
      <c r="M348" s="4">
        <v>100</v>
      </c>
      <c r="N348" s="4" t="str">
        <f>IF(folha1[[#This Row],[Participação (%)]]=100,"BASE PRÓPRIA","BASE POOL")</f>
        <v>BASE PRÓPRIA</v>
      </c>
      <c r="O348" s="3" t="s">
        <v>1471</v>
      </c>
      <c r="P348" s="5">
        <v>42065</v>
      </c>
    </row>
    <row r="349" spans="1:16" ht="19.95" customHeight="1" thickBot="1" x14ac:dyDescent="0.35">
      <c r="A349" s="3" t="s">
        <v>1472</v>
      </c>
      <c r="B349" s="3" t="s">
        <v>1392</v>
      </c>
      <c r="C349" s="6" t="str">
        <f>VLOOKUP(folha1[[#This Row],[Razão Social]],Planilha1!A:C,2,0)</f>
        <v xml:space="preserve">RAIZEN </v>
      </c>
      <c r="D349" s="3" t="s">
        <v>15</v>
      </c>
      <c r="E349" s="6" t="str">
        <f>VLOOKUP(folha1[[#This Row],[Razão Social]],Planilha1!A:C,3,0)</f>
        <v>MAJOR</v>
      </c>
      <c r="F349" s="3" t="s">
        <v>1353</v>
      </c>
      <c r="G349" s="3" t="s">
        <v>64</v>
      </c>
      <c r="H349" s="3" t="s">
        <v>1354</v>
      </c>
      <c r="I349" s="3" t="s">
        <v>1355</v>
      </c>
      <c r="J349" s="3" t="s">
        <v>80</v>
      </c>
      <c r="K349" s="3" t="s">
        <v>20</v>
      </c>
      <c r="L349" s="4">
        <v>45251.94</v>
      </c>
      <c r="M349" s="4">
        <v>28.92</v>
      </c>
      <c r="N349" s="4" t="str">
        <f>IF(folha1[[#This Row],[Participação (%)]]=100,"BASE PRÓPRIA","BASE POOL")</f>
        <v>BASE POOL</v>
      </c>
      <c r="O349" s="3" t="s">
        <v>1356</v>
      </c>
      <c r="P349" s="5">
        <v>44872</v>
      </c>
    </row>
    <row r="350" spans="1:16" ht="19.95" customHeight="1" thickBot="1" x14ac:dyDescent="0.35">
      <c r="A350" s="3" t="s">
        <v>1473</v>
      </c>
      <c r="B350" s="3" t="s">
        <v>1392</v>
      </c>
      <c r="C350" s="6" t="str">
        <f>VLOOKUP(folha1[[#This Row],[Razão Social]],Planilha1!A:C,2,0)</f>
        <v xml:space="preserve">RAIZEN </v>
      </c>
      <c r="D350" s="3" t="s">
        <v>15</v>
      </c>
      <c r="E350" s="6" t="str">
        <f>VLOOKUP(folha1[[#This Row],[Razão Social]],Planilha1!A:C,3,0)</f>
        <v>MAJOR</v>
      </c>
      <c r="F350" s="3" t="s">
        <v>1306</v>
      </c>
      <c r="G350" s="3" t="s">
        <v>64</v>
      </c>
      <c r="H350" s="3" t="s">
        <v>1307</v>
      </c>
      <c r="I350" s="3"/>
      <c r="J350" s="3" t="s">
        <v>188</v>
      </c>
      <c r="K350" s="3" t="s">
        <v>189</v>
      </c>
      <c r="L350" s="4">
        <v>16297</v>
      </c>
      <c r="M350" s="4">
        <v>50</v>
      </c>
      <c r="N350" s="4" t="str">
        <f>IF(folha1[[#This Row],[Participação (%)]]=100,"BASE PRÓPRIA","BASE POOL")</f>
        <v>BASE POOL</v>
      </c>
      <c r="O350" s="3" t="s">
        <v>1308</v>
      </c>
      <c r="P350" s="5">
        <v>45895</v>
      </c>
    </row>
    <row r="351" spans="1:16" ht="19.95" customHeight="1" thickBot="1" x14ac:dyDescent="0.35">
      <c r="A351" s="3" t="s">
        <v>1474</v>
      </c>
      <c r="B351" s="3" t="s">
        <v>1392</v>
      </c>
      <c r="C351" s="6" t="str">
        <f>VLOOKUP(folha1[[#This Row],[Razão Social]],Planilha1!A:C,2,0)</f>
        <v xml:space="preserve">RAIZEN </v>
      </c>
      <c r="D351" s="3" t="s">
        <v>15</v>
      </c>
      <c r="E351" s="6" t="str">
        <f>VLOOKUP(folha1[[#This Row],[Razão Social]],Planilha1!A:C,3,0)</f>
        <v>MAJOR</v>
      </c>
      <c r="F351" s="3" t="s">
        <v>1475</v>
      </c>
      <c r="G351" s="3" t="s">
        <v>1476</v>
      </c>
      <c r="H351" s="3" t="s">
        <v>329</v>
      </c>
      <c r="I351" s="3"/>
      <c r="J351" s="3" t="s">
        <v>1139</v>
      </c>
      <c r="K351" s="3" t="s">
        <v>20</v>
      </c>
      <c r="L351" s="4">
        <v>5268.61</v>
      </c>
      <c r="M351" s="4">
        <v>100</v>
      </c>
      <c r="N351" s="4" t="str">
        <f>IF(folha1[[#This Row],[Participação (%)]]=100,"BASE PRÓPRIA","BASE POOL")</f>
        <v>BASE PRÓPRIA</v>
      </c>
      <c r="O351" s="3" t="s">
        <v>1477</v>
      </c>
      <c r="P351" s="5">
        <v>43112</v>
      </c>
    </row>
    <row r="352" spans="1:16" ht="19.95" customHeight="1" thickBot="1" x14ac:dyDescent="0.35">
      <c r="A352" s="3" t="s">
        <v>1478</v>
      </c>
      <c r="B352" s="3" t="s">
        <v>1392</v>
      </c>
      <c r="C352" s="6" t="str">
        <f>VLOOKUP(folha1[[#This Row],[Razão Social]],Planilha1!A:C,2,0)</f>
        <v xml:space="preserve">RAIZEN </v>
      </c>
      <c r="D352" s="3" t="s">
        <v>15</v>
      </c>
      <c r="E352" s="6" t="str">
        <f>VLOOKUP(folha1[[#This Row],[Razão Social]],Planilha1!A:C,3,0)</f>
        <v>MAJOR</v>
      </c>
      <c r="F352" s="3" t="s">
        <v>840</v>
      </c>
      <c r="G352" s="3" t="s">
        <v>1154</v>
      </c>
      <c r="H352" s="3" t="s">
        <v>18</v>
      </c>
      <c r="I352" s="3" t="s">
        <v>1155</v>
      </c>
      <c r="J352" s="3" t="s">
        <v>19</v>
      </c>
      <c r="K352" s="3" t="s">
        <v>20</v>
      </c>
      <c r="L352" s="4">
        <v>102624.56</v>
      </c>
      <c r="M352" s="4">
        <v>45.87</v>
      </c>
      <c r="N352" s="4" t="str">
        <f>IF(folha1[[#This Row],[Participação (%)]]=100,"BASE PRÓPRIA","BASE POOL")</f>
        <v>BASE POOL</v>
      </c>
      <c r="O352" s="3" t="s">
        <v>1156</v>
      </c>
      <c r="P352" s="5">
        <v>45926</v>
      </c>
    </row>
    <row r="353" spans="1:16" ht="19.95" customHeight="1" thickBot="1" x14ac:dyDescent="0.35">
      <c r="A353" s="3" t="s">
        <v>1479</v>
      </c>
      <c r="B353" s="3" t="s">
        <v>1392</v>
      </c>
      <c r="C353" s="6" t="str">
        <f>VLOOKUP(folha1[[#This Row],[Razão Social]],Planilha1!A:C,2,0)</f>
        <v xml:space="preserve">RAIZEN </v>
      </c>
      <c r="D353" s="3" t="s">
        <v>15</v>
      </c>
      <c r="E353" s="6" t="str">
        <f>VLOOKUP(folha1[[#This Row],[Razão Social]],Planilha1!A:C,3,0)</f>
        <v>MAJOR</v>
      </c>
      <c r="F353" s="3" t="s">
        <v>1364</v>
      </c>
      <c r="G353" s="3" t="s">
        <v>64</v>
      </c>
      <c r="H353" s="3" t="s">
        <v>1365</v>
      </c>
      <c r="I353" s="3" t="s">
        <v>1366</v>
      </c>
      <c r="J353" s="3" t="s">
        <v>1130</v>
      </c>
      <c r="K353" s="3" t="s">
        <v>28</v>
      </c>
      <c r="L353" s="4">
        <v>43691</v>
      </c>
      <c r="M353" s="4">
        <v>18.14</v>
      </c>
      <c r="N353" s="4" t="str">
        <f>IF(folha1[[#This Row],[Participação (%)]]=100,"BASE PRÓPRIA","BASE POOL")</f>
        <v>BASE POOL</v>
      </c>
      <c r="O353" s="3" t="s">
        <v>1367</v>
      </c>
      <c r="P353" s="5">
        <v>44201</v>
      </c>
    </row>
    <row r="354" spans="1:16" ht="19.95" customHeight="1" thickBot="1" x14ac:dyDescent="0.35">
      <c r="A354" s="3" t="s">
        <v>1480</v>
      </c>
      <c r="B354" s="3" t="s">
        <v>1392</v>
      </c>
      <c r="C354" s="6" t="str">
        <f>VLOOKUP(folha1[[#This Row],[Razão Social]],Planilha1!A:C,2,0)</f>
        <v xml:space="preserve">RAIZEN </v>
      </c>
      <c r="D354" s="3" t="s">
        <v>15</v>
      </c>
      <c r="E354" s="6" t="str">
        <f>VLOOKUP(folha1[[#This Row],[Razão Social]],Planilha1!A:C,3,0)</f>
        <v>MAJOR</v>
      </c>
      <c r="F354" s="3" t="s">
        <v>1369</v>
      </c>
      <c r="G354" s="3" t="s">
        <v>64</v>
      </c>
      <c r="H354" s="3" t="s">
        <v>1370</v>
      </c>
      <c r="I354" s="3" t="s">
        <v>1371</v>
      </c>
      <c r="J354" s="3" t="s">
        <v>1372</v>
      </c>
      <c r="K354" s="3" t="s">
        <v>887</v>
      </c>
      <c r="L354" s="4">
        <v>222118</v>
      </c>
      <c r="M354" s="4">
        <v>22.21</v>
      </c>
      <c r="N354" s="4" t="str">
        <f>IF(folha1[[#This Row],[Participação (%)]]=100,"BASE PRÓPRIA","BASE POOL")</f>
        <v>BASE POOL</v>
      </c>
      <c r="O354" s="3" t="s">
        <v>1373</v>
      </c>
      <c r="P354" s="5">
        <v>46015</v>
      </c>
    </row>
    <row r="355" spans="1:16" ht="19.95" customHeight="1" thickBot="1" x14ac:dyDescent="0.35">
      <c r="A355" s="3" t="s">
        <v>1481</v>
      </c>
      <c r="B355" s="3" t="s">
        <v>1392</v>
      </c>
      <c r="C355" s="6" t="str">
        <f>VLOOKUP(folha1[[#This Row],[Razão Social]],Planilha1!A:C,2,0)</f>
        <v xml:space="preserve">RAIZEN </v>
      </c>
      <c r="D355" s="3" t="s">
        <v>15</v>
      </c>
      <c r="E355" s="6" t="str">
        <f>VLOOKUP(folha1[[#This Row],[Razão Social]],Planilha1!A:C,3,0)</f>
        <v>MAJOR</v>
      </c>
      <c r="F355" s="3" t="s">
        <v>1348</v>
      </c>
      <c r="G355" s="3" t="s">
        <v>176</v>
      </c>
      <c r="H355" s="3" t="s">
        <v>1349</v>
      </c>
      <c r="I355" s="3"/>
      <c r="J355" s="3" t="s">
        <v>1350</v>
      </c>
      <c r="K355" s="3" t="s">
        <v>20</v>
      </c>
      <c r="L355" s="4">
        <v>24895.11</v>
      </c>
      <c r="M355" s="4">
        <v>59.56</v>
      </c>
      <c r="N355" s="4" t="str">
        <f>IF(folha1[[#This Row],[Participação (%)]]=100,"BASE PRÓPRIA","BASE POOL")</f>
        <v>BASE POOL</v>
      </c>
      <c r="O355" s="3" t="s">
        <v>1351</v>
      </c>
      <c r="P355" s="5">
        <v>43285</v>
      </c>
    </row>
    <row r="356" spans="1:16" ht="19.95" customHeight="1" thickBot="1" x14ac:dyDescent="0.35">
      <c r="A356" s="3" t="s">
        <v>1482</v>
      </c>
      <c r="B356" s="3" t="s">
        <v>1392</v>
      </c>
      <c r="C356" s="6" t="str">
        <f>VLOOKUP(folha1[[#This Row],[Razão Social]],Planilha1!A:C,2,0)</f>
        <v xml:space="preserve">RAIZEN </v>
      </c>
      <c r="D356" s="3" t="s">
        <v>15</v>
      </c>
      <c r="E356" s="6" t="str">
        <f>VLOOKUP(folha1[[#This Row],[Razão Social]],Planilha1!A:C,3,0)</f>
        <v>MAJOR</v>
      </c>
      <c r="F356" s="3" t="s">
        <v>555</v>
      </c>
      <c r="G356" s="3" t="s">
        <v>540</v>
      </c>
      <c r="H356" s="3" t="s">
        <v>1385</v>
      </c>
      <c r="I356" s="3"/>
      <c r="J356" s="3" t="s">
        <v>343</v>
      </c>
      <c r="K356" s="3" t="s">
        <v>139</v>
      </c>
      <c r="L356" s="4">
        <v>12925</v>
      </c>
      <c r="M356" s="4">
        <v>33.270000000000003</v>
      </c>
      <c r="N356" s="4" t="str">
        <f>IF(folha1[[#This Row],[Participação (%)]]=100,"BASE PRÓPRIA","BASE POOL")</f>
        <v>BASE POOL</v>
      </c>
      <c r="O356" s="3" t="s">
        <v>108</v>
      </c>
      <c r="P356" s="5">
        <v>45379</v>
      </c>
    </row>
    <row r="357" spans="1:16" ht="19.95" customHeight="1" thickBot="1" x14ac:dyDescent="0.35">
      <c r="A357" s="3" t="s">
        <v>1483</v>
      </c>
      <c r="B357" s="3" t="s">
        <v>1392</v>
      </c>
      <c r="C357" s="6" t="str">
        <f>VLOOKUP(folha1[[#This Row],[Razão Social]],Planilha1!A:C,2,0)</f>
        <v xml:space="preserve">RAIZEN </v>
      </c>
      <c r="D357" s="3" t="s">
        <v>15</v>
      </c>
      <c r="E357" s="6" t="str">
        <f>VLOOKUP(folha1[[#This Row],[Razão Social]],Planilha1!A:C,3,0)</f>
        <v>MAJOR</v>
      </c>
      <c r="F357" s="3" t="s">
        <v>1388</v>
      </c>
      <c r="G357" s="3" t="s">
        <v>1389</v>
      </c>
      <c r="H357" s="3" t="s">
        <v>124</v>
      </c>
      <c r="I357" s="3"/>
      <c r="J357" s="3" t="s">
        <v>126</v>
      </c>
      <c r="K357" s="3" t="s">
        <v>87</v>
      </c>
      <c r="L357" s="4">
        <v>19612</v>
      </c>
      <c r="M357" s="4">
        <v>32.21</v>
      </c>
      <c r="N357" s="4" t="str">
        <f>IF(folha1[[#This Row],[Participação (%)]]=100,"BASE PRÓPRIA","BASE POOL")</f>
        <v>BASE POOL</v>
      </c>
      <c r="O357" s="3" t="s">
        <v>1390</v>
      </c>
      <c r="P357" s="5">
        <v>45313</v>
      </c>
    </row>
    <row r="358" spans="1:16" ht="19.95" customHeight="1" thickBot="1" x14ac:dyDescent="0.35">
      <c r="A358" s="3" t="s">
        <v>1484</v>
      </c>
      <c r="B358" s="3" t="s">
        <v>1485</v>
      </c>
      <c r="C358" s="6" t="str">
        <f>VLOOKUP(folha1[[#This Row],[Razão Social]],Planilha1!A:C,2,0)</f>
        <v>MANGUINHOS S. A.</v>
      </c>
      <c r="D358" s="3" t="s">
        <v>15</v>
      </c>
      <c r="E358" s="6" t="str">
        <f>VLOOKUP(folha1[[#This Row],[Razão Social]],Planilha1!A:C,3,0)</f>
        <v>REGIONAL</v>
      </c>
      <c r="F358" s="3" t="s">
        <v>1486</v>
      </c>
      <c r="G358" s="3" t="s">
        <v>1487</v>
      </c>
      <c r="H358" s="3" t="s">
        <v>836</v>
      </c>
      <c r="I358" s="3" t="s">
        <v>1488</v>
      </c>
      <c r="J358" s="3" t="s">
        <v>797</v>
      </c>
      <c r="K358" s="3" t="s">
        <v>798</v>
      </c>
      <c r="L358" s="4">
        <v>4228.4799999999996</v>
      </c>
      <c r="M358" s="4">
        <v>100</v>
      </c>
      <c r="N358" s="4" t="str">
        <f>IF(folha1[[#This Row],[Participação (%)]]=100,"BASE PRÓPRIA","BASE POOL")</f>
        <v>BASE PRÓPRIA</v>
      </c>
      <c r="O358" s="3" t="s">
        <v>1489</v>
      </c>
      <c r="P358" s="5">
        <v>42746</v>
      </c>
    </row>
    <row r="359" spans="1:16" ht="19.95" customHeight="1" thickBot="1" x14ac:dyDescent="0.35">
      <c r="A359" s="3" t="s">
        <v>1490</v>
      </c>
      <c r="B359" s="3" t="s">
        <v>1491</v>
      </c>
      <c r="C359" s="6" t="str">
        <f>VLOOKUP(folha1[[#This Row],[Razão Social]],Planilha1!A:C,2,0)</f>
        <v xml:space="preserve"> RODOBRAS COMERCIO DE COMBUSTIVEIS </v>
      </c>
      <c r="D359" s="3" t="s">
        <v>15</v>
      </c>
      <c r="E359" s="6" t="str">
        <f>VLOOKUP(folha1[[#This Row],[Razão Social]],Planilha1!A:C,3,0)</f>
        <v>REGIONAL</v>
      </c>
      <c r="F359" s="3" t="s">
        <v>402</v>
      </c>
      <c r="G359" s="3" t="s">
        <v>403</v>
      </c>
      <c r="H359" s="3" t="s">
        <v>149</v>
      </c>
      <c r="I359" s="3" t="s">
        <v>404</v>
      </c>
      <c r="J359" s="3" t="s">
        <v>117</v>
      </c>
      <c r="K359" s="3" t="s">
        <v>118</v>
      </c>
      <c r="L359" s="4">
        <v>3060.48</v>
      </c>
      <c r="M359" s="4">
        <v>24.49</v>
      </c>
      <c r="N359" s="4" t="str">
        <f>IF(folha1[[#This Row],[Participação (%)]]=100,"BASE PRÓPRIA","BASE POOL")</f>
        <v>BASE POOL</v>
      </c>
      <c r="O359" s="3" t="s">
        <v>81</v>
      </c>
      <c r="P359" s="5">
        <v>45834</v>
      </c>
    </row>
    <row r="360" spans="1:16" ht="19.95" customHeight="1" thickBot="1" x14ac:dyDescent="0.35">
      <c r="A360" s="3" t="s">
        <v>1492</v>
      </c>
      <c r="B360" s="3" t="s">
        <v>1493</v>
      </c>
      <c r="C360" s="6" t="str">
        <f>VLOOKUP(folha1[[#This Row],[Razão Social]],Planilha1!A:C,2,0)</f>
        <v>ECONOMY</v>
      </c>
      <c r="D360" s="3" t="s">
        <v>15</v>
      </c>
      <c r="E360" s="6" t="str">
        <f>VLOOKUP(folha1[[#This Row],[Razão Social]],Planilha1!A:C,3,0)</f>
        <v>REGIONAL</v>
      </c>
      <c r="F360" s="3" t="s">
        <v>1494</v>
      </c>
      <c r="G360" s="3" t="s">
        <v>1495</v>
      </c>
      <c r="H360" s="3" t="s">
        <v>1496</v>
      </c>
      <c r="I360" s="3"/>
      <c r="J360" s="3" t="s">
        <v>1497</v>
      </c>
      <c r="K360" s="3" t="s">
        <v>798</v>
      </c>
      <c r="L360" s="4">
        <v>527</v>
      </c>
      <c r="M360" s="4">
        <v>100</v>
      </c>
      <c r="N360" s="4" t="str">
        <f>IF(folha1[[#This Row],[Participação (%)]]=100,"BASE PRÓPRIA","BASE POOL")</f>
        <v>BASE PRÓPRIA</v>
      </c>
      <c r="O360" s="3" t="s">
        <v>1498</v>
      </c>
      <c r="P360" s="5">
        <v>45420</v>
      </c>
    </row>
    <row r="361" spans="1:16" ht="19.95" customHeight="1" thickBot="1" x14ac:dyDescent="0.35">
      <c r="A361" s="3" t="s">
        <v>1499</v>
      </c>
      <c r="B361" s="3" t="s">
        <v>1500</v>
      </c>
      <c r="C361" s="6" t="str">
        <f>VLOOKUP(folha1[[#This Row],[Razão Social]],Planilha1!A:C,2,0)</f>
        <v xml:space="preserve">SMART OIL LOGISTICA E ARMAZENS </v>
      </c>
      <c r="D361" s="3" t="s">
        <v>15</v>
      </c>
      <c r="E361" s="6" t="str">
        <f>VLOOKUP(folha1[[#This Row],[Razão Social]],Planilha1!A:C,3,0)</f>
        <v>REGIONAL</v>
      </c>
      <c r="F361" s="3" t="s">
        <v>876</v>
      </c>
      <c r="G361" s="3" t="s">
        <v>64</v>
      </c>
      <c r="H361" s="3" t="s">
        <v>877</v>
      </c>
      <c r="I361" s="3" t="s">
        <v>878</v>
      </c>
      <c r="J361" s="3" t="s">
        <v>879</v>
      </c>
      <c r="K361" s="3" t="s">
        <v>44</v>
      </c>
      <c r="L361" s="4">
        <v>17745.84</v>
      </c>
      <c r="M361" s="4">
        <v>95.77</v>
      </c>
      <c r="N361" s="4" t="str">
        <f>IF(folha1[[#This Row],[Participação (%)]]=100,"BASE PRÓPRIA","BASE POOL")</f>
        <v>BASE POOL</v>
      </c>
      <c r="O361" s="3" t="s">
        <v>880</v>
      </c>
      <c r="P361" s="5">
        <v>45926</v>
      </c>
    </row>
    <row r="362" spans="1:16" ht="19.95" customHeight="1" thickBot="1" x14ac:dyDescent="0.35">
      <c r="A362" s="3" t="s">
        <v>1501</v>
      </c>
      <c r="B362" s="3" t="s">
        <v>1502</v>
      </c>
      <c r="C362" s="6" t="str">
        <f>VLOOKUP(folha1[[#This Row],[Razão Social]],Planilha1!A:C,2,0)</f>
        <v>PETRO NORTE</v>
      </c>
      <c r="D362" s="3" t="s">
        <v>15</v>
      </c>
      <c r="E362" s="6" t="str">
        <f>VLOOKUP(folha1[[#This Row],[Razão Social]],Planilha1!A:C,3,0)</f>
        <v>REGIONAL</v>
      </c>
      <c r="F362" s="3" t="s">
        <v>1503</v>
      </c>
      <c r="G362" s="3" t="s">
        <v>64</v>
      </c>
      <c r="H362" s="3" t="s">
        <v>197</v>
      </c>
      <c r="I362" s="3" t="s">
        <v>1504</v>
      </c>
      <c r="J362" s="3" t="s">
        <v>1505</v>
      </c>
      <c r="K362" s="3" t="s">
        <v>199</v>
      </c>
      <c r="L362" s="4">
        <v>1700</v>
      </c>
      <c r="M362" s="4">
        <v>100</v>
      </c>
      <c r="N362" s="4" t="str">
        <f>IF(folha1[[#This Row],[Participação (%)]]=100,"BASE PRÓPRIA","BASE POOL")</f>
        <v>BASE PRÓPRIA</v>
      </c>
      <c r="O362" s="3" t="s">
        <v>157</v>
      </c>
      <c r="P362" s="5">
        <v>44239</v>
      </c>
    </row>
    <row r="363" spans="1:16" ht="19.95" customHeight="1" thickBot="1" x14ac:dyDescent="0.35">
      <c r="A363" s="3" t="s">
        <v>1506</v>
      </c>
      <c r="B363" s="3" t="s">
        <v>1507</v>
      </c>
      <c r="C363" s="6" t="str">
        <f>VLOOKUP(folha1[[#This Row],[Razão Social]],Planilha1!A:C,2,0)</f>
        <v>VIBRA ENERGIA S.A</v>
      </c>
      <c r="D363" s="3" t="s">
        <v>15</v>
      </c>
      <c r="E363" s="6" t="str">
        <f>VLOOKUP(folha1[[#This Row],[Razão Social]],Planilha1!A:C,3,0)</f>
        <v>MAJOR</v>
      </c>
      <c r="F363" s="3" t="s">
        <v>1508</v>
      </c>
      <c r="G363" s="3" t="s">
        <v>64</v>
      </c>
      <c r="H363" s="3" t="s">
        <v>186</v>
      </c>
      <c r="I363" s="3" t="s">
        <v>1509</v>
      </c>
      <c r="J363" s="3" t="s">
        <v>188</v>
      </c>
      <c r="K363" s="3" t="s">
        <v>189</v>
      </c>
      <c r="L363" s="4">
        <v>37216.22</v>
      </c>
      <c r="M363" s="4">
        <v>100</v>
      </c>
      <c r="N363" s="4" t="str">
        <f>IF(folha1[[#This Row],[Participação (%)]]=100,"BASE PRÓPRIA","BASE POOL")</f>
        <v>BASE PRÓPRIA</v>
      </c>
      <c r="O363" s="3" t="s">
        <v>1510</v>
      </c>
      <c r="P363" s="5">
        <v>45946</v>
      </c>
    </row>
    <row r="364" spans="1:16" ht="19.95" customHeight="1" thickBot="1" x14ac:dyDescent="0.35">
      <c r="A364" s="3" t="s">
        <v>1511</v>
      </c>
      <c r="B364" s="3" t="s">
        <v>1507</v>
      </c>
      <c r="C364" s="6" t="str">
        <f>VLOOKUP(folha1[[#This Row],[Razão Social]],Planilha1!A:C,2,0)</f>
        <v>VIBRA ENERGIA S.A</v>
      </c>
      <c r="D364" s="3" t="s">
        <v>15</v>
      </c>
      <c r="E364" s="6" t="str">
        <f>VLOOKUP(folha1[[#This Row],[Razão Social]],Planilha1!A:C,3,0)</f>
        <v>MAJOR</v>
      </c>
      <c r="F364" s="3" t="s">
        <v>1512</v>
      </c>
      <c r="G364" s="3" t="s">
        <v>64</v>
      </c>
      <c r="H364" s="3" t="s">
        <v>1513</v>
      </c>
      <c r="I364" s="3" t="s">
        <v>1514</v>
      </c>
      <c r="J364" s="3" t="s">
        <v>1515</v>
      </c>
      <c r="K364" s="3" t="s">
        <v>118</v>
      </c>
      <c r="L364" s="4">
        <v>14297.01</v>
      </c>
      <c r="M364" s="4">
        <v>100</v>
      </c>
      <c r="N364" s="4" t="str">
        <f>IF(folha1[[#This Row],[Participação (%)]]=100,"BASE PRÓPRIA","BASE POOL")</f>
        <v>BASE PRÓPRIA</v>
      </c>
      <c r="O364" s="3" t="s">
        <v>1516</v>
      </c>
      <c r="P364" s="5">
        <v>44749</v>
      </c>
    </row>
    <row r="365" spans="1:16" ht="19.95" customHeight="1" thickBot="1" x14ac:dyDescent="0.35">
      <c r="A365" s="3" t="s">
        <v>1517</v>
      </c>
      <c r="B365" s="3" t="s">
        <v>1507</v>
      </c>
      <c r="C365" s="6" t="str">
        <f>VLOOKUP(folha1[[#This Row],[Razão Social]],Planilha1!A:C,2,0)</f>
        <v>VIBRA ENERGIA S.A</v>
      </c>
      <c r="D365" s="3" t="s">
        <v>15</v>
      </c>
      <c r="E365" s="6" t="str">
        <f>VLOOKUP(folha1[[#This Row],[Razão Social]],Planilha1!A:C,3,0)</f>
        <v>MAJOR</v>
      </c>
      <c r="F365" s="3" t="s">
        <v>1518</v>
      </c>
      <c r="G365" s="3" t="s">
        <v>527</v>
      </c>
      <c r="H365" s="3" t="s">
        <v>1144</v>
      </c>
      <c r="I365" s="3"/>
      <c r="J365" s="3" t="s">
        <v>215</v>
      </c>
      <c r="K365" s="3" t="s">
        <v>87</v>
      </c>
      <c r="L365" s="4">
        <v>82260.66</v>
      </c>
      <c r="M365" s="4">
        <v>100</v>
      </c>
      <c r="N365" s="4" t="str">
        <f>IF(folha1[[#This Row],[Participação (%)]]=100,"BASE PRÓPRIA","BASE POOL")</f>
        <v>BASE PRÓPRIA</v>
      </c>
      <c r="O365" s="3" t="s">
        <v>1519</v>
      </c>
      <c r="P365" s="5">
        <v>45271</v>
      </c>
    </row>
    <row r="366" spans="1:16" ht="19.95" customHeight="1" thickBot="1" x14ac:dyDescent="0.35">
      <c r="A366" s="3" t="s">
        <v>1520</v>
      </c>
      <c r="B366" s="3" t="s">
        <v>1507</v>
      </c>
      <c r="C366" s="6" t="str">
        <f>VLOOKUP(folha1[[#This Row],[Razão Social]],Planilha1!A:C,2,0)</f>
        <v>VIBRA ENERGIA S.A</v>
      </c>
      <c r="D366" s="3" t="s">
        <v>15</v>
      </c>
      <c r="E366" s="6" t="str">
        <f>VLOOKUP(folha1[[#This Row],[Razão Social]],Planilha1!A:C,3,0)</f>
        <v>MAJOR</v>
      </c>
      <c r="F366" s="3" t="s">
        <v>1311</v>
      </c>
      <c r="G366" s="3" t="s">
        <v>1312</v>
      </c>
      <c r="H366" s="3" t="s">
        <v>1313</v>
      </c>
      <c r="I366" s="3"/>
      <c r="J366" s="3" t="s">
        <v>215</v>
      </c>
      <c r="K366" s="3" t="s">
        <v>87</v>
      </c>
      <c r="L366" s="4">
        <v>15417.53</v>
      </c>
      <c r="M366" s="4">
        <v>33.33</v>
      </c>
      <c r="N366" s="4" t="str">
        <f>IF(folha1[[#This Row],[Participação (%)]]=100,"BASE PRÓPRIA","BASE POOL")</f>
        <v>BASE POOL</v>
      </c>
      <c r="O366" s="3" t="s">
        <v>1314</v>
      </c>
      <c r="P366" s="5">
        <v>42930</v>
      </c>
    </row>
    <row r="367" spans="1:16" ht="19.95" customHeight="1" thickBot="1" x14ac:dyDescent="0.35">
      <c r="A367" s="3" t="s">
        <v>1521</v>
      </c>
      <c r="B367" s="3" t="s">
        <v>1507</v>
      </c>
      <c r="C367" s="6" t="str">
        <f>VLOOKUP(folha1[[#This Row],[Razão Social]],Planilha1!A:C,2,0)</f>
        <v>VIBRA ENERGIA S.A</v>
      </c>
      <c r="D367" s="3" t="s">
        <v>15</v>
      </c>
      <c r="E367" s="6" t="str">
        <f>VLOOKUP(folha1[[#This Row],[Razão Social]],Planilha1!A:C,3,0)</f>
        <v>MAJOR</v>
      </c>
      <c r="F367" s="3" t="s">
        <v>1522</v>
      </c>
      <c r="G367" s="3" t="s">
        <v>1523</v>
      </c>
      <c r="H367" s="3" t="s">
        <v>273</v>
      </c>
      <c r="I367" s="3" t="s">
        <v>1524</v>
      </c>
      <c r="J367" s="3" t="s">
        <v>274</v>
      </c>
      <c r="K367" s="3" t="s">
        <v>275</v>
      </c>
      <c r="L367" s="4">
        <v>57373.38</v>
      </c>
      <c r="M367" s="4">
        <v>100</v>
      </c>
      <c r="N367" s="4" t="str">
        <f>IF(folha1[[#This Row],[Participação (%)]]=100,"BASE PRÓPRIA","BASE POOL")</f>
        <v>BASE PRÓPRIA</v>
      </c>
      <c r="O367" s="3" t="s">
        <v>1525</v>
      </c>
      <c r="P367" s="5">
        <v>45666</v>
      </c>
    </row>
    <row r="368" spans="1:16" ht="19.95" customHeight="1" thickBot="1" x14ac:dyDescent="0.35">
      <c r="A368" s="3" t="s">
        <v>1526</v>
      </c>
      <c r="B368" s="3" t="s">
        <v>1507</v>
      </c>
      <c r="C368" s="6" t="str">
        <f>VLOOKUP(folha1[[#This Row],[Razão Social]],Planilha1!A:C,2,0)</f>
        <v>VIBRA ENERGIA S.A</v>
      </c>
      <c r="D368" s="3" t="s">
        <v>15</v>
      </c>
      <c r="E368" s="6" t="str">
        <f>VLOOKUP(folha1[[#This Row],[Razão Social]],Planilha1!A:C,3,0)</f>
        <v>MAJOR</v>
      </c>
      <c r="F368" s="3" t="s">
        <v>762</v>
      </c>
      <c r="G368" s="3" t="s">
        <v>64</v>
      </c>
      <c r="H368" s="3" t="s">
        <v>763</v>
      </c>
      <c r="I368" s="3"/>
      <c r="J368" s="3" t="s">
        <v>717</v>
      </c>
      <c r="K368" s="3" t="s">
        <v>706</v>
      </c>
      <c r="L368" s="4">
        <v>116147.24</v>
      </c>
      <c r="M368" s="4">
        <v>40</v>
      </c>
      <c r="N368" s="4" t="str">
        <f>IF(folha1[[#This Row],[Participação (%)]]=100,"BASE PRÓPRIA","BASE POOL")</f>
        <v>BASE POOL</v>
      </c>
      <c r="O368" s="3" t="s">
        <v>764</v>
      </c>
      <c r="P368" s="5">
        <v>45526</v>
      </c>
    </row>
    <row r="369" spans="1:16" ht="19.95" customHeight="1" thickBot="1" x14ac:dyDescent="0.35">
      <c r="A369" s="3" t="s">
        <v>1527</v>
      </c>
      <c r="B369" s="3" t="s">
        <v>1507</v>
      </c>
      <c r="C369" s="6" t="str">
        <f>VLOOKUP(folha1[[#This Row],[Razão Social]],Planilha1!A:C,2,0)</f>
        <v>VIBRA ENERGIA S.A</v>
      </c>
      <c r="D369" s="3" t="s">
        <v>15</v>
      </c>
      <c r="E369" s="6" t="str">
        <f>VLOOKUP(folha1[[#This Row],[Razão Social]],Planilha1!A:C,3,0)</f>
        <v>MAJOR</v>
      </c>
      <c r="F369" s="3" t="s">
        <v>1528</v>
      </c>
      <c r="G369" s="3" t="s">
        <v>1529</v>
      </c>
      <c r="H369" s="3" t="s">
        <v>1210</v>
      </c>
      <c r="I369" s="3"/>
      <c r="J369" s="3" t="s">
        <v>1530</v>
      </c>
      <c r="K369" s="3" t="s">
        <v>828</v>
      </c>
      <c r="L369" s="4">
        <v>127439.77</v>
      </c>
      <c r="M369" s="4">
        <v>100</v>
      </c>
      <c r="N369" s="4" t="str">
        <f>IF(folha1[[#This Row],[Participação (%)]]=100,"BASE PRÓPRIA","BASE POOL")</f>
        <v>BASE PRÓPRIA</v>
      </c>
      <c r="O369" s="3" t="s">
        <v>1531</v>
      </c>
      <c r="P369" s="5">
        <v>45126</v>
      </c>
    </row>
    <row r="370" spans="1:16" ht="19.95" customHeight="1" thickBot="1" x14ac:dyDescent="0.35">
      <c r="A370" s="3" t="s">
        <v>1532</v>
      </c>
      <c r="B370" s="3" t="s">
        <v>1507</v>
      </c>
      <c r="C370" s="6" t="str">
        <f>VLOOKUP(folha1[[#This Row],[Razão Social]],Planilha1!A:C,2,0)</f>
        <v>VIBRA ENERGIA S.A</v>
      </c>
      <c r="D370" s="3" t="s">
        <v>15</v>
      </c>
      <c r="E370" s="6" t="str">
        <f>VLOOKUP(folha1[[#This Row],[Razão Social]],Planilha1!A:C,3,0)</f>
        <v>MAJOR</v>
      </c>
      <c r="F370" s="3" t="s">
        <v>1533</v>
      </c>
      <c r="G370" s="3" t="s">
        <v>1534</v>
      </c>
      <c r="H370" s="3" t="s">
        <v>1535</v>
      </c>
      <c r="I370" s="3"/>
      <c r="J370" s="3" t="s">
        <v>1442</v>
      </c>
      <c r="K370" s="3" t="s">
        <v>20</v>
      </c>
      <c r="L370" s="4">
        <v>52994</v>
      </c>
      <c r="M370" s="4">
        <v>100</v>
      </c>
      <c r="N370" s="4" t="str">
        <f>IF(folha1[[#This Row],[Participação (%)]]=100,"BASE PRÓPRIA","BASE POOL")</f>
        <v>BASE PRÓPRIA</v>
      </c>
      <c r="O370" s="3" t="s">
        <v>1536</v>
      </c>
      <c r="P370" s="5">
        <v>46198</v>
      </c>
    </row>
    <row r="371" spans="1:16" ht="19.95" customHeight="1" thickBot="1" x14ac:dyDescent="0.35">
      <c r="A371" s="3" t="s">
        <v>1537</v>
      </c>
      <c r="B371" s="3" t="s">
        <v>1507</v>
      </c>
      <c r="C371" s="6" t="str">
        <f>VLOOKUP(folha1[[#This Row],[Razão Social]],Planilha1!A:C,2,0)</f>
        <v>VIBRA ENERGIA S.A</v>
      </c>
      <c r="D371" s="3" t="s">
        <v>15</v>
      </c>
      <c r="E371" s="6" t="str">
        <f>VLOOKUP(folha1[[#This Row],[Razão Social]],Planilha1!A:C,3,0)</f>
        <v>MAJOR</v>
      </c>
      <c r="F371" s="3" t="s">
        <v>1538</v>
      </c>
      <c r="G371" s="3" t="s">
        <v>1539</v>
      </c>
      <c r="H371" s="3" t="s">
        <v>1326</v>
      </c>
      <c r="I371" s="3" t="s">
        <v>1540</v>
      </c>
      <c r="J371" s="3" t="s">
        <v>1326</v>
      </c>
      <c r="K371" s="3" t="s">
        <v>20</v>
      </c>
      <c r="L371" s="4">
        <v>33183</v>
      </c>
      <c r="M371" s="4">
        <v>100</v>
      </c>
      <c r="N371" s="4" t="str">
        <f>IF(folha1[[#This Row],[Participação (%)]]=100,"BASE PRÓPRIA","BASE POOL")</f>
        <v>BASE PRÓPRIA</v>
      </c>
      <c r="O371" s="3" t="s">
        <v>1541</v>
      </c>
      <c r="P371" s="5">
        <v>45849</v>
      </c>
    </row>
    <row r="372" spans="1:16" ht="19.95" customHeight="1" thickBot="1" x14ac:dyDescent="0.35">
      <c r="A372" s="3" t="s">
        <v>1542</v>
      </c>
      <c r="B372" s="3" t="s">
        <v>1507</v>
      </c>
      <c r="C372" s="6" t="str">
        <f>VLOOKUP(folha1[[#This Row],[Razão Social]],Planilha1!A:C,2,0)</f>
        <v>VIBRA ENERGIA S.A</v>
      </c>
      <c r="D372" s="3" t="s">
        <v>15</v>
      </c>
      <c r="E372" s="6" t="str">
        <f>VLOOKUP(folha1[[#This Row],[Razão Social]],Planilha1!A:C,3,0)</f>
        <v>MAJOR</v>
      </c>
      <c r="F372" s="3" t="s">
        <v>102</v>
      </c>
      <c r="G372" s="3" t="s">
        <v>64</v>
      </c>
      <c r="H372" s="3" t="s">
        <v>1543</v>
      </c>
      <c r="I372" s="3" t="s">
        <v>104</v>
      </c>
      <c r="J372" s="3" t="s">
        <v>19</v>
      </c>
      <c r="K372" s="3" t="s">
        <v>20</v>
      </c>
      <c r="L372" s="4">
        <v>32797.019999999997</v>
      </c>
      <c r="M372" s="4">
        <v>100</v>
      </c>
      <c r="N372" s="4" t="str">
        <f>IF(folha1[[#This Row],[Participação (%)]]=100,"BASE PRÓPRIA","BASE POOL")</f>
        <v>BASE PRÓPRIA</v>
      </c>
      <c r="O372" s="3" t="s">
        <v>1544</v>
      </c>
      <c r="P372" s="5">
        <v>45279</v>
      </c>
    </row>
    <row r="373" spans="1:16" ht="19.95" customHeight="1" thickBot="1" x14ac:dyDescent="0.35">
      <c r="A373" s="3" t="s">
        <v>1545</v>
      </c>
      <c r="B373" s="3" t="s">
        <v>1507</v>
      </c>
      <c r="C373" s="6" t="str">
        <f>VLOOKUP(folha1[[#This Row],[Razão Social]],Planilha1!A:C,2,0)</f>
        <v>VIBRA ENERGIA S.A</v>
      </c>
      <c r="D373" s="3" t="s">
        <v>15</v>
      </c>
      <c r="E373" s="6" t="str">
        <f>VLOOKUP(folha1[[#This Row],[Razão Social]],Planilha1!A:C,3,0)</f>
        <v>MAJOR</v>
      </c>
      <c r="F373" s="3" t="s">
        <v>1546</v>
      </c>
      <c r="G373" s="3" t="s">
        <v>1547</v>
      </c>
      <c r="H373" s="3" t="s">
        <v>1200</v>
      </c>
      <c r="I373" s="3"/>
      <c r="J373" s="3" t="s">
        <v>1337</v>
      </c>
      <c r="K373" s="3" t="s">
        <v>59</v>
      </c>
      <c r="L373" s="4">
        <v>78621.56</v>
      </c>
      <c r="M373" s="4">
        <v>100</v>
      </c>
      <c r="N373" s="4" t="str">
        <f>IF(folha1[[#This Row],[Participação (%)]]=100,"BASE PRÓPRIA","BASE POOL")</f>
        <v>BASE PRÓPRIA</v>
      </c>
      <c r="O373" s="3" t="s">
        <v>1548</v>
      </c>
      <c r="P373" s="5">
        <v>45064</v>
      </c>
    </row>
    <row r="374" spans="1:16" ht="19.95" customHeight="1" thickBot="1" x14ac:dyDescent="0.35">
      <c r="A374" s="3" t="s">
        <v>1549</v>
      </c>
      <c r="B374" s="3" t="s">
        <v>1507</v>
      </c>
      <c r="C374" s="6" t="str">
        <f>VLOOKUP(folha1[[#This Row],[Razão Social]],Planilha1!A:C,2,0)</f>
        <v>VIBRA ENERGIA S.A</v>
      </c>
      <c r="D374" s="3" t="s">
        <v>15</v>
      </c>
      <c r="E374" s="6" t="str">
        <f>VLOOKUP(folha1[[#This Row],[Razão Social]],Planilha1!A:C,3,0)</f>
        <v>MAJOR</v>
      </c>
      <c r="F374" s="3" t="s">
        <v>1550</v>
      </c>
      <c r="G374" s="3" t="s">
        <v>64</v>
      </c>
      <c r="H374" s="3" t="s">
        <v>154</v>
      </c>
      <c r="I374" s="3" t="s">
        <v>1551</v>
      </c>
      <c r="J374" s="3" t="s">
        <v>156</v>
      </c>
      <c r="K374" s="3" t="s">
        <v>139</v>
      </c>
      <c r="L374" s="4">
        <v>46749.73</v>
      </c>
      <c r="M374" s="4">
        <v>100</v>
      </c>
      <c r="N374" s="4" t="str">
        <f>IF(folha1[[#This Row],[Participação (%)]]=100,"BASE PRÓPRIA","BASE POOL")</f>
        <v>BASE PRÓPRIA</v>
      </c>
      <c r="O374" s="3"/>
      <c r="P374" s="5"/>
    </row>
    <row r="375" spans="1:16" ht="19.95" customHeight="1" thickBot="1" x14ac:dyDescent="0.35">
      <c r="A375" s="3" t="s">
        <v>1552</v>
      </c>
      <c r="B375" s="3" t="s">
        <v>1507</v>
      </c>
      <c r="C375" s="6" t="str">
        <f>VLOOKUP(folha1[[#This Row],[Razão Social]],Planilha1!A:C,2,0)</f>
        <v>VIBRA ENERGIA S.A</v>
      </c>
      <c r="D375" s="3" t="s">
        <v>15</v>
      </c>
      <c r="E375" s="6" t="str">
        <f>VLOOKUP(folha1[[#This Row],[Razão Social]],Planilha1!A:C,3,0)</f>
        <v>MAJOR</v>
      </c>
      <c r="F375" s="3" t="s">
        <v>1230</v>
      </c>
      <c r="G375" s="3" t="s">
        <v>1553</v>
      </c>
      <c r="H375" s="3" t="s">
        <v>614</v>
      </c>
      <c r="I375" s="3"/>
      <c r="J375" s="3" t="s">
        <v>615</v>
      </c>
      <c r="K375" s="3" t="s">
        <v>616</v>
      </c>
      <c r="L375" s="4">
        <v>48622</v>
      </c>
      <c r="M375" s="4">
        <v>100</v>
      </c>
      <c r="N375" s="4" t="str">
        <f>IF(folha1[[#This Row],[Participação (%)]]=100,"BASE PRÓPRIA","BASE POOL")</f>
        <v>BASE PRÓPRIA</v>
      </c>
      <c r="O375" s="3" t="s">
        <v>1554</v>
      </c>
      <c r="P375" s="5">
        <v>45090</v>
      </c>
    </row>
    <row r="376" spans="1:16" ht="19.95" customHeight="1" thickBot="1" x14ac:dyDescent="0.35">
      <c r="A376" s="3" t="s">
        <v>1555</v>
      </c>
      <c r="B376" s="3" t="s">
        <v>1507</v>
      </c>
      <c r="C376" s="6" t="str">
        <f>VLOOKUP(folha1[[#This Row],[Razão Social]],Planilha1!A:C,2,0)</f>
        <v>VIBRA ENERGIA S.A</v>
      </c>
      <c r="D376" s="3" t="s">
        <v>15</v>
      </c>
      <c r="E376" s="6" t="str">
        <f>VLOOKUP(folha1[[#This Row],[Razão Social]],Planilha1!A:C,3,0)</f>
        <v>MAJOR</v>
      </c>
      <c r="F376" s="3" t="s">
        <v>1265</v>
      </c>
      <c r="G376" s="3" t="s">
        <v>64</v>
      </c>
      <c r="H376" s="3" t="s">
        <v>1394</v>
      </c>
      <c r="I376" s="3" t="s">
        <v>1556</v>
      </c>
      <c r="J376" s="3" t="s">
        <v>797</v>
      </c>
      <c r="K376" s="3" t="s">
        <v>798</v>
      </c>
      <c r="L376" s="4">
        <v>75371.47</v>
      </c>
      <c r="M376" s="4">
        <v>100</v>
      </c>
      <c r="N376" s="4" t="str">
        <f>IF(folha1[[#This Row],[Participação (%)]]=100,"BASE PRÓPRIA","BASE POOL")</f>
        <v>BASE PRÓPRIA</v>
      </c>
      <c r="O376" s="3" t="s">
        <v>1557</v>
      </c>
      <c r="P376" s="5">
        <v>44399</v>
      </c>
    </row>
    <row r="377" spans="1:16" ht="19.95" customHeight="1" thickBot="1" x14ac:dyDescent="0.35">
      <c r="A377" s="3" t="s">
        <v>1558</v>
      </c>
      <c r="B377" s="3" t="s">
        <v>1507</v>
      </c>
      <c r="C377" s="6" t="str">
        <f>VLOOKUP(folha1[[#This Row],[Razão Social]],Planilha1!A:C,2,0)</f>
        <v>VIBRA ENERGIA S.A</v>
      </c>
      <c r="D377" s="3" t="s">
        <v>15</v>
      </c>
      <c r="E377" s="6" t="str">
        <f>VLOOKUP(folha1[[#This Row],[Razão Social]],Planilha1!A:C,3,0)</f>
        <v>MAJOR</v>
      </c>
      <c r="F377" s="3" t="s">
        <v>1559</v>
      </c>
      <c r="G377" s="3" t="s">
        <v>148</v>
      </c>
      <c r="H377" s="3" t="s">
        <v>149</v>
      </c>
      <c r="I377" s="3"/>
      <c r="J377" s="3" t="s">
        <v>117</v>
      </c>
      <c r="K377" s="3" t="s">
        <v>118</v>
      </c>
      <c r="L377" s="4">
        <v>5451.03</v>
      </c>
      <c r="M377" s="4">
        <v>100</v>
      </c>
      <c r="N377" s="4" t="str">
        <f>IF(folha1[[#This Row],[Participação (%)]]=100,"BASE PRÓPRIA","BASE POOL")</f>
        <v>BASE PRÓPRIA</v>
      </c>
      <c r="O377" s="3" t="s">
        <v>1560</v>
      </c>
      <c r="P377" s="5">
        <v>45673</v>
      </c>
    </row>
    <row r="378" spans="1:16" ht="19.95" customHeight="1" thickBot="1" x14ac:dyDescent="0.35">
      <c r="A378" s="3" t="s">
        <v>1561</v>
      </c>
      <c r="B378" s="3" t="s">
        <v>1507</v>
      </c>
      <c r="C378" s="6" t="str">
        <f>VLOOKUP(folha1[[#This Row],[Razão Social]],Planilha1!A:C,2,0)</f>
        <v>VIBRA ENERGIA S.A</v>
      </c>
      <c r="D378" s="3" t="s">
        <v>15</v>
      </c>
      <c r="E378" s="6" t="str">
        <f>VLOOKUP(folha1[[#This Row],[Razão Social]],Planilha1!A:C,3,0)</f>
        <v>MAJOR</v>
      </c>
      <c r="F378" s="3" t="s">
        <v>1562</v>
      </c>
      <c r="G378" s="3" t="s">
        <v>1563</v>
      </c>
      <c r="H378" s="3" t="s">
        <v>692</v>
      </c>
      <c r="I378" s="3"/>
      <c r="J378" s="3" t="s">
        <v>693</v>
      </c>
      <c r="K378" s="3" t="s">
        <v>628</v>
      </c>
      <c r="L378" s="4">
        <v>27297.759999999998</v>
      </c>
      <c r="M378" s="4">
        <v>100</v>
      </c>
      <c r="N378" s="4" t="str">
        <f>IF(folha1[[#This Row],[Participação (%)]]=100,"BASE PRÓPRIA","BASE POOL")</f>
        <v>BASE PRÓPRIA</v>
      </c>
      <c r="O378" s="3" t="s">
        <v>1039</v>
      </c>
      <c r="P378" s="5">
        <v>45751</v>
      </c>
    </row>
    <row r="379" spans="1:16" ht="19.95" customHeight="1" thickBot="1" x14ac:dyDescent="0.35">
      <c r="A379" s="3" t="s">
        <v>1564</v>
      </c>
      <c r="B379" s="3" t="s">
        <v>1507</v>
      </c>
      <c r="C379" s="6" t="str">
        <f>VLOOKUP(folha1[[#This Row],[Razão Social]],Planilha1!A:C,2,0)</f>
        <v>VIBRA ENERGIA S.A</v>
      </c>
      <c r="D379" s="3" t="s">
        <v>15</v>
      </c>
      <c r="E379" s="6" t="str">
        <f>VLOOKUP(folha1[[#This Row],[Razão Social]],Planilha1!A:C,3,0)</f>
        <v>MAJOR</v>
      </c>
      <c r="F379" s="3" t="s">
        <v>1565</v>
      </c>
      <c r="G379" s="3" t="s">
        <v>64</v>
      </c>
      <c r="H379" s="3" t="s">
        <v>65</v>
      </c>
      <c r="I379" s="3" t="s">
        <v>1566</v>
      </c>
      <c r="J379" s="3" t="s">
        <v>280</v>
      </c>
      <c r="K379" s="3" t="s">
        <v>281</v>
      </c>
      <c r="L379" s="4">
        <v>22887.83</v>
      </c>
      <c r="M379" s="4">
        <v>100</v>
      </c>
      <c r="N379" s="4" t="str">
        <f>IF(folha1[[#This Row],[Participação (%)]]=100,"BASE PRÓPRIA","BASE POOL")</f>
        <v>BASE PRÓPRIA</v>
      </c>
      <c r="O379" s="3" t="s">
        <v>1567</v>
      </c>
      <c r="P379" s="5">
        <v>44686</v>
      </c>
    </row>
    <row r="380" spans="1:16" ht="19.95" customHeight="1" thickBot="1" x14ac:dyDescent="0.35">
      <c r="A380" s="3" t="s">
        <v>1568</v>
      </c>
      <c r="B380" s="3" t="s">
        <v>1507</v>
      </c>
      <c r="C380" s="6" t="str">
        <f>VLOOKUP(folha1[[#This Row],[Razão Social]],Planilha1!A:C,2,0)</f>
        <v>VIBRA ENERGIA S.A</v>
      </c>
      <c r="D380" s="3" t="s">
        <v>15</v>
      </c>
      <c r="E380" s="6" t="str">
        <f>VLOOKUP(folha1[[#This Row],[Razão Social]],Planilha1!A:C,3,0)</f>
        <v>MAJOR</v>
      </c>
      <c r="F380" s="3" t="s">
        <v>1569</v>
      </c>
      <c r="G380" s="3" t="s">
        <v>1570</v>
      </c>
      <c r="H380" s="3" t="s">
        <v>1571</v>
      </c>
      <c r="I380" s="3"/>
      <c r="J380" s="3" t="s">
        <v>1320</v>
      </c>
      <c r="K380" s="3" t="s">
        <v>20</v>
      </c>
      <c r="L380" s="4">
        <v>27255.52</v>
      </c>
      <c r="M380" s="4">
        <v>100</v>
      </c>
      <c r="N380" s="4" t="str">
        <f>IF(folha1[[#This Row],[Participação (%)]]=100,"BASE PRÓPRIA","BASE POOL")</f>
        <v>BASE PRÓPRIA</v>
      </c>
      <c r="O380" s="3" t="s">
        <v>1572</v>
      </c>
      <c r="P380" s="5">
        <v>44438</v>
      </c>
    </row>
    <row r="381" spans="1:16" ht="19.95" customHeight="1" thickBot="1" x14ac:dyDescent="0.35">
      <c r="A381" s="3" t="s">
        <v>1573</v>
      </c>
      <c r="B381" s="3" t="s">
        <v>1507</v>
      </c>
      <c r="C381" s="6" t="str">
        <f>VLOOKUP(folha1[[#This Row],[Razão Social]],Planilha1!A:C,2,0)</f>
        <v>VIBRA ENERGIA S.A</v>
      </c>
      <c r="D381" s="3" t="s">
        <v>15</v>
      </c>
      <c r="E381" s="6" t="str">
        <f>VLOOKUP(folha1[[#This Row],[Razão Social]],Planilha1!A:C,3,0)</f>
        <v>MAJOR</v>
      </c>
      <c r="F381" s="3" t="s">
        <v>1574</v>
      </c>
      <c r="G381" s="3" t="s">
        <v>64</v>
      </c>
      <c r="H381" s="3" t="s">
        <v>1575</v>
      </c>
      <c r="I381" s="3" t="s">
        <v>1576</v>
      </c>
      <c r="J381" s="3" t="s">
        <v>1577</v>
      </c>
      <c r="K381" s="3" t="s">
        <v>706</v>
      </c>
      <c r="L381" s="4">
        <v>4683</v>
      </c>
      <c r="M381" s="4">
        <v>100</v>
      </c>
      <c r="N381" s="4" t="str">
        <f>IF(folha1[[#This Row],[Participação (%)]]=100,"BASE PRÓPRIA","BASE POOL")</f>
        <v>BASE PRÓPRIA</v>
      </c>
      <c r="O381" s="3" t="s">
        <v>472</v>
      </c>
      <c r="P381" s="5">
        <v>43056</v>
      </c>
    </row>
    <row r="382" spans="1:16" ht="19.95" customHeight="1" thickBot="1" x14ac:dyDescent="0.35">
      <c r="A382" s="3" t="s">
        <v>1578</v>
      </c>
      <c r="B382" s="3" t="s">
        <v>1507</v>
      </c>
      <c r="C382" s="6" t="str">
        <f>VLOOKUP(folha1[[#This Row],[Razão Social]],Planilha1!A:C,2,0)</f>
        <v>VIBRA ENERGIA S.A</v>
      </c>
      <c r="D382" s="3" t="s">
        <v>15</v>
      </c>
      <c r="E382" s="6" t="str">
        <f>VLOOKUP(folha1[[#This Row],[Razão Social]],Planilha1!A:C,3,0)</f>
        <v>MAJOR</v>
      </c>
      <c r="F382" s="3" t="s">
        <v>1579</v>
      </c>
      <c r="G382" s="3" t="s">
        <v>1580</v>
      </c>
      <c r="H382" s="3" t="s">
        <v>260</v>
      </c>
      <c r="I382" s="3"/>
      <c r="J382" s="3" t="s">
        <v>1497</v>
      </c>
      <c r="K382" s="3" t="s">
        <v>798</v>
      </c>
      <c r="L382" s="4">
        <v>13566.73</v>
      </c>
      <c r="M382" s="4">
        <v>100</v>
      </c>
      <c r="N382" s="4" t="str">
        <f>IF(folha1[[#This Row],[Participação (%)]]=100,"BASE PRÓPRIA","BASE POOL")</f>
        <v>BASE PRÓPRIA</v>
      </c>
      <c r="O382" s="3" t="s">
        <v>1581</v>
      </c>
      <c r="P382" s="5">
        <v>44216</v>
      </c>
    </row>
    <row r="383" spans="1:16" ht="19.95" customHeight="1" thickBot="1" x14ac:dyDescent="0.35">
      <c r="A383" s="3" t="s">
        <v>1582</v>
      </c>
      <c r="B383" s="3" t="s">
        <v>1507</v>
      </c>
      <c r="C383" s="6" t="str">
        <f>VLOOKUP(folha1[[#This Row],[Razão Social]],Planilha1!A:C,2,0)</f>
        <v>VIBRA ENERGIA S.A</v>
      </c>
      <c r="D383" s="3" t="s">
        <v>15</v>
      </c>
      <c r="E383" s="6" t="str">
        <f>VLOOKUP(folha1[[#This Row],[Razão Social]],Planilha1!A:C,3,0)</f>
        <v>MAJOR</v>
      </c>
      <c r="F383" s="3" t="s">
        <v>1583</v>
      </c>
      <c r="G383" s="3" t="s">
        <v>64</v>
      </c>
      <c r="H383" s="3" t="s">
        <v>1584</v>
      </c>
      <c r="I383" s="3"/>
      <c r="J383" s="3" t="s">
        <v>1584</v>
      </c>
      <c r="K383" s="3" t="s">
        <v>958</v>
      </c>
      <c r="L383" s="4">
        <v>7587.47</v>
      </c>
      <c r="M383" s="4">
        <v>100</v>
      </c>
      <c r="N383" s="4" t="str">
        <f>IF(folha1[[#This Row],[Participação (%)]]=100,"BASE PRÓPRIA","BASE POOL")</f>
        <v>BASE PRÓPRIA</v>
      </c>
      <c r="O383" s="3" t="s">
        <v>1585</v>
      </c>
      <c r="P383" s="5">
        <v>45363</v>
      </c>
    </row>
    <row r="384" spans="1:16" ht="19.95" customHeight="1" thickBot="1" x14ac:dyDescent="0.35">
      <c r="A384" s="3" t="s">
        <v>1586</v>
      </c>
      <c r="B384" s="3" t="s">
        <v>1507</v>
      </c>
      <c r="C384" s="6" t="str">
        <f>VLOOKUP(folha1[[#This Row],[Razão Social]],Planilha1!A:C,2,0)</f>
        <v>VIBRA ENERGIA S.A</v>
      </c>
      <c r="D384" s="3" t="s">
        <v>15</v>
      </c>
      <c r="E384" s="6" t="str">
        <f>VLOOKUP(folha1[[#This Row],[Razão Social]],Planilha1!A:C,3,0)</f>
        <v>MAJOR</v>
      </c>
      <c r="F384" s="3" t="s">
        <v>1587</v>
      </c>
      <c r="G384" s="3" t="s">
        <v>1588</v>
      </c>
      <c r="H384" s="3" t="s">
        <v>1344</v>
      </c>
      <c r="I384" s="3"/>
      <c r="J384" s="3" t="s">
        <v>1589</v>
      </c>
      <c r="K384" s="3" t="s">
        <v>622</v>
      </c>
      <c r="L384" s="4">
        <v>8255.24</v>
      </c>
      <c r="M384" s="4">
        <v>100</v>
      </c>
      <c r="N384" s="4" t="str">
        <f>IF(folha1[[#This Row],[Participação (%)]]=100,"BASE PRÓPRIA","BASE POOL")</f>
        <v>BASE PRÓPRIA</v>
      </c>
      <c r="O384" s="3" t="s">
        <v>1590</v>
      </c>
      <c r="P384" s="5">
        <v>44628</v>
      </c>
    </row>
    <row r="385" spans="1:16" ht="19.95" customHeight="1" thickBot="1" x14ac:dyDescent="0.35">
      <c r="A385" s="3" t="s">
        <v>1591</v>
      </c>
      <c r="B385" s="3" t="s">
        <v>1507</v>
      </c>
      <c r="C385" s="6" t="str">
        <f>VLOOKUP(folha1[[#This Row],[Razão Social]],Planilha1!A:C,2,0)</f>
        <v>VIBRA ENERGIA S.A</v>
      </c>
      <c r="D385" s="3" t="s">
        <v>15</v>
      </c>
      <c r="E385" s="6" t="str">
        <f>VLOOKUP(folha1[[#This Row],[Razão Social]],Planilha1!A:C,3,0)</f>
        <v>MAJOR</v>
      </c>
      <c r="F385" s="3" t="s">
        <v>1592</v>
      </c>
      <c r="G385" s="3" t="s">
        <v>64</v>
      </c>
      <c r="H385" s="3" t="s">
        <v>1593</v>
      </c>
      <c r="I385" s="3"/>
      <c r="J385" s="3" t="s">
        <v>755</v>
      </c>
      <c r="K385" s="3" t="s">
        <v>162</v>
      </c>
      <c r="L385" s="4">
        <v>65051</v>
      </c>
      <c r="M385" s="4">
        <v>100</v>
      </c>
      <c r="N385" s="4" t="str">
        <f>IF(folha1[[#This Row],[Participação (%)]]=100,"BASE PRÓPRIA","BASE POOL")</f>
        <v>BASE PRÓPRIA</v>
      </c>
      <c r="O385" s="3" t="s">
        <v>1594</v>
      </c>
      <c r="P385" s="5">
        <v>44699</v>
      </c>
    </row>
    <row r="386" spans="1:16" ht="19.95" customHeight="1" thickBot="1" x14ac:dyDescent="0.35">
      <c r="A386" s="3" t="s">
        <v>1595</v>
      </c>
      <c r="B386" s="3" t="s">
        <v>1507</v>
      </c>
      <c r="C386" s="6" t="str">
        <f>VLOOKUP(folha1[[#This Row],[Razão Social]],Planilha1!A:C,2,0)</f>
        <v>VIBRA ENERGIA S.A</v>
      </c>
      <c r="D386" s="3" t="s">
        <v>15</v>
      </c>
      <c r="E386" s="6" t="str">
        <f>VLOOKUP(folha1[[#This Row],[Razão Social]],Planilha1!A:C,3,0)</f>
        <v>MAJOR</v>
      </c>
      <c r="F386" s="3" t="s">
        <v>1596</v>
      </c>
      <c r="G386" s="3" t="s">
        <v>1597</v>
      </c>
      <c r="H386" s="3" t="s">
        <v>1397</v>
      </c>
      <c r="I386" s="3"/>
      <c r="J386" s="3" t="s">
        <v>728</v>
      </c>
      <c r="K386" s="3" t="s">
        <v>20</v>
      </c>
      <c r="L386" s="4">
        <v>22160</v>
      </c>
      <c r="M386" s="4">
        <v>100</v>
      </c>
      <c r="N386" s="4" t="str">
        <f>IF(folha1[[#This Row],[Participação (%)]]=100,"BASE PRÓPRIA","BASE POOL")</f>
        <v>BASE PRÓPRIA</v>
      </c>
      <c r="O386" s="3" t="s">
        <v>1598</v>
      </c>
      <c r="P386" s="5">
        <v>43446</v>
      </c>
    </row>
    <row r="387" spans="1:16" ht="19.95" customHeight="1" thickBot="1" x14ac:dyDescent="0.35">
      <c r="A387" s="3" t="s">
        <v>1599</v>
      </c>
      <c r="B387" s="3" t="s">
        <v>1507</v>
      </c>
      <c r="C387" s="6" t="str">
        <f>VLOOKUP(folha1[[#This Row],[Razão Social]],Planilha1!A:C,2,0)</f>
        <v>VIBRA ENERGIA S.A</v>
      </c>
      <c r="D387" s="3" t="s">
        <v>15</v>
      </c>
      <c r="E387" s="6" t="str">
        <f>VLOOKUP(folha1[[#This Row],[Razão Social]],Planilha1!A:C,3,0)</f>
        <v>MAJOR</v>
      </c>
      <c r="F387" s="3" t="s">
        <v>1600</v>
      </c>
      <c r="G387" s="3" t="s">
        <v>64</v>
      </c>
      <c r="H387" s="3" t="s">
        <v>149</v>
      </c>
      <c r="I387" s="3" t="s">
        <v>1601</v>
      </c>
      <c r="J387" s="3" t="s">
        <v>504</v>
      </c>
      <c r="K387" s="3" t="s">
        <v>20</v>
      </c>
      <c r="L387" s="4">
        <v>8888.7099999999991</v>
      </c>
      <c r="M387" s="4">
        <v>100</v>
      </c>
      <c r="N387" s="4" t="str">
        <f>IF(folha1[[#This Row],[Participação (%)]]=100,"BASE PRÓPRIA","BASE POOL")</f>
        <v>BASE PRÓPRIA</v>
      </c>
      <c r="O387" s="3" t="s">
        <v>1334</v>
      </c>
      <c r="P387" s="5">
        <v>45205</v>
      </c>
    </row>
    <row r="388" spans="1:16" ht="19.95" customHeight="1" thickBot="1" x14ac:dyDescent="0.35">
      <c r="A388" s="3" t="s">
        <v>1602</v>
      </c>
      <c r="B388" s="3" t="s">
        <v>1507</v>
      </c>
      <c r="C388" s="6" t="str">
        <f>VLOOKUP(folha1[[#This Row],[Razão Social]],Planilha1!A:C,2,0)</f>
        <v>VIBRA ENERGIA S.A</v>
      </c>
      <c r="D388" s="3" t="s">
        <v>15</v>
      </c>
      <c r="E388" s="6" t="str">
        <f>VLOOKUP(folha1[[#This Row],[Razão Social]],Planilha1!A:C,3,0)</f>
        <v>MAJOR</v>
      </c>
      <c r="F388" s="3" t="s">
        <v>1603</v>
      </c>
      <c r="G388" s="3" t="s">
        <v>24</v>
      </c>
      <c r="H388" s="3" t="s">
        <v>85</v>
      </c>
      <c r="I388" s="3"/>
      <c r="J388" s="3" t="s">
        <v>1604</v>
      </c>
      <c r="K388" s="3" t="s">
        <v>706</v>
      </c>
      <c r="L388" s="4">
        <v>2270</v>
      </c>
      <c r="M388" s="4">
        <v>100</v>
      </c>
      <c r="N388" s="4" t="str">
        <f>IF(folha1[[#This Row],[Participação (%)]]=100,"BASE PRÓPRIA","BASE POOL")</f>
        <v>BASE PRÓPRIA</v>
      </c>
      <c r="O388" s="3" t="s">
        <v>193</v>
      </c>
      <c r="P388" s="5">
        <v>40602</v>
      </c>
    </row>
    <row r="389" spans="1:16" ht="19.95" customHeight="1" thickBot="1" x14ac:dyDescent="0.35">
      <c r="A389" s="3" t="s">
        <v>1605</v>
      </c>
      <c r="B389" s="3" t="s">
        <v>1507</v>
      </c>
      <c r="C389" s="6" t="str">
        <f>VLOOKUP(folha1[[#This Row],[Razão Social]],Planilha1!A:C,2,0)</f>
        <v>VIBRA ENERGIA S.A</v>
      </c>
      <c r="D389" s="3" t="s">
        <v>15</v>
      </c>
      <c r="E389" s="6" t="str">
        <f>VLOOKUP(folha1[[#This Row],[Razão Social]],Planilha1!A:C,3,0)</f>
        <v>MAJOR</v>
      </c>
      <c r="F389" s="3" t="s">
        <v>1606</v>
      </c>
      <c r="G389" s="3"/>
      <c r="H389" s="3" t="s">
        <v>1000</v>
      </c>
      <c r="I389" s="3"/>
      <c r="J389" s="3" t="s">
        <v>1607</v>
      </c>
      <c r="K389" s="3" t="s">
        <v>28</v>
      </c>
      <c r="L389" s="4">
        <v>6762.48</v>
      </c>
      <c r="M389" s="4">
        <v>100</v>
      </c>
      <c r="N389" s="4" t="str">
        <f>IF(folha1[[#This Row],[Participação (%)]]=100,"BASE PRÓPRIA","BASE POOL")</f>
        <v>BASE PRÓPRIA</v>
      </c>
      <c r="O389" s="3" t="s">
        <v>1608</v>
      </c>
      <c r="P389" s="5">
        <v>40819</v>
      </c>
    </row>
    <row r="390" spans="1:16" ht="19.95" customHeight="1" thickBot="1" x14ac:dyDescent="0.35">
      <c r="A390" s="3" t="s">
        <v>1609</v>
      </c>
      <c r="B390" s="3" t="s">
        <v>1507</v>
      </c>
      <c r="C390" s="6" t="str">
        <f>VLOOKUP(folha1[[#This Row],[Razão Social]],Planilha1!A:C,2,0)</f>
        <v>VIBRA ENERGIA S.A</v>
      </c>
      <c r="D390" s="3" t="s">
        <v>15</v>
      </c>
      <c r="E390" s="6" t="str">
        <f>VLOOKUP(folha1[[#This Row],[Razão Social]],Planilha1!A:C,3,0)</f>
        <v>MAJOR</v>
      </c>
      <c r="F390" s="3" t="s">
        <v>1291</v>
      </c>
      <c r="G390" s="3" t="s">
        <v>64</v>
      </c>
      <c r="H390" s="3" t="s">
        <v>1292</v>
      </c>
      <c r="I390" s="3"/>
      <c r="J390" s="3" t="s">
        <v>1293</v>
      </c>
      <c r="K390" s="3" t="s">
        <v>1294</v>
      </c>
      <c r="L390" s="4">
        <v>14833.12</v>
      </c>
      <c r="M390" s="4">
        <v>72</v>
      </c>
      <c r="N390" s="4" t="str">
        <f>IF(folha1[[#This Row],[Participação (%)]]=100,"BASE PRÓPRIA","BASE POOL")</f>
        <v>BASE POOL</v>
      </c>
      <c r="O390" s="3" t="s">
        <v>1295</v>
      </c>
      <c r="P390" s="5">
        <v>44438</v>
      </c>
    </row>
    <row r="391" spans="1:16" ht="19.95" customHeight="1" thickBot="1" x14ac:dyDescent="0.35">
      <c r="A391" s="3" t="s">
        <v>1610</v>
      </c>
      <c r="B391" s="3" t="s">
        <v>1507</v>
      </c>
      <c r="C391" s="6" t="str">
        <f>VLOOKUP(folha1[[#This Row],[Razão Social]],Planilha1!A:C,2,0)</f>
        <v>VIBRA ENERGIA S.A</v>
      </c>
      <c r="D391" s="3" t="s">
        <v>15</v>
      </c>
      <c r="E391" s="6" t="str">
        <f>VLOOKUP(folha1[[#This Row],[Razão Social]],Planilha1!A:C,3,0)</f>
        <v>MAJOR</v>
      </c>
      <c r="F391" s="3" t="s">
        <v>1445</v>
      </c>
      <c r="G391" s="3" t="s">
        <v>1446</v>
      </c>
      <c r="H391" s="3" t="s">
        <v>1447</v>
      </c>
      <c r="I391" s="3"/>
      <c r="J391" s="3" t="s">
        <v>415</v>
      </c>
      <c r="K391" s="3" t="s">
        <v>44</v>
      </c>
      <c r="L391" s="4">
        <v>5393.14</v>
      </c>
      <c r="M391" s="4">
        <v>37.74</v>
      </c>
      <c r="N391" s="4" t="str">
        <f>IF(folha1[[#This Row],[Participação (%)]]=100,"BASE PRÓPRIA","BASE POOL")</f>
        <v>BASE POOL</v>
      </c>
      <c r="O391" s="3" t="s">
        <v>1286</v>
      </c>
      <c r="P391" s="5">
        <v>41561</v>
      </c>
    </row>
    <row r="392" spans="1:16" ht="19.95" customHeight="1" thickBot="1" x14ac:dyDescent="0.35">
      <c r="A392" s="3" t="s">
        <v>1611</v>
      </c>
      <c r="B392" s="3" t="s">
        <v>1507</v>
      </c>
      <c r="C392" s="6" t="str">
        <f>VLOOKUP(folha1[[#This Row],[Razão Social]],Planilha1!A:C,2,0)</f>
        <v>VIBRA ENERGIA S.A</v>
      </c>
      <c r="D392" s="3" t="s">
        <v>15</v>
      </c>
      <c r="E392" s="6" t="str">
        <f>VLOOKUP(folha1[[#This Row],[Razão Social]],Planilha1!A:C,3,0)</f>
        <v>MAJOR</v>
      </c>
      <c r="F392" s="3" t="s">
        <v>741</v>
      </c>
      <c r="G392" s="3" t="s">
        <v>64</v>
      </c>
      <c r="H392" s="3" t="s">
        <v>742</v>
      </c>
      <c r="I392" s="3"/>
      <c r="J392" s="3" t="s">
        <v>743</v>
      </c>
      <c r="K392" s="3" t="s">
        <v>744</v>
      </c>
      <c r="L392" s="4">
        <v>14679</v>
      </c>
      <c r="M392" s="4">
        <v>34</v>
      </c>
      <c r="N392" s="4" t="str">
        <f>IF(folha1[[#This Row],[Participação (%)]]=100,"BASE PRÓPRIA","BASE POOL")</f>
        <v>BASE POOL</v>
      </c>
      <c r="O392" s="3" t="s">
        <v>745</v>
      </c>
      <c r="P392" s="5">
        <v>43075</v>
      </c>
    </row>
    <row r="393" spans="1:16" ht="19.95" customHeight="1" thickBot="1" x14ac:dyDescent="0.35">
      <c r="A393" s="3" t="s">
        <v>1612</v>
      </c>
      <c r="B393" s="3" t="s">
        <v>1507</v>
      </c>
      <c r="C393" s="6" t="str">
        <f>VLOOKUP(folha1[[#This Row],[Razão Social]],Planilha1!A:C,2,0)</f>
        <v>VIBRA ENERGIA S.A</v>
      </c>
      <c r="D393" s="3" t="s">
        <v>15</v>
      </c>
      <c r="E393" s="6" t="str">
        <f>VLOOKUP(folha1[[#This Row],[Razão Social]],Planilha1!A:C,3,0)</f>
        <v>MAJOR</v>
      </c>
      <c r="F393" s="3" t="s">
        <v>1613</v>
      </c>
      <c r="G393" s="3" t="s">
        <v>64</v>
      </c>
      <c r="H393" s="3" t="s">
        <v>1614</v>
      </c>
      <c r="I393" s="3"/>
      <c r="J393" s="3" t="s">
        <v>1272</v>
      </c>
      <c r="K393" s="3" t="s">
        <v>1273</v>
      </c>
      <c r="L393" s="4">
        <v>21326</v>
      </c>
      <c r="M393" s="4">
        <v>100</v>
      </c>
      <c r="N393" s="4" t="str">
        <f>IF(folha1[[#This Row],[Participação (%)]]=100,"BASE PRÓPRIA","BASE POOL")</f>
        <v>BASE PRÓPRIA</v>
      </c>
      <c r="O393" s="3" t="s">
        <v>1615</v>
      </c>
      <c r="P393" s="5">
        <v>43411</v>
      </c>
    </row>
    <row r="394" spans="1:16" ht="19.95" customHeight="1" thickBot="1" x14ac:dyDescent="0.35">
      <c r="A394" s="3" t="s">
        <v>1616</v>
      </c>
      <c r="B394" s="3" t="s">
        <v>1507</v>
      </c>
      <c r="C394" s="6" t="str">
        <f>VLOOKUP(folha1[[#This Row],[Razão Social]],Planilha1!A:C,2,0)</f>
        <v>VIBRA ENERGIA S.A</v>
      </c>
      <c r="D394" s="3" t="s">
        <v>15</v>
      </c>
      <c r="E394" s="6" t="str">
        <f>VLOOKUP(folha1[[#This Row],[Razão Social]],Planilha1!A:C,3,0)</f>
        <v>MAJOR</v>
      </c>
      <c r="F394" s="3" t="s">
        <v>1617</v>
      </c>
      <c r="G394" s="3" t="s">
        <v>24</v>
      </c>
      <c r="H394" s="3" t="s">
        <v>1618</v>
      </c>
      <c r="I394" s="3" t="s">
        <v>148</v>
      </c>
      <c r="J394" s="3" t="s">
        <v>198</v>
      </c>
      <c r="K394" s="3" t="s">
        <v>199</v>
      </c>
      <c r="L394" s="4">
        <v>29563</v>
      </c>
      <c r="M394" s="4">
        <v>100</v>
      </c>
      <c r="N394" s="4" t="str">
        <f>IF(folha1[[#This Row],[Participação (%)]]=100,"BASE PRÓPRIA","BASE POOL")</f>
        <v>BASE PRÓPRIA</v>
      </c>
      <c r="O394" s="3" t="s">
        <v>33</v>
      </c>
      <c r="P394" s="5">
        <v>41536</v>
      </c>
    </row>
    <row r="395" spans="1:16" ht="19.95" customHeight="1" thickBot="1" x14ac:dyDescent="0.35">
      <c r="A395" s="3" t="s">
        <v>1619</v>
      </c>
      <c r="B395" s="3" t="s">
        <v>1507</v>
      </c>
      <c r="C395" s="6" t="str">
        <f>VLOOKUP(folha1[[#This Row],[Razão Social]],Planilha1!A:C,2,0)</f>
        <v>VIBRA ENERGIA S.A</v>
      </c>
      <c r="D395" s="3" t="s">
        <v>15</v>
      </c>
      <c r="E395" s="6" t="str">
        <f>VLOOKUP(folha1[[#This Row],[Razão Social]],Planilha1!A:C,3,0)</f>
        <v>MAJOR</v>
      </c>
      <c r="F395" s="3" t="s">
        <v>1620</v>
      </c>
      <c r="G395" s="3" t="s">
        <v>64</v>
      </c>
      <c r="H395" s="3" t="s">
        <v>686</v>
      </c>
      <c r="I395" s="3"/>
      <c r="J395" s="3" t="s">
        <v>687</v>
      </c>
      <c r="K395" s="3" t="s">
        <v>622</v>
      </c>
      <c r="L395" s="4">
        <v>30662.53</v>
      </c>
      <c r="M395" s="4">
        <v>100</v>
      </c>
      <c r="N395" s="4" t="str">
        <f>IF(folha1[[#This Row],[Participação (%)]]=100,"BASE PRÓPRIA","BASE POOL")</f>
        <v>BASE PRÓPRIA</v>
      </c>
      <c r="O395" s="3" t="s">
        <v>1621</v>
      </c>
      <c r="P395" s="5">
        <v>44823</v>
      </c>
    </row>
    <row r="396" spans="1:16" ht="19.95" customHeight="1" thickBot="1" x14ac:dyDescent="0.35">
      <c r="A396" s="3" t="s">
        <v>1622</v>
      </c>
      <c r="B396" s="3" t="s">
        <v>1507</v>
      </c>
      <c r="C396" s="6" t="str">
        <f>VLOOKUP(folha1[[#This Row],[Razão Social]],Planilha1!A:C,2,0)</f>
        <v>VIBRA ENERGIA S.A</v>
      </c>
      <c r="D396" s="3" t="s">
        <v>15</v>
      </c>
      <c r="E396" s="6" t="str">
        <f>VLOOKUP(folha1[[#This Row],[Razão Social]],Planilha1!A:C,3,0)</f>
        <v>MAJOR</v>
      </c>
      <c r="F396" s="3" t="s">
        <v>1623</v>
      </c>
      <c r="G396" s="3" t="s">
        <v>64</v>
      </c>
      <c r="H396" s="3" t="s">
        <v>767</v>
      </c>
      <c r="I396" s="3"/>
      <c r="J396" s="3" t="s">
        <v>711</v>
      </c>
      <c r="K396" s="3" t="s">
        <v>706</v>
      </c>
      <c r="L396" s="4">
        <v>69361.84</v>
      </c>
      <c r="M396" s="4">
        <v>100</v>
      </c>
      <c r="N396" s="4" t="str">
        <f>IF(folha1[[#This Row],[Participação (%)]]=100,"BASE PRÓPRIA","BASE POOL")</f>
        <v>BASE PRÓPRIA</v>
      </c>
      <c r="O396" s="3" t="s">
        <v>1624</v>
      </c>
      <c r="P396" s="5">
        <v>45327</v>
      </c>
    </row>
    <row r="397" spans="1:16" ht="19.95" customHeight="1" thickBot="1" x14ac:dyDescent="0.35">
      <c r="A397" s="3" t="s">
        <v>1625</v>
      </c>
      <c r="B397" s="3" t="s">
        <v>1507</v>
      </c>
      <c r="C397" s="6" t="str">
        <f>VLOOKUP(folha1[[#This Row],[Razão Social]],Planilha1!A:C,2,0)</f>
        <v>VIBRA ENERGIA S.A</v>
      </c>
      <c r="D397" s="3" t="s">
        <v>15</v>
      </c>
      <c r="E397" s="6" t="str">
        <f>VLOOKUP(folha1[[#This Row],[Razão Social]],Planilha1!A:C,3,0)</f>
        <v>MAJOR</v>
      </c>
      <c r="F397" s="3" t="s">
        <v>1626</v>
      </c>
      <c r="G397" s="3" t="s">
        <v>64</v>
      </c>
      <c r="H397" s="3" t="s">
        <v>1627</v>
      </c>
      <c r="I397" s="3"/>
      <c r="J397" s="3" t="s">
        <v>1628</v>
      </c>
      <c r="K397" s="3" t="s">
        <v>706</v>
      </c>
      <c r="L397" s="4">
        <v>5261.06</v>
      </c>
      <c r="M397" s="4">
        <v>100</v>
      </c>
      <c r="N397" s="4" t="str">
        <f>IF(folha1[[#This Row],[Participação (%)]]=100,"BASE PRÓPRIA","BASE POOL")</f>
        <v>BASE PRÓPRIA</v>
      </c>
      <c r="O397" s="3" t="s">
        <v>1629</v>
      </c>
      <c r="P397" s="5">
        <v>43500</v>
      </c>
    </row>
    <row r="398" spans="1:16" ht="19.95" customHeight="1" thickBot="1" x14ac:dyDescent="0.35">
      <c r="A398" s="3" t="s">
        <v>1630</v>
      </c>
      <c r="B398" s="3" t="s">
        <v>1507</v>
      </c>
      <c r="C398" s="6" t="str">
        <f>VLOOKUP(folha1[[#This Row],[Razão Social]],Planilha1!A:C,2,0)</f>
        <v>VIBRA ENERGIA S.A</v>
      </c>
      <c r="D398" s="3" t="s">
        <v>15</v>
      </c>
      <c r="E398" s="6" t="str">
        <f>VLOOKUP(folha1[[#This Row],[Razão Social]],Planilha1!A:C,3,0)</f>
        <v>MAJOR</v>
      </c>
      <c r="F398" s="3" t="s">
        <v>1449</v>
      </c>
      <c r="G398" s="3" t="s">
        <v>1450</v>
      </c>
      <c r="H398" s="3" t="s">
        <v>1451</v>
      </c>
      <c r="I398" s="3" t="s">
        <v>1452</v>
      </c>
      <c r="J398" s="3" t="s">
        <v>1453</v>
      </c>
      <c r="K398" s="3" t="s">
        <v>44</v>
      </c>
      <c r="L398" s="4">
        <v>16654.689999999999</v>
      </c>
      <c r="M398" s="4">
        <v>50</v>
      </c>
      <c r="N398" s="4" t="str">
        <f>IF(folha1[[#This Row],[Participação (%)]]=100,"BASE PRÓPRIA","BASE POOL")</f>
        <v>BASE POOL</v>
      </c>
      <c r="O398" s="3" t="s">
        <v>1454</v>
      </c>
      <c r="P398" s="5">
        <v>40351</v>
      </c>
    </row>
    <row r="399" spans="1:16" ht="19.95" customHeight="1" thickBot="1" x14ac:dyDescent="0.35">
      <c r="A399" s="3" t="s">
        <v>1631</v>
      </c>
      <c r="B399" s="3" t="s">
        <v>1507</v>
      </c>
      <c r="C399" s="6" t="str">
        <f>VLOOKUP(folha1[[#This Row],[Razão Social]],Planilha1!A:C,2,0)</f>
        <v>VIBRA ENERGIA S.A</v>
      </c>
      <c r="D399" s="3" t="s">
        <v>15</v>
      </c>
      <c r="E399" s="6" t="str">
        <f>VLOOKUP(folha1[[#This Row],[Razão Social]],Planilha1!A:C,3,0)</f>
        <v>MAJOR</v>
      </c>
      <c r="F399" s="3" t="s">
        <v>1632</v>
      </c>
      <c r="G399" s="3" t="s">
        <v>1633</v>
      </c>
      <c r="H399" s="3" t="s">
        <v>109</v>
      </c>
      <c r="I399" s="3"/>
      <c r="J399" s="3" t="s">
        <v>111</v>
      </c>
      <c r="K399" s="3" t="s">
        <v>68</v>
      </c>
      <c r="L399" s="4">
        <v>29523.82</v>
      </c>
      <c r="M399" s="4">
        <v>100</v>
      </c>
      <c r="N399" s="4" t="str">
        <f>IF(folha1[[#This Row],[Participação (%)]]=100,"BASE PRÓPRIA","BASE POOL")</f>
        <v>BASE PRÓPRIA</v>
      </c>
      <c r="O399" s="3" t="s">
        <v>1634</v>
      </c>
      <c r="P399" s="5">
        <v>44018</v>
      </c>
    </row>
    <row r="400" spans="1:16" ht="19.95" customHeight="1" thickBot="1" x14ac:dyDescent="0.35">
      <c r="A400" s="3" t="s">
        <v>1635</v>
      </c>
      <c r="B400" s="3" t="s">
        <v>1507</v>
      </c>
      <c r="C400" s="6" t="str">
        <f>VLOOKUP(folha1[[#This Row],[Razão Social]],Planilha1!A:C,2,0)</f>
        <v>VIBRA ENERGIA S.A</v>
      </c>
      <c r="D400" s="3" t="s">
        <v>15</v>
      </c>
      <c r="E400" s="6" t="str">
        <f>VLOOKUP(folha1[[#This Row],[Razão Social]],Planilha1!A:C,3,0)</f>
        <v>MAJOR</v>
      </c>
      <c r="F400" s="3" t="s">
        <v>1339</v>
      </c>
      <c r="G400" s="3" t="s">
        <v>24</v>
      </c>
      <c r="H400" s="3" t="s">
        <v>1340</v>
      </c>
      <c r="I400" s="3" t="s">
        <v>1341</v>
      </c>
      <c r="J400" s="3" t="s">
        <v>43</v>
      </c>
      <c r="K400" s="3" t="s">
        <v>44</v>
      </c>
      <c r="L400" s="4">
        <v>181687.1</v>
      </c>
      <c r="M400" s="4">
        <v>33.33</v>
      </c>
      <c r="N400" s="4" t="str">
        <f>IF(folha1[[#This Row],[Participação (%)]]=100,"BASE PRÓPRIA","BASE POOL")</f>
        <v>BASE POOL</v>
      </c>
      <c r="O400" s="3" t="s">
        <v>1342</v>
      </c>
      <c r="P400" s="5">
        <v>44231</v>
      </c>
    </row>
    <row r="401" spans="1:16" ht="19.95" customHeight="1" thickBot="1" x14ac:dyDescent="0.35">
      <c r="A401" s="3" t="s">
        <v>1636</v>
      </c>
      <c r="B401" s="3" t="s">
        <v>1507</v>
      </c>
      <c r="C401" s="6" t="str">
        <f>VLOOKUP(folha1[[#This Row],[Razão Social]],Planilha1!A:C,2,0)</f>
        <v>VIBRA ENERGIA S.A</v>
      </c>
      <c r="D401" s="3" t="s">
        <v>15</v>
      </c>
      <c r="E401" s="6" t="str">
        <f>VLOOKUP(folha1[[#This Row],[Razão Social]],Planilha1!A:C,3,0)</f>
        <v>MAJOR</v>
      </c>
      <c r="F401" s="3" t="s">
        <v>1637</v>
      </c>
      <c r="G401" s="3" t="s">
        <v>1638</v>
      </c>
      <c r="H401" s="3" t="s">
        <v>1639</v>
      </c>
      <c r="I401" s="3"/>
      <c r="J401" s="3" t="s">
        <v>1640</v>
      </c>
      <c r="K401" s="3" t="s">
        <v>275</v>
      </c>
      <c r="L401" s="4">
        <v>7778</v>
      </c>
      <c r="M401" s="4">
        <v>100</v>
      </c>
      <c r="N401" s="4" t="str">
        <f>IF(folha1[[#This Row],[Participação (%)]]=100,"BASE PRÓPRIA","BASE POOL")</f>
        <v>BASE PRÓPRIA</v>
      </c>
      <c r="O401" s="3" t="s">
        <v>1641</v>
      </c>
      <c r="P401" s="5">
        <v>44306</v>
      </c>
    </row>
    <row r="402" spans="1:16" ht="19.95" customHeight="1" thickBot="1" x14ac:dyDescent="0.35">
      <c r="A402" s="3" t="s">
        <v>1642</v>
      </c>
      <c r="B402" s="3" t="s">
        <v>1507</v>
      </c>
      <c r="C402" s="6" t="str">
        <f>VLOOKUP(folha1[[#This Row],[Razão Social]],Planilha1!A:C,2,0)</f>
        <v>VIBRA ENERGIA S.A</v>
      </c>
      <c r="D402" s="3" t="s">
        <v>15</v>
      </c>
      <c r="E402" s="6" t="str">
        <f>VLOOKUP(folha1[[#This Row],[Razão Social]],Planilha1!A:C,3,0)</f>
        <v>MAJOR</v>
      </c>
      <c r="F402" s="3" t="s">
        <v>1643</v>
      </c>
      <c r="G402" s="3" t="s">
        <v>1644</v>
      </c>
      <c r="H402" s="3" t="s">
        <v>1645</v>
      </c>
      <c r="I402" s="3" t="s">
        <v>1646</v>
      </c>
      <c r="J402" s="3" t="s">
        <v>1647</v>
      </c>
      <c r="K402" s="3" t="s">
        <v>139</v>
      </c>
      <c r="L402" s="4">
        <v>28343.19</v>
      </c>
      <c r="M402" s="4">
        <v>100</v>
      </c>
      <c r="N402" s="4" t="str">
        <f>IF(folha1[[#This Row],[Participação (%)]]=100,"BASE PRÓPRIA","BASE POOL")</f>
        <v>BASE PRÓPRIA</v>
      </c>
      <c r="O402" s="3" t="s">
        <v>1648</v>
      </c>
      <c r="P402" s="5">
        <v>41256</v>
      </c>
    </row>
    <row r="403" spans="1:16" ht="19.95" customHeight="1" thickBot="1" x14ac:dyDescent="0.35">
      <c r="A403" s="3" t="s">
        <v>1649</v>
      </c>
      <c r="B403" s="3" t="s">
        <v>1507</v>
      </c>
      <c r="C403" s="6" t="str">
        <f>VLOOKUP(folha1[[#This Row],[Razão Social]],Planilha1!A:C,2,0)</f>
        <v>VIBRA ENERGIA S.A</v>
      </c>
      <c r="D403" s="3" t="s">
        <v>15</v>
      </c>
      <c r="E403" s="6" t="str">
        <f>VLOOKUP(folha1[[#This Row],[Razão Social]],Planilha1!A:C,3,0)</f>
        <v>MAJOR</v>
      </c>
      <c r="F403" s="3" t="s">
        <v>1650</v>
      </c>
      <c r="G403" s="3" t="s">
        <v>64</v>
      </c>
      <c r="H403" s="3" t="s">
        <v>85</v>
      </c>
      <c r="I403" s="3" t="s">
        <v>1651</v>
      </c>
      <c r="J403" s="3" t="s">
        <v>1350</v>
      </c>
      <c r="K403" s="3" t="s">
        <v>20</v>
      </c>
      <c r="L403" s="4">
        <v>41795.230000000003</v>
      </c>
      <c r="M403" s="4">
        <v>100</v>
      </c>
      <c r="N403" s="4" t="str">
        <f>IF(folha1[[#This Row],[Participação (%)]]=100,"BASE PRÓPRIA","BASE POOL")</f>
        <v>BASE PRÓPRIA</v>
      </c>
      <c r="O403" s="3" t="s">
        <v>1652</v>
      </c>
      <c r="P403" s="5">
        <v>44644</v>
      </c>
    </row>
    <row r="404" spans="1:16" ht="19.95" customHeight="1" thickBot="1" x14ac:dyDescent="0.35">
      <c r="A404" s="3" t="s">
        <v>1653</v>
      </c>
      <c r="B404" s="3" t="s">
        <v>1507</v>
      </c>
      <c r="C404" s="6" t="str">
        <f>VLOOKUP(folha1[[#This Row],[Razão Social]],Planilha1!A:C,2,0)</f>
        <v>VIBRA ENERGIA S.A</v>
      </c>
      <c r="D404" s="3" t="s">
        <v>15</v>
      </c>
      <c r="E404" s="6" t="str">
        <f>VLOOKUP(folha1[[#This Row],[Razão Social]],Planilha1!A:C,3,0)</f>
        <v>MAJOR</v>
      </c>
      <c r="F404" s="3" t="s">
        <v>1654</v>
      </c>
      <c r="G404" s="3" t="s">
        <v>64</v>
      </c>
      <c r="H404" s="3" t="s">
        <v>1655</v>
      </c>
      <c r="I404" s="3" t="s">
        <v>64</v>
      </c>
      <c r="J404" s="3" t="s">
        <v>1656</v>
      </c>
      <c r="K404" s="3" t="s">
        <v>820</v>
      </c>
      <c r="L404" s="4">
        <v>22601</v>
      </c>
      <c r="M404" s="4">
        <v>100</v>
      </c>
      <c r="N404" s="4" t="str">
        <f>IF(folha1[[#This Row],[Participação (%)]]=100,"BASE PRÓPRIA","BASE POOL")</f>
        <v>BASE PRÓPRIA</v>
      </c>
      <c r="O404" s="3" t="s">
        <v>296</v>
      </c>
      <c r="P404" s="5">
        <v>43838</v>
      </c>
    </row>
    <row r="405" spans="1:16" ht="19.95" customHeight="1" thickBot="1" x14ac:dyDescent="0.35">
      <c r="A405" s="3" t="s">
        <v>1657</v>
      </c>
      <c r="B405" s="3" t="s">
        <v>1507</v>
      </c>
      <c r="C405" s="6" t="str">
        <f>VLOOKUP(folha1[[#This Row],[Razão Social]],Planilha1!A:C,2,0)</f>
        <v>VIBRA ENERGIA S.A</v>
      </c>
      <c r="D405" s="3" t="s">
        <v>15</v>
      </c>
      <c r="E405" s="6" t="str">
        <f>VLOOKUP(folha1[[#This Row],[Razão Social]],Planilha1!A:C,3,0)</f>
        <v>MAJOR</v>
      </c>
      <c r="F405" s="3" t="s">
        <v>1248</v>
      </c>
      <c r="G405" s="3" t="s">
        <v>1249</v>
      </c>
      <c r="H405" s="3" t="s">
        <v>1250</v>
      </c>
      <c r="I405" s="3" t="s">
        <v>1251</v>
      </c>
      <c r="J405" s="3" t="s">
        <v>1252</v>
      </c>
      <c r="K405" s="3" t="s">
        <v>59</v>
      </c>
      <c r="L405" s="4">
        <v>22918.14</v>
      </c>
      <c r="M405" s="4">
        <v>35.25</v>
      </c>
      <c r="N405" s="4" t="str">
        <f>IF(folha1[[#This Row],[Participação (%)]]=100,"BASE PRÓPRIA","BASE POOL")</f>
        <v>BASE POOL</v>
      </c>
      <c r="O405" s="3" t="s">
        <v>400</v>
      </c>
      <c r="P405" s="5">
        <v>42550</v>
      </c>
    </row>
    <row r="406" spans="1:16" ht="19.95" customHeight="1" thickBot="1" x14ac:dyDescent="0.35">
      <c r="A406" s="3" t="s">
        <v>1658</v>
      </c>
      <c r="B406" s="3" t="s">
        <v>1507</v>
      </c>
      <c r="C406" s="6" t="str">
        <f>VLOOKUP(folha1[[#This Row],[Razão Social]],Planilha1!A:C,2,0)</f>
        <v>VIBRA ENERGIA S.A</v>
      </c>
      <c r="D406" s="3" t="s">
        <v>15</v>
      </c>
      <c r="E406" s="6" t="str">
        <f>VLOOKUP(folha1[[#This Row],[Razão Social]],Planilha1!A:C,3,0)</f>
        <v>MAJOR</v>
      </c>
      <c r="F406" s="3" t="s">
        <v>643</v>
      </c>
      <c r="G406" s="3" t="s">
        <v>64</v>
      </c>
      <c r="H406" s="3" t="s">
        <v>1344</v>
      </c>
      <c r="I406" s="3" t="s">
        <v>1345</v>
      </c>
      <c r="J406" s="3" t="s">
        <v>150</v>
      </c>
      <c r="K406" s="3" t="s">
        <v>139</v>
      </c>
      <c r="L406" s="4">
        <v>3663.96</v>
      </c>
      <c r="M406" s="4">
        <v>33.340000000000003</v>
      </c>
      <c r="N406" s="4" t="str">
        <f>IF(folha1[[#This Row],[Participação (%)]]=100,"BASE PRÓPRIA","BASE POOL")</f>
        <v>BASE POOL</v>
      </c>
      <c r="O406" s="3" t="s">
        <v>1346</v>
      </c>
      <c r="P406" s="5">
        <v>41393</v>
      </c>
    </row>
    <row r="407" spans="1:16" ht="19.95" customHeight="1" thickBot="1" x14ac:dyDescent="0.35">
      <c r="A407" s="3" t="s">
        <v>1659</v>
      </c>
      <c r="B407" s="3" t="s">
        <v>1507</v>
      </c>
      <c r="C407" s="6" t="str">
        <f>VLOOKUP(folha1[[#This Row],[Razão Social]],Planilha1!A:C,2,0)</f>
        <v>VIBRA ENERGIA S.A</v>
      </c>
      <c r="D407" s="3" t="s">
        <v>15</v>
      </c>
      <c r="E407" s="6" t="str">
        <f>VLOOKUP(folha1[[#This Row],[Razão Social]],Planilha1!A:C,3,0)</f>
        <v>MAJOR</v>
      </c>
      <c r="F407" s="3" t="s">
        <v>1660</v>
      </c>
      <c r="G407" s="3" t="s">
        <v>1661</v>
      </c>
      <c r="H407" s="3" t="s">
        <v>1425</v>
      </c>
      <c r="I407" s="3"/>
      <c r="J407" s="3" t="s">
        <v>1425</v>
      </c>
      <c r="K407" s="3" t="s">
        <v>59</v>
      </c>
      <c r="L407" s="4">
        <v>8709.85</v>
      </c>
      <c r="M407" s="4">
        <v>100</v>
      </c>
      <c r="N407" s="4" t="str">
        <f>IF(folha1[[#This Row],[Participação (%)]]=100,"BASE PRÓPRIA","BASE POOL")</f>
        <v>BASE PRÓPRIA</v>
      </c>
      <c r="O407" s="3" t="s">
        <v>1662</v>
      </c>
      <c r="P407" s="5">
        <v>42020</v>
      </c>
    </row>
    <row r="408" spans="1:16" ht="19.95" customHeight="1" thickBot="1" x14ac:dyDescent="0.35">
      <c r="A408" s="3" t="s">
        <v>1663</v>
      </c>
      <c r="B408" s="3" t="s">
        <v>1507</v>
      </c>
      <c r="C408" s="6" t="str">
        <f>VLOOKUP(folha1[[#This Row],[Razão Social]],Planilha1!A:C,2,0)</f>
        <v>VIBRA ENERGIA S.A</v>
      </c>
      <c r="D408" s="3" t="s">
        <v>15</v>
      </c>
      <c r="E408" s="6" t="str">
        <f>VLOOKUP(folha1[[#This Row],[Razão Social]],Planilha1!A:C,3,0)</f>
        <v>MAJOR</v>
      </c>
      <c r="F408" s="3" t="s">
        <v>1276</v>
      </c>
      <c r="G408" s="3" t="s">
        <v>103</v>
      </c>
      <c r="H408" s="3" t="s">
        <v>1277</v>
      </c>
      <c r="I408" s="3" t="s">
        <v>1277</v>
      </c>
      <c r="J408" s="3" t="s">
        <v>1278</v>
      </c>
      <c r="K408" s="3" t="s">
        <v>798</v>
      </c>
      <c r="L408" s="4">
        <v>9903.5300000000007</v>
      </c>
      <c r="M408" s="4">
        <v>31.38</v>
      </c>
      <c r="N408" s="4" t="str">
        <f>IF(folha1[[#This Row],[Participação (%)]]=100,"BASE PRÓPRIA","BASE POOL")</f>
        <v>BASE POOL</v>
      </c>
      <c r="O408" s="3" t="s">
        <v>1279</v>
      </c>
      <c r="P408" s="5">
        <v>42717</v>
      </c>
    </row>
    <row r="409" spans="1:16" ht="19.95" customHeight="1" thickBot="1" x14ac:dyDescent="0.35">
      <c r="A409" s="3" t="s">
        <v>1664</v>
      </c>
      <c r="B409" s="3" t="s">
        <v>1507</v>
      </c>
      <c r="C409" s="6" t="str">
        <f>VLOOKUP(folha1[[#This Row],[Razão Social]],Planilha1!A:C,2,0)</f>
        <v>VIBRA ENERGIA S.A</v>
      </c>
      <c r="D409" s="3" t="s">
        <v>15</v>
      </c>
      <c r="E409" s="6" t="str">
        <f>VLOOKUP(folha1[[#This Row],[Razão Social]],Planilha1!A:C,3,0)</f>
        <v>MAJOR</v>
      </c>
      <c r="F409" s="3" t="s">
        <v>1353</v>
      </c>
      <c r="G409" s="3" t="s">
        <v>64</v>
      </c>
      <c r="H409" s="3" t="s">
        <v>1354</v>
      </c>
      <c r="I409" s="3" t="s">
        <v>1355</v>
      </c>
      <c r="J409" s="3" t="s">
        <v>80</v>
      </c>
      <c r="K409" s="3" t="s">
        <v>20</v>
      </c>
      <c r="L409" s="4">
        <v>45251.94</v>
      </c>
      <c r="M409" s="4">
        <v>39.67</v>
      </c>
      <c r="N409" s="4" t="str">
        <f>IF(folha1[[#This Row],[Participação (%)]]=100,"BASE PRÓPRIA","BASE POOL")</f>
        <v>BASE POOL</v>
      </c>
      <c r="O409" s="3" t="s">
        <v>1356</v>
      </c>
      <c r="P409" s="5">
        <v>44872</v>
      </c>
    </row>
    <row r="410" spans="1:16" ht="19.95" customHeight="1" thickBot="1" x14ac:dyDescent="0.35">
      <c r="A410" s="3" t="s">
        <v>1665</v>
      </c>
      <c r="B410" s="3" t="s">
        <v>1507</v>
      </c>
      <c r="C410" s="6" t="str">
        <f>VLOOKUP(folha1[[#This Row],[Razão Social]],Planilha1!A:C,2,0)</f>
        <v>VIBRA ENERGIA S.A</v>
      </c>
      <c r="D410" s="3" t="s">
        <v>15</v>
      </c>
      <c r="E410" s="6" t="str">
        <f>VLOOKUP(folha1[[#This Row],[Razão Social]],Planilha1!A:C,3,0)</f>
        <v>MAJOR</v>
      </c>
      <c r="F410" s="3" t="s">
        <v>1364</v>
      </c>
      <c r="G410" s="3" t="s">
        <v>64</v>
      </c>
      <c r="H410" s="3" t="s">
        <v>1365</v>
      </c>
      <c r="I410" s="3" t="s">
        <v>1366</v>
      </c>
      <c r="J410" s="3" t="s">
        <v>1130</v>
      </c>
      <c r="K410" s="3" t="s">
        <v>28</v>
      </c>
      <c r="L410" s="4">
        <v>43691</v>
      </c>
      <c r="M410" s="4">
        <v>61.24</v>
      </c>
      <c r="N410" s="4" t="str">
        <f>IF(folha1[[#This Row],[Participação (%)]]=100,"BASE PRÓPRIA","BASE POOL")</f>
        <v>BASE POOL</v>
      </c>
      <c r="O410" s="3" t="s">
        <v>1367</v>
      </c>
      <c r="P410" s="5">
        <v>44201</v>
      </c>
    </row>
    <row r="411" spans="1:16" ht="19.95" customHeight="1" thickBot="1" x14ac:dyDescent="0.35">
      <c r="A411" s="3" t="s">
        <v>1666</v>
      </c>
      <c r="B411" s="3" t="s">
        <v>1507</v>
      </c>
      <c r="C411" s="6" t="str">
        <f>VLOOKUP(folha1[[#This Row],[Razão Social]],Planilha1!A:C,2,0)</f>
        <v>VIBRA ENERGIA S.A</v>
      </c>
      <c r="D411" s="3" t="s">
        <v>15</v>
      </c>
      <c r="E411" s="6" t="str">
        <f>VLOOKUP(folha1[[#This Row],[Razão Social]],Planilha1!A:C,3,0)</f>
        <v>MAJOR</v>
      </c>
      <c r="F411" s="3" t="s">
        <v>1667</v>
      </c>
      <c r="G411" s="3" t="s">
        <v>64</v>
      </c>
      <c r="H411" s="3" t="s">
        <v>85</v>
      </c>
      <c r="I411" s="3" t="s">
        <v>1668</v>
      </c>
      <c r="J411" s="3" t="s">
        <v>781</v>
      </c>
      <c r="K411" s="3" t="s">
        <v>706</v>
      </c>
      <c r="L411" s="4">
        <v>3247.33</v>
      </c>
      <c r="M411" s="4">
        <v>100</v>
      </c>
      <c r="N411" s="4" t="str">
        <f>IF(folha1[[#This Row],[Participação (%)]]=100,"BASE PRÓPRIA","BASE POOL")</f>
        <v>BASE PRÓPRIA</v>
      </c>
      <c r="O411" s="3" t="s">
        <v>1669</v>
      </c>
      <c r="P411" s="5">
        <v>42661</v>
      </c>
    </row>
    <row r="412" spans="1:16" ht="19.95" customHeight="1" thickBot="1" x14ac:dyDescent="0.35">
      <c r="A412" s="3" t="s">
        <v>1670</v>
      </c>
      <c r="B412" s="3" t="s">
        <v>1507</v>
      </c>
      <c r="C412" s="6" t="str">
        <f>VLOOKUP(folha1[[#This Row],[Razão Social]],Planilha1!A:C,2,0)</f>
        <v>VIBRA ENERGIA S.A</v>
      </c>
      <c r="D412" s="3" t="s">
        <v>15</v>
      </c>
      <c r="E412" s="6" t="str">
        <f>VLOOKUP(folha1[[#This Row],[Razão Social]],Planilha1!A:C,3,0)</f>
        <v>MAJOR</v>
      </c>
      <c r="F412" s="3" t="s">
        <v>1369</v>
      </c>
      <c r="G412" s="3" t="s">
        <v>64</v>
      </c>
      <c r="H412" s="3" t="s">
        <v>1370</v>
      </c>
      <c r="I412" s="3" t="s">
        <v>1371</v>
      </c>
      <c r="J412" s="3" t="s">
        <v>1372</v>
      </c>
      <c r="K412" s="3" t="s">
        <v>887</v>
      </c>
      <c r="L412" s="4">
        <v>222118</v>
      </c>
      <c r="M412" s="4">
        <v>58.78</v>
      </c>
      <c r="N412" s="4" t="str">
        <f>IF(folha1[[#This Row],[Participação (%)]]=100,"BASE PRÓPRIA","BASE POOL")</f>
        <v>BASE POOL</v>
      </c>
      <c r="O412" s="3" t="s">
        <v>1373</v>
      </c>
      <c r="P412" s="5">
        <v>46015</v>
      </c>
    </row>
    <row r="413" spans="1:16" ht="19.95" customHeight="1" thickBot="1" x14ac:dyDescent="0.35">
      <c r="A413" s="3" t="s">
        <v>1671</v>
      </c>
      <c r="B413" s="3" t="s">
        <v>1507</v>
      </c>
      <c r="C413" s="6" t="str">
        <f>VLOOKUP(folha1[[#This Row],[Razão Social]],Planilha1!A:C,2,0)</f>
        <v>VIBRA ENERGIA S.A</v>
      </c>
      <c r="D413" s="3" t="s">
        <v>15</v>
      </c>
      <c r="E413" s="6" t="str">
        <f>VLOOKUP(folha1[[#This Row],[Razão Social]],Planilha1!A:C,3,0)</f>
        <v>MAJOR</v>
      </c>
      <c r="F413" s="3" t="s">
        <v>775</v>
      </c>
      <c r="G413" s="3" t="s">
        <v>64</v>
      </c>
      <c r="H413" s="3" t="s">
        <v>776</v>
      </c>
      <c r="I413" s="3" t="s">
        <v>777</v>
      </c>
      <c r="J413" s="3" t="s">
        <v>778</v>
      </c>
      <c r="K413" s="3" t="s">
        <v>162</v>
      </c>
      <c r="L413" s="4">
        <v>16369.48</v>
      </c>
      <c r="M413" s="4">
        <v>26.82</v>
      </c>
      <c r="N413" s="4" t="str">
        <f>IF(folha1[[#This Row],[Participação (%)]]=100,"BASE PRÓPRIA","BASE POOL")</f>
        <v>BASE POOL</v>
      </c>
      <c r="O413" s="3"/>
      <c r="P413" s="5"/>
    </row>
    <row r="414" spans="1:16" ht="19.95" customHeight="1" thickBot="1" x14ac:dyDescent="0.35">
      <c r="A414" s="3" t="s">
        <v>1671</v>
      </c>
      <c r="B414" s="3" t="s">
        <v>1507</v>
      </c>
      <c r="C414" s="6" t="str">
        <f>VLOOKUP(folha1[[#This Row],[Razão Social]],Planilha1!A:C,2,0)</f>
        <v>VIBRA ENERGIA S.A</v>
      </c>
      <c r="D414" s="3" t="s">
        <v>15</v>
      </c>
      <c r="E414" s="6" t="str">
        <f>VLOOKUP(folha1[[#This Row],[Razão Social]],Planilha1!A:C,3,0)</f>
        <v>MAJOR</v>
      </c>
      <c r="F414" s="3" t="s">
        <v>775</v>
      </c>
      <c r="G414" s="3" t="s">
        <v>64</v>
      </c>
      <c r="H414" s="3" t="s">
        <v>1672</v>
      </c>
      <c r="I414" s="3" t="s">
        <v>777</v>
      </c>
      <c r="J414" s="3" t="s">
        <v>778</v>
      </c>
      <c r="K414" s="3" t="s">
        <v>162</v>
      </c>
      <c r="L414" s="4">
        <v>10958</v>
      </c>
      <c r="M414" s="4">
        <v>100</v>
      </c>
      <c r="N414" s="4" t="str">
        <f>IF(folha1[[#This Row],[Participação (%)]]=100,"BASE PRÓPRIA","BASE POOL")</f>
        <v>BASE PRÓPRIA</v>
      </c>
      <c r="O414" s="3" t="s">
        <v>1673</v>
      </c>
      <c r="P414" s="5">
        <v>44050</v>
      </c>
    </row>
    <row r="415" spans="1:16" ht="19.95" customHeight="1" thickBot="1" x14ac:dyDescent="0.35">
      <c r="A415" s="3" t="s">
        <v>1674</v>
      </c>
      <c r="B415" s="3" t="s">
        <v>1507</v>
      </c>
      <c r="C415" s="6" t="str">
        <f>VLOOKUP(folha1[[#This Row],[Razão Social]],Planilha1!A:C,2,0)</f>
        <v>VIBRA ENERGIA S.A</v>
      </c>
      <c r="D415" s="3" t="s">
        <v>15</v>
      </c>
      <c r="E415" s="6" t="str">
        <f>VLOOKUP(folha1[[#This Row],[Razão Social]],Planilha1!A:C,3,0)</f>
        <v>MAJOR</v>
      </c>
      <c r="F415" s="3" t="s">
        <v>1675</v>
      </c>
      <c r="G415" s="3" t="s">
        <v>84</v>
      </c>
      <c r="H415" s="3" t="s">
        <v>1676</v>
      </c>
      <c r="I415" s="3"/>
      <c r="J415" s="3" t="s">
        <v>1041</v>
      </c>
      <c r="K415" s="3" t="s">
        <v>44</v>
      </c>
      <c r="L415" s="4">
        <v>20176.16</v>
      </c>
      <c r="M415" s="4">
        <v>100</v>
      </c>
      <c r="N415" s="4" t="str">
        <f>IF(folha1[[#This Row],[Participação (%)]]=100,"BASE PRÓPRIA","BASE POOL")</f>
        <v>BASE PRÓPRIA</v>
      </c>
      <c r="O415" s="3" t="s">
        <v>1138</v>
      </c>
      <c r="P415" s="5">
        <v>41346</v>
      </c>
    </row>
    <row r="416" spans="1:16" ht="19.95" customHeight="1" thickBot="1" x14ac:dyDescent="0.35">
      <c r="A416" s="3" t="s">
        <v>1677</v>
      </c>
      <c r="B416" s="3" t="s">
        <v>1507</v>
      </c>
      <c r="C416" s="6" t="str">
        <f>VLOOKUP(folha1[[#This Row],[Razão Social]],Planilha1!A:C,2,0)</f>
        <v>VIBRA ENERGIA S.A</v>
      </c>
      <c r="D416" s="3" t="s">
        <v>15</v>
      </c>
      <c r="E416" s="6" t="str">
        <f>VLOOKUP(folha1[[#This Row],[Razão Social]],Planilha1!A:C,3,0)</f>
        <v>MAJOR</v>
      </c>
      <c r="F416" s="3" t="s">
        <v>1678</v>
      </c>
      <c r="G416" s="3" t="s">
        <v>64</v>
      </c>
      <c r="H416" s="3" t="s">
        <v>1679</v>
      </c>
      <c r="I416" s="3" t="s">
        <v>1680</v>
      </c>
      <c r="J416" s="3" t="s">
        <v>1681</v>
      </c>
      <c r="K416" s="3" t="s">
        <v>706</v>
      </c>
      <c r="L416" s="4">
        <v>59224</v>
      </c>
      <c r="M416" s="4">
        <v>100</v>
      </c>
      <c r="N416" s="4" t="str">
        <f>IF(folha1[[#This Row],[Participação (%)]]=100,"BASE PRÓPRIA","BASE POOL")</f>
        <v>BASE PRÓPRIA</v>
      </c>
      <c r="O416" s="3" t="s">
        <v>1682</v>
      </c>
      <c r="P416" s="5">
        <v>38267</v>
      </c>
    </row>
    <row r="417" spans="1:16" ht="19.95" customHeight="1" thickBot="1" x14ac:dyDescent="0.35">
      <c r="A417" s="3" t="s">
        <v>1683</v>
      </c>
      <c r="B417" s="3" t="s">
        <v>1507</v>
      </c>
      <c r="C417" s="6" t="str">
        <f>VLOOKUP(folha1[[#This Row],[Razão Social]],Planilha1!A:C,2,0)</f>
        <v>VIBRA ENERGIA S.A</v>
      </c>
      <c r="D417" s="3" t="s">
        <v>15</v>
      </c>
      <c r="E417" s="6" t="str">
        <f>VLOOKUP(folha1[[#This Row],[Razão Social]],Planilha1!A:C,3,0)</f>
        <v>MAJOR</v>
      </c>
      <c r="F417" s="3" t="s">
        <v>1388</v>
      </c>
      <c r="G417" s="3" t="s">
        <v>1389</v>
      </c>
      <c r="H417" s="3" t="s">
        <v>124</v>
      </c>
      <c r="I417" s="3"/>
      <c r="J417" s="3" t="s">
        <v>126</v>
      </c>
      <c r="K417" s="3" t="s">
        <v>87</v>
      </c>
      <c r="L417" s="4">
        <v>19612</v>
      </c>
      <c r="M417" s="4">
        <v>24.94</v>
      </c>
      <c r="N417" s="4" t="str">
        <f>IF(folha1[[#This Row],[Participação (%)]]=100,"BASE PRÓPRIA","BASE POOL")</f>
        <v>BASE POOL</v>
      </c>
      <c r="O417" s="3" t="s">
        <v>1390</v>
      </c>
      <c r="P417" s="5">
        <v>45313</v>
      </c>
    </row>
    <row r="418" spans="1:16" ht="19.95" customHeight="1" thickBot="1" x14ac:dyDescent="0.35">
      <c r="A418" s="3" t="s">
        <v>1684</v>
      </c>
      <c r="B418" s="3" t="s">
        <v>1507</v>
      </c>
      <c r="C418" s="6" t="str">
        <f>VLOOKUP(folha1[[#This Row],[Razão Social]],Planilha1!A:C,2,0)</f>
        <v>VIBRA ENERGIA S.A</v>
      </c>
      <c r="D418" s="3" t="s">
        <v>15</v>
      </c>
      <c r="E418" s="6" t="str">
        <f>VLOOKUP(folha1[[#This Row],[Razão Social]],Planilha1!A:C,3,0)</f>
        <v>MAJOR</v>
      </c>
      <c r="F418" s="3" t="s">
        <v>840</v>
      </c>
      <c r="G418" s="3" t="s">
        <v>1154</v>
      </c>
      <c r="H418" s="3" t="s">
        <v>18</v>
      </c>
      <c r="I418" s="3" t="s">
        <v>1155</v>
      </c>
      <c r="J418" s="3" t="s">
        <v>19</v>
      </c>
      <c r="K418" s="3" t="s">
        <v>20</v>
      </c>
      <c r="L418" s="4">
        <v>102624.56</v>
      </c>
      <c r="M418" s="4">
        <v>10.84</v>
      </c>
      <c r="N418" s="4" t="str">
        <f>IF(folha1[[#This Row],[Participação (%)]]=100,"BASE PRÓPRIA","BASE POOL")</f>
        <v>BASE POOL</v>
      </c>
      <c r="O418" s="3" t="s">
        <v>1156</v>
      </c>
      <c r="P418" s="5">
        <v>45926</v>
      </c>
    </row>
    <row r="419" spans="1:16" ht="19.95" customHeight="1" thickBot="1" x14ac:dyDescent="0.35">
      <c r="A419" s="3" t="s">
        <v>1685</v>
      </c>
      <c r="B419" s="3" t="s">
        <v>1507</v>
      </c>
      <c r="C419" s="6" t="str">
        <f>VLOOKUP(folha1[[#This Row],[Razão Social]],Planilha1!A:C,2,0)</f>
        <v>VIBRA ENERGIA S.A</v>
      </c>
      <c r="D419" s="3" t="s">
        <v>15</v>
      </c>
      <c r="E419" s="6" t="str">
        <f>VLOOKUP(folha1[[#This Row],[Razão Social]],Planilha1!A:C,3,0)</f>
        <v>MAJOR</v>
      </c>
      <c r="F419" s="3" t="s">
        <v>555</v>
      </c>
      <c r="G419" s="3" t="s">
        <v>540</v>
      </c>
      <c r="H419" s="3" t="s">
        <v>1385</v>
      </c>
      <c r="I419" s="3"/>
      <c r="J419" s="3" t="s">
        <v>343</v>
      </c>
      <c r="K419" s="3" t="s">
        <v>139</v>
      </c>
      <c r="L419" s="4">
        <v>12925</v>
      </c>
      <c r="M419" s="4">
        <v>11.4</v>
      </c>
      <c r="N419" s="4" t="str">
        <f>IF(folha1[[#This Row],[Participação (%)]]=100,"BASE PRÓPRIA","BASE POOL")</f>
        <v>BASE POOL</v>
      </c>
      <c r="O419" s="3" t="s">
        <v>108</v>
      </c>
      <c r="P419" s="5">
        <v>45379</v>
      </c>
    </row>
    <row r="420" spans="1:16" ht="19.95" customHeight="1" thickBot="1" x14ac:dyDescent="0.35">
      <c r="A420" s="3" t="s">
        <v>1686</v>
      </c>
      <c r="B420" s="3" t="s">
        <v>1507</v>
      </c>
      <c r="C420" s="6" t="str">
        <f>VLOOKUP(folha1[[#This Row],[Razão Social]],Planilha1!A:C,2,0)</f>
        <v>VIBRA ENERGIA S.A</v>
      </c>
      <c r="D420" s="3" t="s">
        <v>15</v>
      </c>
      <c r="E420" s="6" t="str">
        <f>VLOOKUP(folha1[[#This Row],[Razão Social]],Planilha1!A:C,3,0)</f>
        <v>MAJOR</v>
      </c>
      <c r="F420" s="3" t="s">
        <v>780</v>
      </c>
      <c r="G420" s="3" t="s">
        <v>671</v>
      </c>
      <c r="H420" s="3" t="s">
        <v>149</v>
      </c>
      <c r="I420" s="3"/>
      <c r="J420" s="3" t="s">
        <v>781</v>
      </c>
      <c r="K420" s="3" t="s">
        <v>706</v>
      </c>
      <c r="L420" s="4">
        <v>27173.86</v>
      </c>
      <c r="M420" s="4">
        <v>50</v>
      </c>
      <c r="N420" s="4" t="str">
        <f>IF(folha1[[#This Row],[Participação (%)]]=100,"BASE PRÓPRIA","BASE POOL")</f>
        <v>BASE POOL</v>
      </c>
      <c r="O420" s="3" t="s">
        <v>782</v>
      </c>
      <c r="P420" s="5">
        <v>46007</v>
      </c>
    </row>
    <row r="421" spans="1:16" ht="19.95" customHeight="1" thickBot="1" x14ac:dyDescent="0.35">
      <c r="A421" s="3" t="s">
        <v>1687</v>
      </c>
      <c r="B421" s="3" t="s">
        <v>1507</v>
      </c>
      <c r="C421" s="6" t="str">
        <f>VLOOKUP(folha1[[#This Row],[Razão Social]],Planilha1!A:C,2,0)</f>
        <v>VIBRA ENERGIA S.A</v>
      </c>
      <c r="D421" s="3" t="s">
        <v>15</v>
      </c>
      <c r="E421" s="6" t="str">
        <f>VLOOKUP(folha1[[#This Row],[Razão Social]],Planilha1!A:C,3,0)</f>
        <v>MAJOR</v>
      </c>
      <c r="F421" s="3" t="s">
        <v>747</v>
      </c>
      <c r="G421" s="3" t="s">
        <v>748</v>
      </c>
      <c r="H421" s="3" t="s">
        <v>230</v>
      </c>
      <c r="I421" s="3"/>
      <c r="J421" s="3" t="s">
        <v>705</v>
      </c>
      <c r="K421" s="3" t="s">
        <v>706</v>
      </c>
      <c r="L421" s="4">
        <v>21304</v>
      </c>
      <c r="M421" s="4">
        <v>33.33</v>
      </c>
      <c r="N421" s="4" t="str">
        <f>IF(folha1[[#This Row],[Participação (%)]]=100,"BASE PRÓPRIA","BASE POOL")</f>
        <v>BASE POOL</v>
      </c>
      <c r="O421" s="3" t="s">
        <v>749</v>
      </c>
      <c r="P421" s="5">
        <v>45278</v>
      </c>
    </row>
    <row r="422" spans="1:16" ht="19.95" customHeight="1" thickBot="1" x14ac:dyDescent="0.35">
      <c r="A422" s="3" t="s">
        <v>1688</v>
      </c>
      <c r="B422" s="3" t="s">
        <v>1689</v>
      </c>
      <c r="C422" s="6" t="str">
        <f>VLOOKUP(folha1[[#This Row],[Razão Social]],Planilha1!A:C,2,0)</f>
        <v>ALLGREEN  .</v>
      </c>
      <c r="D422" s="3" t="s">
        <v>15</v>
      </c>
      <c r="E422" s="6" t="str">
        <f>VLOOKUP(folha1[[#This Row],[Razão Social]],Planilha1!A:C,3,0)</f>
        <v>REGIONAL</v>
      </c>
      <c r="F422" s="3" t="s">
        <v>1690</v>
      </c>
      <c r="G422" s="3" t="s">
        <v>64</v>
      </c>
      <c r="H422" s="3" t="s">
        <v>92</v>
      </c>
      <c r="I422" s="3"/>
      <c r="J422" s="3" t="s">
        <v>1691</v>
      </c>
      <c r="K422" s="3" t="s">
        <v>744</v>
      </c>
      <c r="L422" s="4">
        <v>787</v>
      </c>
      <c r="M422" s="4">
        <v>100</v>
      </c>
      <c r="N422" s="4" t="str">
        <f>IF(folha1[[#This Row],[Participação (%)]]=100,"BASE PRÓPRIA","BASE POOL")</f>
        <v>BASE PRÓPRIA</v>
      </c>
      <c r="O422" s="3" t="s">
        <v>1692</v>
      </c>
      <c r="P422" s="5">
        <v>44246</v>
      </c>
    </row>
    <row r="423" spans="1:16" ht="19.95" customHeight="1" thickBot="1" x14ac:dyDescent="0.35">
      <c r="A423" s="3" t="s">
        <v>1693</v>
      </c>
      <c r="B423" s="3" t="s">
        <v>1694</v>
      </c>
      <c r="C423" s="6" t="str">
        <f>VLOOKUP(folha1[[#This Row],[Razão Social]],Planilha1!A:C,2,0)</f>
        <v>WEBPETRO  .</v>
      </c>
      <c r="D423" s="3" t="s">
        <v>15</v>
      </c>
      <c r="E423" s="6" t="str">
        <f>VLOOKUP(folha1[[#This Row],[Razão Social]],Planilha1!A:C,3,0)</f>
        <v>REGIONAL</v>
      </c>
      <c r="F423" s="3" t="s">
        <v>129</v>
      </c>
      <c r="G423" s="3" t="s">
        <v>24</v>
      </c>
      <c r="H423" s="3" t="s">
        <v>130</v>
      </c>
      <c r="I423" s="3" t="s">
        <v>131</v>
      </c>
      <c r="J423" s="3" t="s">
        <v>27</v>
      </c>
      <c r="K423" s="3" t="s">
        <v>28</v>
      </c>
      <c r="L423" s="4">
        <v>13681.7</v>
      </c>
      <c r="M423" s="4">
        <v>6</v>
      </c>
      <c r="N423" s="4" t="str">
        <f>IF(folha1[[#This Row],[Participação (%)]]=100,"BASE PRÓPRIA","BASE POOL")</f>
        <v>BASE POOL</v>
      </c>
      <c r="O423" s="3" t="s">
        <v>132</v>
      </c>
      <c r="P423" s="5">
        <v>45817</v>
      </c>
    </row>
    <row r="424" spans="1:16" ht="19.95" customHeight="1" thickBot="1" x14ac:dyDescent="0.35">
      <c r="A424" s="3" t="s">
        <v>1695</v>
      </c>
      <c r="B424" s="3" t="s">
        <v>1696</v>
      </c>
      <c r="C424" s="6" t="str">
        <f>VLOOKUP(folha1[[#This Row],[Razão Social]],Planilha1!A:C,2,0)</f>
        <v xml:space="preserve">ACAI PARA COMERCIO DE PETROLEO </v>
      </c>
      <c r="D424" s="3" t="s">
        <v>15</v>
      </c>
      <c r="E424" s="6" t="str">
        <f>VLOOKUP(folha1[[#This Row],[Razão Social]],Planilha1!A:C,3,0)</f>
        <v>REGIONAL</v>
      </c>
      <c r="F424" s="3" t="s">
        <v>1697</v>
      </c>
      <c r="G424" s="3" t="s">
        <v>577</v>
      </c>
      <c r="H424" s="3" t="s">
        <v>92</v>
      </c>
      <c r="I424" s="3"/>
      <c r="J424" s="3" t="s">
        <v>1698</v>
      </c>
      <c r="K424" s="3" t="s">
        <v>706</v>
      </c>
      <c r="L424" s="4">
        <v>8942</v>
      </c>
      <c r="M424" s="4">
        <v>100</v>
      </c>
      <c r="N424" s="4" t="str">
        <f>IF(folha1[[#This Row],[Participação (%)]]=100,"BASE PRÓPRIA","BASE POOL")</f>
        <v>BASE PRÓPRIA</v>
      </c>
      <c r="O424" s="3" t="s">
        <v>1699</v>
      </c>
      <c r="P424" s="5">
        <v>45646</v>
      </c>
    </row>
    <row r="425" spans="1:16" ht="19.95" customHeight="1" thickBot="1" x14ac:dyDescent="0.35">
      <c r="A425" s="3" t="s">
        <v>1700</v>
      </c>
      <c r="B425" s="3" t="s">
        <v>1701</v>
      </c>
      <c r="C425" s="6" t="str">
        <f>VLOOKUP(folha1[[#This Row],[Razão Social]],Planilha1!A:C,2,0)</f>
        <v xml:space="preserve">PHAENARETE  </v>
      </c>
      <c r="D425" s="3" t="s">
        <v>15</v>
      </c>
      <c r="E425" s="6" t="str">
        <f>VLOOKUP(folha1[[#This Row],[Razão Social]],Planilha1!A:C,3,0)</f>
        <v>REGIONAL</v>
      </c>
      <c r="F425" s="3" t="s">
        <v>588</v>
      </c>
      <c r="G425" s="3" t="s">
        <v>548</v>
      </c>
      <c r="H425" s="3" t="s">
        <v>589</v>
      </c>
      <c r="I425" s="3" t="s">
        <v>590</v>
      </c>
      <c r="J425" s="3" t="s">
        <v>591</v>
      </c>
      <c r="K425" s="3" t="s">
        <v>20</v>
      </c>
      <c r="L425" s="4">
        <v>8093</v>
      </c>
      <c r="M425" s="4">
        <v>9.02</v>
      </c>
      <c r="N425" s="4" t="str">
        <f>IF(folha1[[#This Row],[Participação (%)]]=100,"BASE PRÓPRIA","BASE POOL")</f>
        <v>BASE POOL</v>
      </c>
      <c r="O425" s="3" t="s">
        <v>592</v>
      </c>
      <c r="P425" s="5">
        <v>44944</v>
      </c>
    </row>
    <row r="426" spans="1:16" ht="19.95" customHeight="1" thickBot="1" x14ac:dyDescent="0.35">
      <c r="A426" s="3" t="s">
        <v>1702</v>
      </c>
      <c r="B426" s="3" t="s">
        <v>1703</v>
      </c>
      <c r="C426" s="6" t="str">
        <f>VLOOKUP(folha1[[#This Row],[Razão Social]],Planilha1!A:C,2,0)</f>
        <v xml:space="preserve">WORLD COMERCIO ATACADISTA DE COMBUSTIVEIS </v>
      </c>
      <c r="D426" s="3" t="s">
        <v>15</v>
      </c>
      <c r="E426" s="6" t="str">
        <f>VLOOKUP(folha1[[#This Row],[Razão Social]],Planilha1!A:C,3,0)</f>
        <v>REGIONAL</v>
      </c>
      <c r="F426" s="3" t="s">
        <v>863</v>
      </c>
      <c r="G426" s="3" t="s">
        <v>864</v>
      </c>
      <c r="H426" s="3" t="s">
        <v>865</v>
      </c>
      <c r="I426" s="3" t="s">
        <v>866</v>
      </c>
      <c r="J426" s="3" t="s">
        <v>797</v>
      </c>
      <c r="K426" s="3" t="s">
        <v>798</v>
      </c>
      <c r="L426" s="4">
        <v>18970</v>
      </c>
      <c r="M426" s="4">
        <v>5</v>
      </c>
      <c r="N426" s="4" t="str">
        <f>IF(folha1[[#This Row],[Participação (%)]]=100,"BASE PRÓPRIA","BASE POOL")</f>
        <v>BASE POOL</v>
      </c>
      <c r="O426" s="3" t="s">
        <v>867</v>
      </c>
      <c r="P426" s="5">
        <v>45880</v>
      </c>
    </row>
    <row r="427" spans="1:16" ht="19.95" customHeight="1" thickBot="1" x14ac:dyDescent="0.35">
      <c r="A427" s="3" t="s">
        <v>1704</v>
      </c>
      <c r="B427" s="3" t="s">
        <v>1705</v>
      </c>
      <c r="C427" s="6" t="str">
        <f>VLOOKUP(folha1[[#This Row],[Razão Social]],Planilha1!A:C,2,0)</f>
        <v>PETRORIENTE  S.A</v>
      </c>
      <c r="D427" s="3" t="s">
        <v>15</v>
      </c>
      <c r="E427" s="6" t="str">
        <f>VLOOKUP(folha1[[#This Row],[Razão Social]],Planilha1!A:C,3,0)</f>
        <v>REGIONAL</v>
      </c>
      <c r="F427" s="3" t="s">
        <v>63</v>
      </c>
      <c r="G427" s="3" t="s">
        <v>64</v>
      </c>
      <c r="H427" s="3" t="s">
        <v>65</v>
      </c>
      <c r="I427" s="3" t="s">
        <v>66</v>
      </c>
      <c r="J427" s="3" t="s">
        <v>67</v>
      </c>
      <c r="K427" s="3" t="s">
        <v>68</v>
      </c>
      <c r="L427" s="4">
        <v>20120</v>
      </c>
      <c r="M427" s="4">
        <v>3.72</v>
      </c>
      <c r="N427" s="4" t="str">
        <f>IF(folha1[[#This Row],[Participação (%)]]=100,"BASE PRÓPRIA","BASE POOL")</f>
        <v>BASE POOL</v>
      </c>
      <c r="O427" s="3" t="s">
        <v>69</v>
      </c>
      <c r="P427" s="5">
        <v>45106</v>
      </c>
    </row>
    <row r="428" spans="1:16" ht="19.95" customHeight="1" thickBot="1" x14ac:dyDescent="0.35">
      <c r="A428" s="3" t="s">
        <v>1706</v>
      </c>
      <c r="B428" s="3" t="s">
        <v>1707</v>
      </c>
      <c r="C428" s="6" t="str">
        <f>VLOOKUP(folha1[[#This Row],[Razão Social]],Planilha1!A:C,2,0)</f>
        <v xml:space="preserve">EASY PETRO  </v>
      </c>
      <c r="D428" s="3" t="s">
        <v>15</v>
      </c>
      <c r="E428" s="6" t="str">
        <f>VLOOKUP(folha1[[#This Row],[Razão Social]],Planilha1!A:C,3,0)</f>
        <v>REGIONAL</v>
      </c>
      <c r="F428" s="3" t="s">
        <v>63</v>
      </c>
      <c r="G428" s="3" t="s">
        <v>64</v>
      </c>
      <c r="H428" s="3" t="s">
        <v>65</v>
      </c>
      <c r="I428" s="3" t="s">
        <v>66</v>
      </c>
      <c r="J428" s="3" t="s">
        <v>67</v>
      </c>
      <c r="K428" s="3" t="s">
        <v>68</v>
      </c>
      <c r="L428" s="4">
        <v>20120</v>
      </c>
      <c r="M428" s="4">
        <v>3.72</v>
      </c>
      <c r="N428" s="4" t="str">
        <f>IF(folha1[[#This Row],[Participação (%)]]=100,"BASE PRÓPRIA","BASE POOL")</f>
        <v>BASE POOL</v>
      </c>
      <c r="O428" s="3" t="s">
        <v>69</v>
      </c>
      <c r="P428" s="5">
        <v>45106</v>
      </c>
    </row>
    <row r="429" spans="1:16" ht="19.95" customHeight="1" thickBot="1" x14ac:dyDescent="0.35">
      <c r="A429" s="3" t="s">
        <v>1708</v>
      </c>
      <c r="B429" s="3" t="s">
        <v>1709</v>
      </c>
      <c r="C429" s="6" t="str">
        <f>VLOOKUP(folha1[[#This Row],[Razão Social]],Planilha1!A:C,2,0)</f>
        <v xml:space="preserve">GAZ PRIME  </v>
      </c>
      <c r="D429" s="3" t="s">
        <v>15</v>
      </c>
      <c r="E429" s="6" t="str">
        <f>VLOOKUP(folha1[[#This Row],[Razão Social]],Planilha1!A:C,3,0)</f>
        <v>REGIONAL</v>
      </c>
      <c r="F429" s="3" t="s">
        <v>63</v>
      </c>
      <c r="G429" s="3" t="s">
        <v>64</v>
      </c>
      <c r="H429" s="3" t="s">
        <v>65</v>
      </c>
      <c r="I429" s="3" t="s">
        <v>66</v>
      </c>
      <c r="J429" s="3" t="s">
        <v>67</v>
      </c>
      <c r="K429" s="3" t="s">
        <v>68</v>
      </c>
      <c r="L429" s="4">
        <v>20120</v>
      </c>
      <c r="M429" s="4">
        <v>3.72</v>
      </c>
      <c r="N429" s="4" t="str">
        <f>IF(folha1[[#This Row],[Participação (%)]]=100,"BASE PRÓPRIA","BASE POOL")</f>
        <v>BASE POOL</v>
      </c>
      <c r="O429" s="3" t="s">
        <v>69</v>
      </c>
      <c r="P429" s="5">
        <v>45106</v>
      </c>
    </row>
    <row r="430" spans="1:16" ht="19.95" customHeight="1" thickBot="1" x14ac:dyDescent="0.35">
      <c r="A430" s="3" t="s">
        <v>1710</v>
      </c>
      <c r="B430" s="3" t="s">
        <v>1711</v>
      </c>
      <c r="C430" s="6" t="str">
        <f>VLOOKUP(folha1[[#This Row],[Razão Social]],Planilha1!A:C,2,0)</f>
        <v xml:space="preserve">START PETROLEO </v>
      </c>
      <c r="D430" s="3" t="s">
        <v>15</v>
      </c>
      <c r="E430" s="6" t="str">
        <f>VLOOKUP(folha1[[#This Row],[Razão Social]],Planilha1!A:C,3,0)</f>
        <v>REGIONAL</v>
      </c>
      <c r="F430" s="3" t="s">
        <v>63</v>
      </c>
      <c r="G430" s="3" t="s">
        <v>64</v>
      </c>
      <c r="H430" s="3" t="s">
        <v>65</v>
      </c>
      <c r="I430" s="3" t="s">
        <v>66</v>
      </c>
      <c r="J430" s="3" t="s">
        <v>67</v>
      </c>
      <c r="K430" s="3" t="s">
        <v>68</v>
      </c>
      <c r="L430" s="4">
        <v>20120</v>
      </c>
      <c r="M430" s="4">
        <v>3.72</v>
      </c>
      <c r="N430" s="4" t="str">
        <f>IF(folha1[[#This Row],[Participação (%)]]=100,"BASE PRÓPRIA","BASE POOL")</f>
        <v>BASE POOL</v>
      </c>
      <c r="O430" s="3" t="s">
        <v>69</v>
      </c>
      <c r="P430" s="5">
        <v>45106</v>
      </c>
    </row>
    <row r="431" spans="1:16" ht="19.95" customHeight="1" thickBot="1" x14ac:dyDescent="0.35">
      <c r="A431" s="3" t="s">
        <v>1712</v>
      </c>
      <c r="B431" s="3" t="s">
        <v>1713</v>
      </c>
      <c r="C431" s="6" t="str">
        <f>VLOOKUP(folha1[[#This Row],[Razão Social]],Planilha1!A:C,2,0)</f>
        <v xml:space="preserve">THEX COMBUSTIVEIS </v>
      </c>
      <c r="D431" s="3" t="s">
        <v>15</v>
      </c>
      <c r="E431" s="6" t="str">
        <f>VLOOKUP(folha1[[#This Row],[Razão Social]],Planilha1!A:C,3,0)</f>
        <v>REGIONAL</v>
      </c>
      <c r="F431" s="3" t="s">
        <v>1714</v>
      </c>
      <c r="G431" s="3" t="s">
        <v>1715</v>
      </c>
      <c r="H431" s="3" t="s">
        <v>92</v>
      </c>
      <c r="I431" s="3" t="s">
        <v>1716</v>
      </c>
      <c r="J431" s="3" t="s">
        <v>1717</v>
      </c>
      <c r="K431" s="3" t="s">
        <v>162</v>
      </c>
      <c r="L431" s="4">
        <v>1812</v>
      </c>
      <c r="M431" s="4">
        <v>100</v>
      </c>
      <c r="N431" s="4" t="str">
        <f>IF(folha1[[#This Row],[Participação (%)]]=100,"BASE PRÓPRIA","BASE POOL")</f>
        <v>BASE PRÓPRIA</v>
      </c>
      <c r="O431" s="3" t="s">
        <v>739</v>
      </c>
      <c r="P431" s="5">
        <v>45635</v>
      </c>
    </row>
    <row r="432" spans="1:16" ht="19.95" customHeight="1" thickBot="1" x14ac:dyDescent="0.35">
      <c r="A432" s="3" t="s">
        <v>1718</v>
      </c>
      <c r="B432" s="3" t="s">
        <v>1719</v>
      </c>
      <c r="C432" s="6" t="str">
        <f>VLOOKUP(folha1[[#This Row],[Razão Social]],Planilha1!A:C,2,0)</f>
        <v xml:space="preserve">ORIZONA COMBUSTIVEIS </v>
      </c>
      <c r="D432" s="3" t="s">
        <v>15</v>
      </c>
      <c r="E432" s="6" t="str">
        <f>VLOOKUP(folha1[[#This Row],[Razão Social]],Planilha1!A:C,3,0)</f>
        <v>REGIONAL</v>
      </c>
      <c r="F432" s="3" t="s">
        <v>63</v>
      </c>
      <c r="G432" s="3" t="s">
        <v>64</v>
      </c>
      <c r="H432" s="3" t="s">
        <v>65</v>
      </c>
      <c r="I432" s="3" t="s">
        <v>66</v>
      </c>
      <c r="J432" s="3" t="s">
        <v>67</v>
      </c>
      <c r="K432" s="3" t="s">
        <v>68</v>
      </c>
      <c r="L432" s="4">
        <v>20120</v>
      </c>
      <c r="M432" s="4">
        <v>3.72</v>
      </c>
      <c r="N432" s="4" t="str">
        <f>IF(folha1[[#This Row],[Participação (%)]]=100,"BASE PRÓPRIA","BASE POOL")</f>
        <v>BASE POOL</v>
      </c>
      <c r="O432" s="3" t="s">
        <v>69</v>
      </c>
      <c r="P432" s="5">
        <v>45106</v>
      </c>
    </row>
    <row r="433" spans="1:16" ht="19.95" customHeight="1" thickBot="1" x14ac:dyDescent="0.35">
      <c r="A433" s="3" t="s">
        <v>1720</v>
      </c>
      <c r="B433" s="3" t="s">
        <v>1721</v>
      </c>
      <c r="C433" s="6" t="str">
        <f>VLOOKUP(folha1[[#This Row],[Razão Social]],Planilha1!A:C,2,0)</f>
        <v xml:space="preserve">WELLPETRO COMÉRCIO DE COMBUSTÍVEIS </v>
      </c>
      <c r="D433" s="3" t="s">
        <v>15</v>
      </c>
      <c r="E433" s="6" t="str">
        <f>VLOOKUP(folha1[[#This Row],[Razão Social]],Planilha1!A:C,3,0)</f>
        <v>REGIONAL</v>
      </c>
      <c r="F433" s="3" t="s">
        <v>217</v>
      </c>
      <c r="G433" s="3" t="s">
        <v>218</v>
      </c>
      <c r="H433" s="3" t="s">
        <v>219</v>
      </c>
      <c r="I433" s="3"/>
      <c r="J433" s="3" t="s">
        <v>80</v>
      </c>
      <c r="K433" s="3" t="s">
        <v>20</v>
      </c>
      <c r="L433" s="4">
        <v>11732.83</v>
      </c>
      <c r="M433" s="4">
        <v>5.95</v>
      </c>
      <c r="N433" s="4" t="str">
        <f>IF(folha1[[#This Row],[Participação (%)]]=100,"BASE PRÓPRIA","BASE POOL")</f>
        <v>BASE POOL</v>
      </c>
      <c r="O433" s="3" t="s">
        <v>220</v>
      </c>
      <c r="P433" s="5">
        <v>45183</v>
      </c>
    </row>
    <row r="434" spans="1:16" ht="19.95" customHeight="1" thickBot="1" x14ac:dyDescent="0.35">
      <c r="A434" s="3" t="s">
        <v>1722</v>
      </c>
      <c r="B434" s="3" t="s">
        <v>1723</v>
      </c>
      <c r="C434" s="6" t="str">
        <f>VLOOKUP(folha1[[#This Row],[Razão Social]],Planilha1!A:C,2,0)</f>
        <v xml:space="preserve">DISLUB COMBUSTÍVEIS </v>
      </c>
      <c r="D434" s="3" t="s">
        <v>15</v>
      </c>
      <c r="E434" s="6" t="str">
        <f>VLOOKUP(folha1[[#This Row],[Razão Social]],Planilha1!A:C,3,0)</f>
        <v>REGIONAL</v>
      </c>
      <c r="F434" s="3" t="s">
        <v>811</v>
      </c>
      <c r="G434" s="3" t="s">
        <v>24</v>
      </c>
      <c r="H434" s="3" t="s">
        <v>812</v>
      </c>
      <c r="I434" s="3"/>
      <c r="J434" s="3" t="s">
        <v>280</v>
      </c>
      <c r="K434" s="3" t="s">
        <v>281</v>
      </c>
      <c r="L434" s="4">
        <v>7890</v>
      </c>
      <c r="M434" s="4">
        <v>8.0399999999999991</v>
      </c>
      <c r="N434" s="4" t="str">
        <f>IF(folha1[[#This Row],[Participação (%)]]=100,"BASE PRÓPRIA","BASE POOL")</f>
        <v>BASE POOL</v>
      </c>
      <c r="O434" s="3" t="s">
        <v>651</v>
      </c>
      <c r="P434" s="5">
        <v>44979</v>
      </c>
    </row>
    <row r="435" spans="1:16" ht="19.95" customHeight="1" thickBot="1" x14ac:dyDescent="0.35">
      <c r="A435" s="3" t="s">
        <v>1724</v>
      </c>
      <c r="B435" s="3" t="s">
        <v>1725</v>
      </c>
      <c r="C435" s="6" t="str">
        <f>VLOOKUP(folha1[[#This Row],[Razão Social]],Planilha1!A:C,2,0)</f>
        <v xml:space="preserve">ARAUPETRO  </v>
      </c>
      <c r="D435" s="3" t="s">
        <v>15</v>
      </c>
      <c r="E435" s="6" t="str">
        <f>VLOOKUP(folha1[[#This Row],[Razão Social]],Planilha1!A:C,3,0)</f>
        <v>REGIONAL</v>
      </c>
      <c r="F435" s="3" t="s">
        <v>173</v>
      </c>
      <c r="G435" s="3" t="s">
        <v>174</v>
      </c>
      <c r="H435" s="3" t="s">
        <v>175</v>
      </c>
      <c r="I435" s="3"/>
      <c r="J435" s="3" t="s">
        <v>126</v>
      </c>
      <c r="K435" s="3" t="s">
        <v>87</v>
      </c>
      <c r="L435" s="4">
        <v>5531.92</v>
      </c>
      <c r="M435" s="4">
        <v>13.56</v>
      </c>
      <c r="N435" s="4" t="str">
        <f>IF(folha1[[#This Row],[Participação (%)]]=100,"BASE PRÓPRIA","BASE POOL")</f>
        <v>BASE POOL</v>
      </c>
      <c r="O435" s="3" t="s">
        <v>176</v>
      </c>
      <c r="P435" s="5">
        <v>46162</v>
      </c>
    </row>
    <row r="436" spans="1:16" ht="19.95" customHeight="1" thickBot="1" x14ac:dyDescent="0.35">
      <c r="A436" s="3" t="s">
        <v>1726</v>
      </c>
      <c r="B436" s="3" t="s">
        <v>1727</v>
      </c>
      <c r="C436" s="6" t="str">
        <f>VLOOKUP(folha1[[#This Row],[Razão Social]],Planilha1!A:C,2,0)</f>
        <v xml:space="preserve">CARINTHIA </v>
      </c>
      <c r="D436" s="3" t="s">
        <v>15</v>
      </c>
      <c r="E436" s="6" t="str">
        <f>VLOOKUP(folha1[[#This Row],[Razão Social]],Planilha1!A:C,3,0)</f>
        <v>REGIONAL</v>
      </c>
      <c r="F436" s="3" t="s">
        <v>63</v>
      </c>
      <c r="G436" s="3" t="s">
        <v>64</v>
      </c>
      <c r="H436" s="3" t="s">
        <v>65</v>
      </c>
      <c r="I436" s="3" t="s">
        <v>66</v>
      </c>
      <c r="J436" s="3" t="s">
        <v>67</v>
      </c>
      <c r="K436" s="3" t="s">
        <v>68</v>
      </c>
      <c r="L436" s="4">
        <v>20120</v>
      </c>
      <c r="M436" s="4">
        <v>3.72</v>
      </c>
      <c r="N436" s="4" t="str">
        <f>IF(folha1[[#This Row],[Participação (%)]]=100,"BASE PRÓPRIA","BASE POOL")</f>
        <v>BASE POOL</v>
      </c>
      <c r="O436" s="3" t="s">
        <v>69</v>
      </c>
      <c r="P436" s="5">
        <v>45106</v>
      </c>
    </row>
    <row r="437" spans="1:16" ht="19.95" customHeight="1" thickBot="1" x14ac:dyDescent="0.35">
      <c r="A437" s="3" t="s">
        <v>1728</v>
      </c>
      <c r="B437" s="3" t="s">
        <v>1729</v>
      </c>
      <c r="C437" s="6" t="str">
        <f>VLOOKUP(folha1[[#This Row],[Razão Social]],Planilha1!A:C,2,0)</f>
        <v xml:space="preserve">INTEGRACAO COMBUSTIVEIS </v>
      </c>
      <c r="D437" s="3" t="s">
        <v>15</v>
      </c>
      <c r="E437" s="6" t="str">
        <f>VLOOKUP(folha1[[#This Row],[Razão Social]],Planilha1!A:C,3,0)</f>
        <v>REGIONAL</v>
      </c>
      <c r="F437" s="3" t="s">
        <v>63</v>
      </c>
      <c r="G437" s="3" t="s">
        <v>64</v>
      </c>
      <c r="H437" s="3" t="s">
        <v>65</v>
      </c>
      <c r="I437" s="3" t="s">
        <v>66</v>
      </c>
      <c r="J437" s="3" t="s">
        <v>67</v>
      </c>
      <c r="K437" s="3" t="s">
        <v>68</v>
      </c>
      <c r="L437" s="4">
        <v>20120</v>
      </c>
      <c r="M437" s="4">
        <v>3.72</v>
      </c>
      <c r="N437" s="4" t="str">
        <f>IF(folha1[[#This Row],[Participação (%)]]=100,"BASE PRÓPRIA","BASE POOL")</f>
        <v>BASE POOL</v>
      </c>
      <c r="O437" s="3" t="s">
        <v>69</v>
      </c>
      <c r="P437" s="5">
        <v>45106</v>
      </c>
    </row>
    <row r="438" spans="1:16" ht="19.95" customHeight="1" thickBot="1" x14ac:dyDescent="0.35">
      <c r="A438" s="3" t="s">
        <v>1730</v>
      </c>
      <c r="B438" s="3" t="s">
        <v>1731</v>
      </c>
      <c r="C438" s="6" t="str">
        <f>VLOOKUP(folha1[[#This Row],[Razão Social]],Planilha1!A:C,2,0)</f>
        <v xml:space="preserve">IGUATEMI PETROLEO </v>
      </c>
      <c r="D438" s="3" t="s">
        <v>15</v>
      </c>
      <c r="E438" s="6" t="str">
        <f>VLOOKUP(folha1[[#This Row],[Razão Social]],Planilha1!A:C,3,0)</f>
        <v>REGIONAL</v>
      </c>
      <c r="F438" s="3" t="s">
        <v>63</v>
      </c>
      <c r="G438" s="3" t="s">
        <v>64</v>
      </c>
      <c r="H438" s="3" t="s">
        <v>65</v>
      </c>
      <c r="I438" s="3" t="s">
        <v>66</v>
      </c>
      <c r="J438" s="3" t="s">
        <v>67</v>
      </c>
      <c r="K438" s="3" t="s">
        <v>68</v>
      </c>
      <c r="L438" s="4">
        <v>20120</v>
      </c>
      <c r="M438" s="4">
        <v>3.72</v>
      </c>
      <c r="N438" s="4" t="str">
        <f>IF(folha1[[#This Row],[Participação (%)]]=100,"BASE PRÓPRIA","BASE POOL")</f>
        <v>BASE POOL</v>
      </c>
      <c r="O438" s="3" t="s">
        <v>69</v>
      </c>
      <c r="P438" s="5">
        <v>45106</v>
      </c>
    </row>
    <row r="439" spans="1:16" ht="19.95" customHeight="1" thickBot="1" x14ac:dyDescent="0.35">
      <c r="A439" s="3" t="s">
        <v>1732</v>
      </c>
      <c r="B439" s="3" t="s">
        <v>1733</v>
      </c>
      <c r="C439" s="6" t="str">
        <f>VLOOKUP(folha1[[#This Row],[Razão Social]],Planilha1!A:C,2,0)</f>
        <v xml:space="preserve">WK PRODUTOS DE PETROLEO </v>
      </c>
      <c r="D439" s="3" t="s">
        <v>15</v>
      </c>
      <c r="E439" s="6" t="str">
        <f>VLOOKUP(folha1[[#This Row],[Razão Social]],Planilha1!A:C,3,0)</f>
        <v>REGIONAL</v>
      </c>
      <c r="F439" s="3" t="s">
        <v>606</v>
      </c>
      <c r="G439" s="3" t="s">
        <v>607</v>
      </c>
      <c r="H439" s="3" t="s">
        <v>608</v>
      </c>
      <c r="I439" s="3" t="s">
        <v>609</v>
      </c>
      <c r="J439" s="3" t="s">
        <v>320</v>
      </c>
      <c r="K439" s="3" t="s">
        <v>118</v>
      </c>
      <c r="L439" s="4">
        <v>15001.98</v>
      </c>
      <c r="M439" s="4">
        <v>5</v>
      </c>
      <c r="N439" s="4" t="str">
        <f>IF(folha1[[#This Row],[Participação (%)]]=100,"BASE PRÓPRIA","BASE POOL")</f>
        <v>BASE POOL</v>
      </c>
      <c r="O439" s="3" t="s">
        <v>381</v>
      </c>
      <c r="P439" s="5">
        <v>45904</v>
      </c>
    </row>
    <row r="440" spans="1:16" ht="19.95" customHeight="1" thickBot="1" x14ac:dyDescent="0.35">
      <c r="A440" s="3" t="s">
        <v>1734</v>
      </c>
      <c r="B440" s="3" t="s">
        <v>1735</v>
      </c>
      <c r="C440" s="6" t="str">
        <f>VLOOKUP(folha1[[#This Row],[Razão Social]],Planilha1!A:C,2,0)</f>
        <v>ARGEMIL  E ARMAZENS GERAIS .</v>
      </c>
      <c r="D440" s="3" t="s">
        <v>15</v>
      </c>
      <c r="E440" s="6" t="str">
        <f>VLOOKUP(folha1[[#This Row],[Razão Social]],Planilha1!A:C,3,0)</f>
        <v>REGIONAL</v>
      </c>
      <c r="F440" s="3" t="s">
        <v>670</v>
      </c>
      <c r="G440" s="3" t="s">
        <v>671</v>
      </c>
      <c r="H440" s="3" t="s">
        <v>672</v>
      </c>
      <c r="I440" s="3" t="s">
        <v>673</v>
      </c>
      <c r="J440" s="3" t="s">
        <v>80</v>
      </c>
      <c r="K440" s="3" t="s">
        <v>20</v>
      </c>
      <c r="L440" s="4">
        <v>20364.12</v>
      </c>
      <c r="M440" s="4">
        <v>3.68</v>
      </c>
      <c r="N440" s="4" t="str">
        <f>IF(folha1[[#This Row],[Participação (%)]]=100,"BASE PRÓPRIA","BASE POOL")</f>
        <v>BASE POOL</v>
      </c>
      <c r="O440" s="3" t="s">
        <v>674</v>
      </c>
      <c r="P440" s="5">
        <v>45173</v>
      </c>
    </row>
    <row r="441" spans="1:16" ht="19.95" customHeight="1" thickBot="1" x14ac:dyDescent="0.35">
      <c r="A441" s="3" t="s">
        <v>1736</v>
      </c>
      <c r="B441" s="3" t="s">
        <v>1737</v>
      </c>
      <c r="C441" s="6" t="str">
        <f>VLOOKUP(folha1[[#This Row],[Razão Social]],Planilha1!A:C,2,0)</f>
        <v xml:space="preserve">GASTECH PETROLEO  </v>
      </c>
      <c r="D441" s="3" t="s">
        <v>15</v>
      </c>
      <c r="E441" s="6" t="str">
        <f>VLOOKUP(folha1[[#This Row],[Razão Social]],Planilha1!A:C,3,0)</f>
        <v>REGIONAL</v>
      </c>
      <c r="F441" s="3" t="s">
        <v>884</v>
      </c>
      <c r="G441" s="3" t="s">
        <v>64</v>
      </c>
      <c r="H441" s="3" t="s">
        <v>92</v>
      </c>
      <c r="I441" s="3" t="s">
        <v>885</v>
      </c>
      <c r="J441" s="3" t="s">
        <v>886</v>
      </c>
      <c r="K441" s="3" t="s">
        <v>887</v>
      </c>
      <c r="L441" s="4">
        <v>6160</v>
      </c>
      <c r="M441" s="4">
        <v>12.5</v>
      </c>
      <c r="N441" s="4" t="str">
        <f>IF(folha1[[#This Row],[Participação (%)]]=100,"BASE PRÓPRIA","BASE POOL")</f>
        <v>BASE POOL</v>
      </c>
      <c r="O441" s="3" t="s">
        <v>427</v>
      </c>
      <c r="P441" s="5">
        <v>45541</v>
      </c>
    </row>
    <row r="442" spans="1:16" ht="19.95" customHeight="1" thickBot="1" x14ac:dyDescent="0.35">
      <c r="A442" s="3" t="s">
        <v>1738</v>
      </c>
      <c r="B442" s="3" t="s">
        <v>1739</v>
      </c>
      <c r="C442" s="6" t="str">
        <f>VLOOKUP(folha1[[#This Row],[Razão Social]],Planilha1!A:C,2,0)</f>
        <v xml:space="preserve">AVANT COMBUSTIVEIS </v>
      </c>
      <c r="D442" s="3" t="s">
        <v>15</v>
      </c>
      <c r="E442" s="6" t="str">
        <f>VLOOKUP(folha1[[#This Row],[Razão Social]],Planilha1!A:C,3,0)</f>
        <v>REGIONAL</v>
      </c>
      <c r="F442" s="3" t="s">
        <v>63</v>
      </c>
      <c r="G442" s="3" t="s">
        <v>64</v>
      </c>
      <c r="H442" s="3" t="s">
        <v>65</v>
      </c>
      <c r="I442" s="3" t="s">
        <v>66</v>
      </c>
      <c r="J442" s="3" t="s">
        <v>67</v>
      </c>
      <c r="K442" s="3" t="s">
        <v>68</v>
      </c>
      <c r="L442" s="4">
        <v>20120</v>
      </c>
      <c r="M442" s="4">
        <v>3.72</v>
      </c>
      <c r="N442" s="4" t="str">
        <f>IF(folha1[[#This Row],[Participação (%)]]=100,"BASE PRÓPRIA","BASE POOL")</f>
        <v>BASE POOL</v>
      </c>
      <c r="O442" s="3" t="s">
        <v>69</v>
      </c>
      <c r="P442" s="5">
        <v>45106</v>
      </c>
    </row>
    <row r="443" spans="1:16" ht="19.95" customHeight="1" thickBot="1" x14ac:dyDescent="0.35">
      <c r="A443" s="3" t="s">
        <v>1740</v>
      </c>
      <c r="B443" s="3" t="s">
        <v>1741</v>
      </c>
      <c r="C443" s="6" t="str">
        <f>VLOOKUP(folha1[[#This Row],[Razão Social]],Planilha1!A:C,2,0)</f>
        <v xml:space="preserve">CENTROESTE </v>
      </c>
      <c r="D443" s="3" t="s">
        <v>15</v>
      </c>
      <c r="E443" s="6" t="str">
        <f>VLOOKUP(folha1[[#This Row],[Razão Social]],Planilha1!A:C,3,0)</f>
        <v>REGIONAL</v>
      </c>
      <c r="F443" s="3" t="s">
        <v>1742</v>
      </c>
      <c r="G443" s="3" t="s">
        <v>1743</v>
      </c>
      <c r="H443" s="3" t="s">
        <v>1744</v>
      </c>
      <c r="I443" s="3"/>
      <c r="J443" s="3" t="s">
        <v>399</v>
      </c>
      <c r="K443" s="3" t="s">
        <v>118</v>
      </c>
      <c r="L443" s="4">
        <v>2920</v>
      </c>
      <c r="M443" s="4">
        <v>100</v>
      </c>
      <c r="N443" s="4" t="str">
        <f>IF(folha1[[#This Row],[Participação (%)]]=100,"BASE PRÓPRIA","BASE POOL")</f>
        <v>BASE PRÓPRIA</v>
      </c>
      <c r="O443" s="3" t="s">
        <v>1745</v>
      </c>
      <c r="P443" s="5">
        <v>46064</v>
      </c>
    </row>
    <row r="444" spans="1:16" ht="19.95" customHeight="1" thickBot="1" x14ac:dyDescent="0.35">
      <c r="A444" s="3" t="s">
        <v>1746</v>
      </c>
      <c r="B444" s="3" t="s">
        <v>1741</v>
      </c>
      <c r="C444" s="6" t="str">
        <f>VLOOKUP(folha1[[#This Row],[Razão Social]],Planilha1!A:C,2,0)</f>
        <v xml:space="preserve">CENTROESTE </v>
      </c>
      <c r="D444" s="3" t="s">
        <v>15</v>
      </c>
      <c r="E444" s="6" t="str">
        <f>VLOOKUP(folha1[[#This Row],[Razão Social]],Planilha1!A:C,3,0)</f>
        <v>REGIONAL</v>
      </c>
      <c r="F444" s="3" t="s">
        <v>1747</v>
      </c>
      <c r="G444" s="3" t="s">
        <v>103</v>
      </c>
      <c r="H444" s="3" t="s">
        <v>1515</v>
      </c>
      <c r="I444" s="3" t="s">
        <v>1748</v>
      </c>
      <c r="J444" s="3" t="s">
        <v>1515</v>
      </c>
      <c r="K444" s="3" t="s">
        <v>118</v>
      </c>
      <c r="L444" s="4">
        <v>9800</v>
      </c>
      <c r="M444" s="4">
        <v>100</v>
      </c>
      <c r="N444" s="4" t="str">
        <f>IF(folha1[[#This Row],[Participação (%)]]=100,"BASE PRÓPRIA","BASE POOL")</f>
        <v>BASE PRÓPRIA</v>
      </c>
      <c r="O444" s="3" t="s">
        <v>1304</v>
      </c>
      <c r="P444" s="5">
        <v>45629</v>
      </c>
    </row>
    <row r="445" spans="1:16" ht="19.95" customHeight="1" thickBot="1" x14ac:dyDescent="0.35">
      <c r="A445" s="3" t="s">
        <v>1749</v>
      </c>
      <c r="B445" s="3" t="s">
        <v>1741</v>
      </c>
      <c r="C445" s="6" t="str">
        <f>VLOOKUP(folha1[[#This Row],[Razão Social]],Planilha1!A:C,2,0)</f>
        <v xml:space="preserve">CENTROESTE </v>
      </c>
      <c r="D445" s="3" t="s">
        <v>15</v>
      </c>
      <c r="E445" s="6" t="str">
        <f>VLOOKUP(folha1[[#This Row],[Razão Social]],Planilha1!A:C,3,0)</f>
        <v>REGIONAL</v>
      </c>
      <c r="F445" s="3" t="s">
        <v>1750</v>
      </c>
      <c r="G445" s="3" t="s">
        <v>847</v>
      </c>
      <c r="H445" s="3" t="s">
        <v>149</v>
      </c>
      <c r="I445" s="3"/>
      <c r="J445" s="3" t="s">
        <v>117</v>
      </c>
      <c r="K445" s="3" t="s">
        <v>118</v>
      </c>
      <c r="L445" s="4">
        <v>4906.05</v>
      </c>
      <c r="M445" s="4">
        <v>100</v>
      </c>
      <c r="N445" s="4" t="str">
        <f>IF(folha1[[#This Row],[Participação (%)]]=100,"BASE PRÓPRIA","BASE POOL")</f>
        <v>BASE PRÓPRIA</v>
      </c>
      <c r="O445" s="3" t="s">
        <v>88</v>
      </c>
      <c r="P445" s="5">
        <v>45562</v>
      </c>
    </row>
    <row r="446" spans="1:16" ht="19.95" customHeight="1" thickBot="1" x14ac:dyDescent="0.35">
      <c r="A446" s="3" t="s">
        <v>1751</v>
      </c>
      <c r="B446" s="3" t="s">
        <v>1741</v>
      </c>
      <c r="C446" s="6" t="str">
        <f>VLOOKUP(folha1[[#This Row],[Razão Social]],Planilha1!A:C,2,0)</f>
        <v xml:space="preserve">CENTROESTE </v>
      </c>
      <c r="D446" s="3" t="s">
        <v>15</v>
      </c>
      <c r="E446" s="6" t="str">
        <f>VLOOKUP(folha1[[#This Row],[Razão Social]],Planilha1!A:C,3,0)</f>
        <v>REGIONAL</v>
      </c>
      <c r="F446" s="3" t="s">
        <v>290</v>
      </c>
      <c r="G446" s="3" t="s">
        <v>64</v>
      </c>
      <c r="H446" s="3" t="s">
        <v>1752</v>
      </c>
      <c r="I446" s="3" t="s">
        <v>1753</v>
      </c>
      <c r="J446" s="3" t="s">
        <v>1754</v>
      </c>
      <c r="K446" s="3" t="s">
        <v>118</v>
      </c>
      <c r="L446" s="4">
        <v>27571.11</v>
      </c>
      <c r="M446" s="4">
        <v>100</v>
      </c>
      <c r="N446" s="4" t="str">
        <f>IF(folha1[[#This Row],[Participação (%)]]=100,"BASE PRÓPRIA","BASE POOL")</f>
        <v>BASE PRÓPRIA</v>
      </c>
      <c r="O446" s="3" t="s">
        <v>1755</v>
      </c>
      <c r="P446" s="5">
        <v>45715</v>
      </c>
    </row>
    <row r="447" spans="1:16" ht="19.95" customHeight="1" thickBot="1" x14ac:dyDescent="0.35">
      <c r="A447" s="3" t="s">
        <v>1756</v>
      </c>
      <c r="B447" s="3" t="s">
        <v>1757</v>
      </c>
      <c r="C447" s="6" t="str">
        <f>VLOOKUP(folha1[[#This Row],[Razão Social]],Planilha1!A:C,2,0)</f>
        <v xml:space="preserve">PARANA  </v>
      </c>
      <c r="D447" s="3" t="s">
        <v>15</v>
      </c>
      <c r="E447" s="6" t="str">
        <f>VLOOKUP(folha1[[#This Row],[Razão Social]],Planilha1!A:C,3,0)</f>
        <v>REGIONAL</v>
      </c>
      <c r="F447" s="3" t="s">
        <v>925</v>
      </c>
      <c r="G447" s="3" t="s">
        <v>926</v>
      </c>
      <c r="H447" s="3" t="s">
        <v>42</v>
      </c>
      <c r="I447" s="3"/>
      <c r="J447" s="3" t="s">
        <v>43</v>
      </c>
      <c r="K447" s="3" t="s">
        <v>44</v>
      </c>
      <c r="L447" s="4">
        <v>33952</v>
      </c>
      <c r="M447" s="4">
        <v>3.6</v>
      </c>
      <c r="N447" s="4" t="str">
        <f>IF(folha1[[#This Row],[Participação (%)]]=100,"BASE PRÓPRIA","BASE POOL")</f>
        <v>BASE POOL</v>
      </c>
      <c r="O447" s="3" t="s">
        <v>927</v>
      </c>
      <c r="P447" s="5">
        <v>45770</v>
      </c>
    </row>
    <row r="448" spans="1:16" ht="19.95" customHeight="1" thickBot="1" x14ac:dyDescent="0.35">
      <c r="A448" s="3" t="s">
        <v>1758</v>
      </c>
      <c r="B448" s="3" t="s">
        <v>1759</v>
      </c>
      <c r="C448" s="6" t="str">
        <f>VLOOKUP(folha1[[#This Row],[Razão Social]],Planilha1!A:C,2,0)</f>
        <v xml:space="preserve">ARAPETRO  </v>
      </c>
      <c r="D448" s="3" t="s">
        <v>15</v>
      </c>
      <c r="E448" s="6" t="str">
        <f>VLOOKUP(folha1[[#This Row],[Razão Social]],Planilha1!A:C,3,0)</f>
        <v>REGIONAL</v>
      </c>
      <c r="F448" s="3" t="s">
        <v>1760</v>
      </c>
      <c r="G448" s="3" t="s">
        <v>64</v>
      </c>
      <c r="H448" s="3" t="s">
        <v>1761</v>
      </c>
      <c r="I448" s="3" t="s">
        <v>1762</v>
      </c>
      <c r="J448" s="3" t="s">
        <v>399</v>
      </c>
      <c r="K448" s="3" t="s">
        <v>118</v>
      </c>
      <c r="L448" s="4">
        <v>1000.3</v>
      </c>
      <c r="M448" s="4">
        <v>100</v>
      </c>
      <c r="N448" s="4" t="str">
        <f>IF(folha1[[#This Row],[Participação (%)]]=100,"BASE PRÓPRIA","BASE POOL")</f>
        <v>BASE PRÓPRIA</v>
      </c>
      <c r="O448" s="3" t="s">
        <v>1763</v>
      </c>
      <c r="P448" s="5">
        <v>45614</v>
      </c>
    </row>
    <row r="449" spans="1:16" ht="19.95" customHeight="1" thickBot="1" x14ac:dyDescent="0.35">
      <c r="A449" s="3" t="s">
        <v>1764</v>
      </c>
      <c r="B449" s="3" t="s">
        <v>1765</v>
      </c>
      <c r="C449" s="6" t="str">
        <f>VLOOKUP(folha1[[#This Row],[Razão Social]],Planilha1!A:C,2,0)</f>
        <v xml:space="preserve">SOLIS PETRO - TRADING E  </v>
      </c>
      <c r="D449" s="3" t="s">
        <v>15</v>
      </c>
      <c r="E449" s="6" t="str">
        <f>VLOOKUP(folha1[[#This Row],[Razão Social]],Planilha1!A:C,3,0)</f>
        <v>REGIONAL</v>
      </c>
      <c r="F449" s="3" t="s">
        <v>884</v>
      </c>
      <c r="G449" s="3" t="s">
        <v>64</v>
      </c>
      <c r="H449" s="3" t="s">
        <v>92</v>
      </c>
      <c r="I449" s="3" t="s">
        <v>885</v>
      </c>
      <c r="J449" s="3" t="s">
        <v>886</v>
      </c>
      <c r="K449" s="3" t="s">
        <v>887</v>
      </c>
      <c r="L449" s="4">
        <v>6160</v>
      </c>
      <c r="M449" s="4">
        <v>12.5</v>
      </c>
      <c r="N449" s="4" t="str">
        <f>IF(folha1[[#This Row],[Participação (%)]]=100,"BASE PRÓPRIA","BASE POOL")</f>
        <v>BASE POOL</v>
      </c>
      <c r="O449" s="3" t="s">
        <v>427</v>
      </c>
      <c r="P449" s="5">
        <v>45541</v>
      </c>
    </row>
    <row r="450" spans="1:16" ht="19.95" customHeight="1" thickBot="1" x14ac:dyDescent="0.35">
      <c r="A450" s="3" t="s">
        <v>1766</v>
      </c>
      <c r="B450" s="3" t="s">
        <v>1767</v>
      </c>
      <c r="C450" s="6" t="str">
        <f>VLOOKUP(folha1[[#This Row],[Razão Social]],Planilha1!A:C,2,0)</f>
        <v xml:space="preserve">EVOLUTION  </v>
      </c>
      <c r="D450" s="3" t="s">
        <v>15</v>
      </c>
      <c r="E450" s="6" t="str">
        <f>VLOOKUP(folha1[[#This Row],[Razão Social]],Planilha1!A:C,3,0)</f>
        <v>REGIONAL</v>
      </c>
      <c r="F450" s="3" t="s">
        <v>1768</v>
      </c>
      <c r="G450" s="3" t="s">
        <v>1206</v>
      </c>
      <c r="H450" s="3" t="s">
        <v>1769</v>
      </c>
      <c r="I450" s="3"/>
      <c r="J450" s="3" t="s">
        <v>1770</v>
      </c>
      <c r="K450" s="3" t="s">
        <v>20</v>
      </c>
      <c r="L450" s="4">
        <v>795</v>
      </c>
      <c r="M450" s="4">
        <v>100</v>
      </c>
      <c r="N450" s="4" t="str">
        <f>IF(folha1[[#This Row],[Participação (%)]]=100,"BASE PRÓPRIA","BASE POOL")</f>
        <v>BASE PRÓPRIA</v>
      </c>
      <c r="O450" s="3" t="s">
        <v>1771</v>
      </c>
      <c r="P450" s="5">
        <v>46008</v>
      </c>
    </row>
    <row r="451" spans="1:16" ht="19.95" customHeight="1" thickBot="1" x14ac:dyDescent="0.35">
      <c r="A451" s="3" t="s">
        <v>1772</v>
      </c>
      <c r="B451" s="3" t="s">
        <v>1773</v>
      </c>
      <c r="C451" s="6" t="str">
        <f>VLOOKUP(folha1[[#This Row],[Razão Social]],Planilha1!A:C,2,0)</f>
        <v xml:space="preserve">SETTA COMBUSTIVEIS </v>
      </c>
      <c r="D451" s="3" t="s">
        <v>15</v>
      </c>
      <c r="E451" s="6" t="str">
        <f>VLOOKUP(folha1[[#This Row],[Razão Social]],Planilha1!A:C,3,0)</f>
        <v>REGIONAL</v>
      </c>
      <c r="F451" s="3" t="s">
        <v>884</v>
      </c>
      <c r="G451" s="3" t="s">
        <v>64</v>
      </c>
      <c r="H451" s="3" t="s">
        <v>92</v>
      </c>
      <c r="I451" s="3" t="s">
        <v>885</v>
      </c>
      <c r="J451" s="3" t="s">
        <v>886</v>
      </c>
      <c r="K451" s="3" t="s">
        <v>887</v>
      </c>
      <c r="L451" s="4">
        <v>6160</v>
      </c>
      <c r="M451" s="4">
        <v>12.5</v>
      </c>
      <c r="N451" s="4" t="str">
        <f>IF(folha1[[#This Row],[Participação (%)]]=100,"BASE PRÓPRIA","BASE POOL")</f>
        <v>BASE POOL</v>
      </c>
      <c r="O451" s="3" t="s">
        <v>427</v>
      </c>
      <c r="P451" s="5">
        <v>45541</v>
      </c>
    </row>
    <row r="452" spans="1:16" ht="19.95" customHeight="1" thickBot="1" x14ac:dyDescent="0.35">
      <c r="A452" s="3" t="s">
        <v>1774</v>
      </c>
      <c r="B452" s="3" t="s">
        <v>1775</v>
      </c>
      <c r="C452" s="6" t="str">
        <f>VLOOKUP(folha1[[#This Row],[Razão Social]],Planilha1!A:C,2,0)</f>
        <v xml:space="preserve">TMP TERMINAIS </v>
      </c>
      <c r="D452" s="3" t="s">
        <v>15</v>
      </c>
      <c r="E452" s="6" t="str">
        <f>VLOOKUP(folha1[[#This Row],[Razão Social]],Planilha1!A:C,3,0)</f>
        <v>REGIONAL</v>
      </c>
      <c r="F452" s="3" t="s">
        <v>1776</v>
      </c>
      <c r="G452" s="3" t="s">
        <v>577</v>
      </c>
      <c r="H452" s="3" t="s">
        <v>1777</v>
      </c>
      <c r="I452" s="3"/>
      <c r="J452" s="3" t="s">
        <v>1372</v>
      </c>
      <c r="K452" s="3" t="s">
        <v>887</v>
      </c>
      <c r="L452" s="4">
        <v>1750</v>
      </c>
      <c r="M452" s="4">
        <v>100</v>
      </c>
      <c r="N452" s="4" t="str">
        <f>IF(folha1[[#This Row],[Participação (%)]]=100,"BASE PRÓPRIA","BASE POOL")</f>
        <v>BASE PRÓPRIA</v>
      </c>
      <c r="O452" s="3" t="s">
        <v>1778</v>
      </c>
      <c r="P452" s="5">
        <v>37238</v>
      </c>
    </row>
    <row r="453" spans="1:16" ht="19.95" customHeight="1" thickBot="1" x14ac:dyDescent="0.35">
      <c r="A453" s="3" t="s">
        <v>1779</v>
      </c>
      <c r="B453" s="3" t="s">
        <v>1780</v>
      </c>
      <c r="C453" s="6" t="str">
        <f>VLOOKUP(folha1[[#This Row],[Razão Social]],Planilha1!A:C,2,0)</f>
        <v xml:space="preserve">VINCE DE COMBUSTIVEL </v>
      </c>
      <c r="D453" s="3" t="s">
        <v>15</v>
      </c>
      <c r="E453" s="6" t="str">
        <f>VLOOKUP(folha1[[#This Row],[Razão Social]],Planilha1!A:C,3,0)</f>
        <v>REGIONAL</v>
      </c>
      <c r="F453" s="3" t="s">
        <v>1781</v>
      </c>
      <c r="G453" s="3" t="s">
        <v>1782</v>
      </c>
      <c r="H453" s="3" t="s">
        <v>1783</v>
      </c>
      <c r="I453" s="3" t="s">
        <v>319</v>
      </c>
      <c r="J453" s="3" t="s">
        <v>1784</v>
      </c>
      <c r="K453" s="3" t="s">
        <v>68</v>
      </c>
      <c r="L453" s="4">
        <v>4673</v>
      </c>
      <c r="M453" s="4">
        <v>100</v>
      </c>
      <c r="N453" s="4" t="str">
        <f>IF(folha1[[#This Row],[Participação (%)]]=100,"BASE PRÓPRIA","BASE POOL")</f>
        <v>BASE PRÓPRIA</v>
      </c>
      <c r="O453" s="3" t="s">
        <v>1785</v>
      </c>
      <c r="P453" s="5">
        <v>46169</v>
      </c>
    </row>
    <row r="454" spans="1:16" ht="19.95" customHeight="1" thickBot="1" x14ac:dyDescent="0.35">
      <c r="A454" s="3" t="s">
        <v>1786</v>
      </c>
      <c r="B454" s="3" t="s">
        <v>1787</v>
      </c>
      <c r="C454" s="6" t="str">
        <f>VLOOKUP(folha1[[#This Row],[Razão Social]],Planilha1!A:C,2,0)</f>
        <v xml:space="preserve">PETROTORQUE JC  </v>
      </c>
      <c r="D454" s="3" t="s">
        <v>15</v>
      </c>
      <c r="E454" s="6" t="str">
        <f>VLOOKUP(folha1[[#This Row],[Razão Social]],Planilha1!A:C,3,0)</f>
        <v>REGIONAL</v>
      </c>
      <c r="F454" s="3" t="s">
        <v>1788</v>
      </c>
      <c r="G454" s="3" t="s">
        <v>999</v>
      </c>
      <c r="H454" s="3" t="s">
        <v>1789</v>
      </c>
      <c r="I454" s="3" t="s">
        <v>1790</v>
      </c>
      <c r="J454" s="3" t="s">
        <v>1791</v>
      </c>
      <c r="K454" s="3" t="s">
        <v>20</v>
      </c>
      <c r="L454" s="4">
        <v>1984.56</v>
      </c>
      <c r="M454" s="4">
        <v>62.2</v>
      </c>
      <c r="N454" s="4" t="str">
        <f>IF(folha1[[#This Row],[Participação (%)]]=100,"BASE PRÓPRIA","BASE POOL")</f>
        <v>BASE POOL</v>
      </c>
      <c r="O454" s="3" t="s">
        <v>510</v>
      </c>
      <c r="P454" s="5">
        <v>46107</v>
      </c>
    </row>
    <row r="455" spans="1:16" ht="19.95" customHeight="1" thickBot="1" x14ac:dyDescent="0.35">
      <c r="A455" s="3" t="s">
        <v>1792</v>
      </c>
      <c r="B455" s="3" t="s">
        <v>1793</v>
      </c>
      <c r="C455" s="6" t="str">
        <f>VLOOKUP(folha1[[#This Row],[Razão Social]],Planilha1!A:C,2,0)</f>
        <v>DUVALE  E ÁLCOOL .</v>
      </c>
      <c r="D455" s="3" t="s">
        <v>15</v>
      </c>
      <c r="E455" s="6" t="str">
        <f>VLOOKUP(folha1[[#This Row],[Razão Social]],Planilha1!A:C,3,0)</f>
        <v>REGIONAL</v>
      </c>
      <c r="F455" s="3" t="s">
        <v>588</v>
      </c>
      <c r="G455" s="3" t="s">
        <v>548</v>
      </c>
      <c r="H455" s="3" t="s">
        <v>589</v>
      </c>
      <c r="I455" s="3" t="s">
        <v>590</v>
      </c>
      <c r="J455" s="3" t="s">
        <v>591</v>
      </c>
      <c r="K455" s="3" t="s">
        <v>20</v>
      </c>
      <c r="L455" s="4">
        <v>8093</v>
      </c>
      <c r="M455" s="4">
        <v>9.02</v>
      </c>
      <c r="N455" s="4" t="str">
        <f>IF(folha1[[#This Row],[Participação (%)]]=100,"BASE PRÓPRIA","BASE POOL")</f>
        <v>BASE POOL</v>
      </c>
      <c r="O455" s="3" t="s">
        <v>592</v>
      </c>
      <c r="P455" s="5">
        <v>44944</v>
      </c>
    </row>
    <row r="456" spans="1:16" ht="19.95" customHeight="1" thickBot="1" x14ac:dyDescent="0.35">
      <c r="A456" s="3" t="s">
        <v>1794</v>
      </c>
      <c r="B456" s="3" t="s">
        <v>1795</v>
      </c>
      <c r="C456" s="6" t="str">
        <f>VLOOKUP(folha1[[#This Row],[Razão Social]],Planilha1!A:C,2,0)</f>
        <v xml:space="preserve">VIVA </v>
      </c>
      <c r="D456" s="3" t="s">
        <v>15</v>
      </c>
      <c r="E456" s="6" t="str">
        <f>VLOOKUP(folha1[[#This Row],[Razão Social]],Planilha1!A:C,3,0)</f>
        <v>REGIONAL</v>
      </c>
      <c r="F456" s="3" t="s">
        <v>606</v>
      </c>
      <c r="G456" s="3" t="s">
        <v>607</v>
      </c>
      <c r="H456" s="3" t="s">
        <v>608</v>
      </c>
      <c r="I456" s="3" t="s">
        <v>609</v>
      </c>
      <c r="J456" s="3" t="s">
        <v>320</v>
      </c>
      <c r="K456" s="3" t="s">
        <v>118</v>
      </c>
      <c r="L456" s="4">
        <v>15001.98</v>
      </c>
      <c r="M456" s="4">
        <v>5</v>
      </c>
      <c r="N456" s="4" t="str">
        <f>IF(folha1[[#This Row],[Participação (%)]]=100,"BASE PRÓPRIA","BASE POOL")</f>
        <v>BASE POOL</v>
      </c>
      <c r="O456" s="3" t="s">
        <v>381</v>
      </c>
      <c r="P456" s="5">
        <v>45904</v>
      </c>
    </row>
    <row r="457" spans="1:16" ht="19.95" customHeight="1" thickBot="1" x14ac:dyDescent="0.35">
      <c r="A457" s="3" t="s">
        <v>1796</v>
      </c>
      <c r="B457" s="3" t="s">
        <v>1797</v>
      </c>
      <c r="C457" s="6" t="str">
        <f>VLOOKUP(folha1[[#This Row],[Razão Social]],Planilha1!A:C,2,0)</f>
        <v>TOWER BRASIL PETRÓLEO .</v>
      </c>
      <c r="D457" s="3" t="s">
        <v>15</v>
      </c>
      <c r="E457" s="6" t="str">
        <f>VLOOKUP(folha1[[#This Row],[Razão Social]],Planilha1!A:C,3,0)</f>
        <v>REGIONAL</v>
      </c>
      <c r="F457" s="3" t="s">
        <v>167</v>
      </c>
      <c r="G457" s="3" t="s">
        <v>168</v>
      </c>
      <c r="H457" s="3" t="s">
        <v>169</v>
      </c>
      <c r="I457" s="3"/>
      <c r="J457" s="3" t="s">
        <v>19</v>
      </c>
      <c r="K457" s="3" t="s">
        <v>20</v>
      </c>
      <c r="L457" s="4">
        <v>19710</v>
      </c>
      <c r="M457" s="4">
        <v>4.8499999999999996</v>
      </c>
      <c r="N457" s="4" t="str">
        <f>IF(folha1[[#This Row],[Participação (%)]]=100,"BASE PRÓPRIA","BASE POOL")</f>
        <v>BASE POOL</v>
      </c>
      <c r="O457" s="3" t="s">
        <v>170</v>
      </c>
      <c r="P457" s="5">
        <v>43810</v>
      </c>
    </row>
    <row r="458" spans="1:16" ht="19.95" customHeight="1" thickBot="1" x14ac:dyDescent="0.35">
      <c r="A458" s="3" t="s">
        <v>1798</v>
      </c>
      <c r="B458" s="3" t="s">
        <v>1799</v>
      </c>
      <c r="C458" s="6" t="str">
        <f>VLOOKUP(folha1[[#This Row],[Razão Social]],Planilha1!A:C,2,0)</f>
        <v>FERA LUBRIFICANTES .</v>
      </c>
      <c r="D458" s="3" t="s">
        <v>15</v>
      </c>
      <c r="E458" s="6" t="str">
        <f>VLOOKUP(folha1[[#This Row],[Razão Social]],Planilha1!A:C,3,0)</f>
        <v>REGIONAL</v>
      </c>
      <c r="F458" s="3" t="s">
        <v>1800</v>
      </c>
      <c r="G458" s="3" t="s">
        <v>745</v>
      </c>
      <c r="H458" s="3" t="s">
        <v>357</v>
      </c>
      <c r="I458" s="3" t="s">
        <v>1801</v>
      </c>
      <c r="J458" s="3" t="s">
        <v>1802</v>
      </c>
      <c r="K458" s="3" t="s">
        <v>20</v>
      </c>
      <c r="L458" s="4">
        <v>4750</v>
      </c>
      <c r="M458" s="4">
        <v>100</v>
      </c>
      <c r="N458" s="4" t="str">
        <f>IF(folha1[[#This Row],[Participação (%)]]=100,"BASE PRÓPRIA","BASE POOL")</f>
        <v>BASE PRÓPRIA</v>
      </c>
      <c r="O458" s="3" t="s">
        <v>1196</v>
      </c>
      <c r="P458" s="5">
        <v>43626</v>
      </c>
    </row>
    <row r="459" spans="1:16" ht="19.95" customHeight="1" thickBot="1" x14ac:dyDescent="0.35">
      <c r="A459" s="3" t="s">
        <v>1803</v>
      </c>
      <c r="B459" s="3" t="s">
        <v>1804</v>
      </c>
      <c r="C459" s="6" t="str">
        <f>VLOOKUP(folha1[[#This Row],[Razão Social]],Planilha1!A:C,2,0)</f>
        <v xml:space="preserve">NEXTA </v>
      </c>
      <c r="D459" s="3" t="s">
        <v>15</v>
      </c>
      <c r="E459" s="6" t="str">
        <f>VLOOKUP(folha1[[#This Row],[Razão Social]],Planilha1!A:C,3,0)</f>
        <v>CONC MERC</v>
      </c>
      <c r="F459" s="3" t="s">
        <v>129</v>
      </c>
      <c r="G459" s="3" t="s">
        <v>24</v>
      </c>
      <c r="H459" s="3" t="s">
        <v>130</v>
      </c>
      <c r="I459" s="3" t="s">
        <v>131</v>
      </c>
      <c r="J459" s="3" t="s">
        <v>27</v>
      </c>
      <c r="K459" s="3" t="s">
        <v>28</v>
      </c>
      <c r="L459" s="4">
        <v>13681.7</v>
      </c>
      <c r="M459" s="4">
        <v>6</v>
      </c>
      <c r="N459" s="4" t="str">
        <f>IF(folha1[[#This Row],[Participação (%)]]=100,"BASE PRÓPRIA","BASE POOL")</f>
        <v>BASE POOL</v>
      </c>
      <c r="O459" s="3" t="s">
        <v>132</v>
      </c>
      <c r="P459" s="5">
        <v>45817</v>
      </c>
    </row>
    <row r="460" spans="1:16" ht="19.95" customHeight="1" thickBot="1" x14ac:dyDescent="0.35">
      <c r="A460" s="3" t="s">
        <v>1805</v>
      </c>
      <c r="B460" s="3" t="s">
        <v>1804</v>
      </c>
      <c r="C460" s="6" t="str">
        <f>VLOOKUP(folha1[[#This Row],[Razão Social]],Planilha1!A:C,2,0)</f>
        <v xml:space="preserve">NEXTA </v>
      </c>
      <c r="D460" s="3" t="s">
        <v>15</v>
      </c>
      <c r="E460" s="6" t="str">
        <f>VLOOKUP(folha1[[#This Row],[Razão Social]],Planilha1!A:C,3,0)</f>
        <v>CONC MERC</v>
      </c>
      <c r="F460" s="3" t="s">
        <v>1806</v>
      </c>
      <c r="G460" s="3" t="s">
        <v>64</v>
      </c>
      <c r="H460" s="3" t="s">
        <v>149</v>
      </c>
      <c r="I460" s="3" t="s">
        <v>1807</v>
      </c>
      <c r="J460" s="3" t="s">
        <v>1808</v>
      </c>
      <c r="K460" s="3" t="s">
        <v>118</v>
      </c>
      <c r="L460" s="4">
        <v>2907.79</v>
      </c>
      <c r="M460" s="4">
        <v>100</v>
      </c>
      <c r="N460" s="4" t="str">
        <f>IF(folha1[[#This Row],[Participação (%)]]=100,"BASE PRÓPRIA","BASE POOL")</f>
        <v>BASE PRÓPRIA</v>
      </c>
      <c r="O460" s="3" t="s">
        <v>613</v>
      </c>
      <c r="P460" s="5">
        <v>43801</v>
      </c>
    </row>
    <row r="461" spans="1:16" ht="19.95" customHeight="1" thickBot="1" x14ac:dyDescent="0.35">
      <c r="A461" s="3" t="s">
        <v>1809</v>
      </c>
      <c r="B461" s="3" t="s">
        <v>1804</v>
      </c>
      <c r="C461" s="6" t="str">
        <f>VLOOKUP(folha1[[#This Row],[Razão Social]],Planilha1!A:C,2,0)</f>
        <v xml:space="preserve">NEXTA </v>
      </c>
      <c r="D461" s="3" t="s">
        <v>15</v>
      </c>
      <c r="E461" s="6" t="str">
        <f>VLOOKUP(folha1[[#This Row],[Razão Social]],Planilha1!A:C,3,0)</f>
        <v>CONC MERC</v>
      </c>
      <c r="F461" s="3" t="s">
        <v>1810</v>
      </c>
      <c r="G461" s="3" t="s">
        <v>1811</v>
      </c>
      <c r="H461" s="3" t="s">
        <v>1812</v>
      </c>
      <c r="I461" s="3"/>
      <c r="J461" s="3" t="s">
        <v>126</v>
      </c>
      <c r="K461" s="3" t="s">
        <v>87</v>
      </c>
      <c r="L461" s="4">
        <v>325.10000000000002</v>
      </c>
      <c r="M461" s="4">
        <v>100</v>
      </c>
      <c r="N461" s="4" t="str">
        <f>IF(folha1[[#This Row],[Participação (%)]]=100,"BASE PRÓPRIA","BASE POOL")</f>
        <v>BASE PRÓPRIA</v>
      </c>
      <c r="O461" s="3" t="s">
        <v>1813</v>
      </c>
      <c r="P461" s="5">
        <v>43801</v>
      </c>
    </row>
    <row r="462" spans="1:16" ht="19.95" customHeight="1" thickBot="1" x14ac:dyDescent="0.35">
      <c r="A462" s="3" t="s">
        <v>1814</v>
      </c>
      <c r="B462" s="3" t="s">
        <v>1804</v>
      </c>
      <c r="C462" s="6" t="str">
        <f>VLOOKUP(folha1[[#This Row],[Razão Social]],Planilha1!A:C,2,0)</f>
        <v xml:space="preserve">NEXTA </v>
      </c>
      <c r="D462" s="3" t="s">
        <v>15</v>
      </c>
      <c r="E462" s="6" t="str">
        <f>VLOOKUP(folha1[[#This Row],[Razão Social]],Planilha1!A:C,3,0)</f>
        <v>CONC MERC</v>
      </c>
      <c r="F462" s="3" t="s">
        <v>211</v>
      </c>
      <c r="G462" s="3" t="s">
        <v>212</v>
      </c>
      <c r="H462" s="3" t="s">
        <v>213</v>
      </c>
      <c r="I462" s="3" t="s">
        <v>214</v>
      </c>
      <c r="J462" s="3" t="s">
        <v>215</v>
      </c>
      <c r="K462" s="3" t="s">
        <v>87</v>
      </c>
      <c r="L462" s="4">
        <v>8187.78</v>
      </c>
      <c r="M462" s="4">
        <v>30</v>
      </c>
      <c r="N462" s="4" t="str">
        <f>IF(folha1[[#This Row],[Participação (%)]]=100,"BASE PRÓPRIA","BASE POOL")</f>
        <v>BASE POOL</v>
      </c>
      <c r="O462" s="3" t="s">
        <v>112</v>
      </c>
      <c r="P462" s="5">
        <v>43801</v>
      </c>
    </row>
    <row r="463" spans="1:16" ht="19.95" customHeight="1" thickBot="1" x14ac:dyDescent="0.35">
      <c r="A463" s="3" t="s">
        <v>1815</v>
      </c>
      <c r="B463" s="3" t="s">
        <v>1804</v>
      </c>
      <c r="C463" s="6" t="str">
        <f>VLOOKUP(folha1[[#This Row],[Razão Social]],Planilha1!A:C,2,0)</f>
        <v xml:space="preserve">NEXTA </v>
      </c>
      <c r="D463" s="3" t="s">
        <v>15</v>
      </c>
      <c r="E463" s="6" t="str">
        <f>VLOOKUP(folha1[[#This Row],[Razão Social]],Planilha1!A:C,3,0)</f>
        <v>CONC MERC</v>
      </c>
      <c r="F463" s="3" t="s">
        <v>217</v>
      </c>
      <c r="G463" s="3" t="s">
        <v>218</v>
      </c>
      <c r="H463" s="3" t="s">
        <v>219</v>
      </c>
      <c r="I463" s="3"/>
      <c r="J463" s="3" t="s">
        <v>80</v>
      </c>
      <c r="K463" s="3" t="s">
        <v>20</v>
      </c>
      <c r="L463" s="4">
        <v>11732.83</v>
      </c>
      <c r="M463" s="4">
        <v>11.9</v>
      </c>
      <c r="N463" s="4" t="str">
        <f>IF(folha1[[#This Row],[Participação (%)]]=100,"BASE PRÓPRIA","BASE POOL")</f>
        <v>BASE POOL</v>
      </c>
      <c r="O463" s="3" t="s">
        <v>220</v>
      </c>
      <c r="P463" s="5">
        <v>45183</v>
      </c>
    </row>
    <row r="464" spans="1:16" ht="19.95" customHeight="1" thickBot="1" x14ac:dyDescent="0.35">
      <c r="A464" s="3" t="s">
        <v>1816</v>
      </c>
      <c r="B464" s="3" t="s">
        <v>1804</v>
      </c>
      <c r="C464" s="6" t="str">
        <f>VLOOKUP(folha1[[#This Row],[Razão Social]],Planilha1!A:C,2,0)</f>
        <v xml:space="preserve">NEXTA </v>
      </c>
      <c r="D464" s="3" t="s">
        <v>15</v>
      </c>
      <c r="E464" s="6" t="str">
        <f>VLOOKUP(folha1[[#This Row],[Razão Social]],Planilha1!A:C,3,0)</f>
        <v>CONC MERC</v>
      </c>
      <c r="F464" s="3" t="s">
        <v>185</v>
      </c>
      <c r="G464" s="3" t="s">
        <v>64</v>
      </c>
      <c r="H464" s="3" t="s">
        <v>186</v>
      </c>
      <c r="I464" s="3" t="s">
        <v>187</v>
      </c>
      <c r="J464" s="3" t="s">
        <v>188</v>
      </c>
      <c r="K464" s="3" t="s">
        <v>189</v>
      </c>
      <c r="L464" s="4">
        <v>6329.87</v>
      </c>
      <c r="M464" s="4">
        <v>33.33</v>
      </c>
      <c r="N464" s="4" t="str">
        <f>IF(folha1[[#This Row],[Participação (%)]]=100,"BASE PRÓPRIA","BASE POOL")</f>
        <v>BASE POOL</v>
      </c>
      <c r="O464" s="3" t="s">
        <v>190</v>
      </c>
      <c r="P464" s="5">
        <v>44141</v>
      </c>
    </row>
    <row r="465" spans="1:16" ht="19.95" customHeight="1" thickBot="1" x14ac:dyDescent="0.35">
      <c r="A465" s="3" t="s">
        <v>1817</v>
      </c>
      <c r="B465" s="3" t="s">
        <v>1818</v>
      </c>
      <c r="C465" s="6" t="str">
        <f>VLOOKUP(folha1[[#This Row],[Razão Social]],Planilha1!A:C,2,0)</f>
        <v xml:space="preserve">UNI COMBUSTÍVEIS </v>
      </c>
      <c r="D465" s="3" t="s">
        <v>15</v>
      </c>
      <c r="E465" s="6" t="str">
        <f>VLOOKUP(folha1[[#This Row],[Razão Social]],Planilha1!A:C,3,0)</f>
        <v>REGIONAL</v>
      </c>
      <c r="F465" s="3" t="s">
        <v>1819</v>
      </c>
      <c r="G465" s="3" t="s">
        <v>1820</v>
      </c>
      <c r="H465" s="3" t="s">
        <v>1821</v>
      </c>
      <c r="I465" s="3"/>
      <c r="J465" s="3" t="s">
        <v>1822</v>
      </c>
      <c r="K465" s="3" t="s">
        <v>44</v>
      </c>
      <c r="L465" s="4">
        <v>984.5</v>
      </c>
      <c r="M465" s="4">
        <v>100</v>
      </c>
      <c r="N465" s="4" t="str">
        <f>IF(folha1[[#This Row],[Participação (%)]]=100,"BASE PRÓPRIA","BASE POOL")</f>
        <v>BASE PRÓPRIA</v>
      </c>
      <c r="O465" s="3" t="s">
        <v>1823</v>
      </c>
      <c r="P465" s="5">
        <v>45527</v>
      </c>
    </row>
    <row r="466" spans="1:16" ht="19.95" customHeight="1" thickBot="1" x14ac:dyDescent="0.35">
      <c r="A466" s="3" t="s">
        <v>1824</v>
      </c>
      <c r="B466" s="3" t="s">
        <v>1818</v>
      </c>
      <c r="C466" s="6" t="str">
        <f>VLOOKUP(folha1[[#This Row],[Razão Social]],Planilha1!A:C,2,0)</f>
        <v xml:space="preserve">UNI COMBUSTÍVEIS </v>
      </c>
      <c r="D466" s="3" t="s">
        <v>15</v>
      </c>
      <c r="E466" s="6" t="str">
        <f>VLOOKUP(folha1[[#This Row],[Razão Social]],Planilha1!A:C,3,0)</f>
        <v>REGIONAL</v>
      </c>
      <c r="F466" s="3" t="s">
        <v>1825</v>
      </c>
      <c r="G466" s="3" t="s">
        <v>1826</v>
      </c>
      <c r="H466" s="3" t="s">
        <v>1827</v>
      </c>
      <c r="I466" s="3"/>
      <c r="J466" s="3" t="s">
        <v>1828</v>
      </c>
      <c r="K466" s="3" t="s">
        <v>44</v>
      </c>
      <c r="L466" s="4">
        <v>135</v>
      </c>
      <c r="M466" s="4">
        <v>100</v>
      </c>
      <c r="N466" s="4" t="str">
        <f>IF(folha1[[#This Row],[Participação (%)]]=100,"BASE PRÓPRIA","BASE POOL")</f>
        <v>BASE PRÓPRIA</v>
      </c>
      <c r="O466" s="3" t="s">
        <v>1829</v>
      </c>
      <c r="P466" s="5">
        <v>38350</v>
      </c>
    </row>
    <row r="467" spans="1:16" ht="19.95" customHeight="1" thickBot="1" x14ac:dyDescent="0.35">
      <c r="A467" s="3" t="s">
        <v>1830</v>
      </c>
      <c r="B467" s="3" t="s">
        <v>1831</v>
      </c>
      <c r="C467" s="6" t="str">
        <f>VLOOKUP(folha1[[#This Row],[Razão Social]],Planilha1!A:C,2,0)</f>
        <v xml:space="preserve">POTENCIAL PETRÓLEO </v>
      </c>
      <c r="D467" s="3" t="s">
        <v>15</v>
      </c>
      <c r="E467" s="6" t="str">
        <f>VLOOKUP(folha1[[#This Row],[Razão Social]],Planilha1!A:C,3,0)</f>
        <v>REGIONAL</v>
      </c>
      <c r="F467" s="3" t="s">
        <v>925</v>
      </c>
      <c r="G467" s="3" t="s">
        <v>926</v>
      </c>
      <c r="H467" s="3" t="s">
        <v>42</v>
      </c>
      <c r="I467" s="3"/>
      <c r="J467" s="3" t="s">
        <v>43</v>
      </c>
      <c r="K467" s="3" t="s">
        <v>44</v>
      </c>
      <c r="L467" s="4">
        <v>33952</v>
      </c>
      <c r="M467" s="4">
        <v>93.4</v>
      </c>
      <c r="N467" s="4" t="str">
        <f>IF(folha1[[#This Row],[Participação (%)]]=100,"BASE PRÓPRIA","BASE POOL")</f>
        <v>BASE POOL</v>
      </c>
      <c r="O467" s="3" t="s">
        <v>927</v>
      </c>
      <c r="P467" s="5">
        <v>45770</v>
      </c>
    </row>
    <row r="468" spans="1:16" ht="19.95" customHeight="1" thickBot="1" x14ac:dyDescent="0.35">
      <c r="A468" s="3" t="s">
        <v>1832</v>
      </c>
      <c r="B468" s="3" t="s">
        <v>1831</v>
      </c>
      <c r="C468" s="6" t="str">
        <f>VLOOKUP(folha1[[#This Row],[Razão Social]],Planilha1!A:C,2,0)</f>
        <v xml:space="preserve">POTENCIAL PETRÓLEO </v>
      </c>
      <c r="D468" s="3" t="s">
        <v>15</v>
      </c>
      <c r="E468" s="6" t="str">
        <f>VLOOKUP(folha1[[#This Row],[Razão Social]],Planilha1!A:C,3,0)</f>
        <v>REGIONAL</v>
      </c>
      <c r="F468" s="3" t="s">
        <v>1376</v>
      </c>
      <c r="G468" s="3" t="s">
        <v>901</v>
      </c>
      <c r="H468" s="3" t="s">
        <v>1833</v>
      </c>
      <c r="I468" s="3" t="s">
        <v>1834</v>
      </c>
      <c r="J468" s="3" t="s">
        <v>215</v>
      </c>
      <c r="K468" s="3" t="s">
        <v>87</v>
      </c>
      <c r="L468" s="4">
        <v>22987</v>
      </c>
      <c r="M468" s="4">
        <v>100</v>
      </c>
      <c r="N468" s="4" t="str">
        <f>IF(folha1[[#This Row],[Participação (%)]]=100,"BASE PRÓPRIA","BASE POOL")</f>
        <v>BASE PRÓPRIA</v>
      </c>
      <c r="O468" s="3" t="s">
        <v>592</v>
      </c>
      <c r="P468" s="5">
        <v>45314</v>
      </c>
    </row>
    <row r="469" spans="1:16" ht="19.95" customHeight="1" thickBot="1" x14ac:dyDescent="0.35">
      <c r="A469" s="3" t="s">
        <v>1835</v>
      </c>
      <c r="B469" s="3" t="s">
        <v>1831</v>
      </c>
      <c r="C469" s="6" t="str">
        <f>VLOOKUP(folha1[[#This Row],[Razão Social]],Planilha1!A:C,2,0)</f>
        <v xml:space="preserve">POTENCIAL PETRÓLEO </v>
      </c>
      <c r="D469" s="3" t="s">
        <v>15</v>
      </c>
      <c r="E469" s="6" t="str">
        <f>VLOOKUP(folha1[[#This Row],[Razão Social]],Planilha1!A:C,3,0)</f>
        <v>REGIONAL</v>
      </c>
      <c r="F469" s="3" t="s">
        <v>217</v>
      </c>
      <c r="G469" s="3" t="s">
        <v>218</v>
      </c>
      <c r="H469" s="3" t="s">
        <v>219</v>
      </c>
      <c r="I469" s="3"/>
      <c r="J469" s="3" t="s">
        <v>80</v>
      </c>
      <c r="K469" s="3" t="s">
        <v>20</v>
      </c>
      <c r="L469" s="4">
        <v>11732.83</v>
      </c>
      <c r="M469" s="4">
        <v>5.95</v>
      </c>
      <c r="N469" s="4" t="str">
        <f>IF(folha1[[#This Row],[Participação (%)]]=100,"BASE PRÓPRIA","BASE POOL")</f>
        <v>BASE POOL</v>
      </c>
      <c r="O469" s="3" t="s">
        <v>220</v>
      </c>
      <c r="P469" s="5">
        <v>45183</v>
      </c>
    </row>
    <row r="470" spans="1:16" ht="19.95" customHeight="1" thickBot="1" x14ac:dyDescent="0.35">
      <c r="A470" s="3" t="s">
        <v>1836</v>
      </c>
      <c r="B470" s="3" t="s">
        <v>1831</v>
      </c>
      <c r="C470" s="6" t="str">
        <f>VLOOKUP(folha1[[#This Row],[Razão Social]],Planilha1!A:C,2,0)</f>
        <v xml:space="preserve">POTENCIAL PETRÓLEO </v>
      </c>
      <c r="D470" s="3" t="s">
        <v>15</v>
      </c>
      <c r="E470" s="6" t="str">
        <f>VLOOKUP(folha1[[#This Row],[Razão Social]],Planilha1!A:C,3,0)</f>
        <v>REGIONAL</v>
      </c>
      <c r="F470" s="3" t="s">
        <v>920</v>
      </c>
      <c r="G470" s="3" t="s">
        <v>921</v>
      </c>
      <c r="H470" s="3" t="s">
        <v>922</v>
      </c>
      <c r="I470" s="3"/>
      <c r="J470" s="3" t="s">
        <v>644</v>
      </c>
      <c r="K470" s="3" t="s">
        <v>59</v>
      </c>
      <c r="L470" s="4">
        <v>25017.33</v>
      </c>
      <c r="M470" s="4">
        <v>35</v>
      </c>
      <c r="N470" s="4" t="str">
        <f>IF(folha1[[#This Row],[Participação (%)]]=100,"BASE PRÓPRIA","BASE POOL")</f>
        <v>BASE POOL</v>
      </c>
      <c r="O470" s="3" t="s">
        <v>923</v>
      </c>
      <c r="P470" s="5">
        <v>45146</v>
      </c>
    </row>
    <row r="471" spans="1:16" ht="19.95" customHeight="1" thickBot="1" x14ac:dyDescent="0.35">
      <c r="A471" s="3" t="s">
        <v>1837</v>
      </c>
      <c r="B471" s="3" t="s">
        <v>1838</v>
      </c>
      <c r="C471" s="6" t="str">
        <f>VLOOKUP(folha1[[#This Row],[Razão Social]],Planilha1!A:C,2,0)</f>
        <v xml:space="preserve">PETRO AMAZON PETRÓLEO DA AMAZONIA </v>
      </c>
      <c r="D471" s="3" t="s">
        <v>15</v>
      </c>
      <c r="E471" s="6" t="str">
        <f>VLOOKUP(folha1[[#This Row],[Razão Social]],Planilha1!A:C,3,0)</f>
        <v>REGIONAL</v>
      </c>
      <c r="F471" s="3" t="s">
        <v>1623</v>
      </c>
      <c r="G471" s="3" t="s">
        <v>64</v>
      </c>
      <c r="H471" s="3" t="s">
        <v>767</v>
      </c>
      <c r="I471" s="3" t="s">
        <v>1839</v>
      </c>
      <c r="J471" s="3" t="s">
        <v>711</v>
      </c>
      <c r="K471" s="3" t="s">
        <v>706</v>
      </c>
      <c r="L471" s="4">
        <v>5702</v>
      </c>
      <c r="M471" s="4">
        <v>100</v>
      </c>
      <c r="N471" s="4" t="str">
        <f>IF(folha1[[#This Row],[Participação (%)]]=100,"BASE PRÓPRIA","BASE POOL")</f>
        <v>BASE PRÓPRIA</v>
      </c>
      <c r="O471" s="3" t="s">
        <v>1840</v>
      </c>
      <c r="P471" s="5">
        <v>38274</v>
      </c>
    </row>
    <row r="472" spans="1:16" ht="19.95" customHeight="1" thickBot="1" x14ac:dyDescent="0.35">
      <c r="A472" s="3" t="s">
        <v>1841</v>
      </c>
      <c r="B472" s="3" t="s">
        <v>1842</v>
      </c>
      <c r="C472" s="6" t="str">
        <f>VLOOKUP(folha1[[#This Row],[Razão Social]],Planilha1!A:C,2,0)</f>
        <v>DIBRAPE BRASILEIRA DE PETRÓLEO .</v>
      </c>
      <c r="D472" s="3" t="s">
        <v>15</v>
      </c>
      <c r="E472" s="6" t="str">
        <f>VLOOKUP(folha1[[#This Row],[Razão Social]],Planilha1!A:C,3,0)</f>
        <v>REGIONAL</v>
      </c>
      <c r="F472" s="3" t="s">
        <v>1843</v>
      </c>
      <c r="G472" s="3" t="s">
        <v>1844</v>
      </c>
      <c r="H472" s="3" t="s">
        <v>1845</v>
      </c>
      <c r="I472" s="3"/>
      <c r="J472" s="3" t="s">
        <v>1846</v>
      </c>
      <c r="K472" s="3" t="s">
        <v>37</v>
      </c>
      <c r="L472" s="4">
        <v>5605.5</v>
      </c>
      <c r="M472" s="4">
        <v>100</v>
      </c>
      <c r="N472" s="4" t="str">
        <f>IF(folha1[[#This Row],[Participação (%)]]=100,"BASE PRÓPRIA","BASE POOL")</f>
        <v>BASE PRÓPRIA</v>
      </c>
      <c r="O472" s="3" t="s">
        <v>400</v>
      </c>
      <c r="P472" s="5">
        <v>43973</v>
      </c>
    </row>
    <row r="473" spans="1:16" ht="19.95" customHeight="1" thickBot="1" x14ac:dyDescent="0.35">
      <c r="A473" s="3" t="s">
        <v>1847</v>
      </c>
      <c r="B473" s="3" t="s">
        <v>1848</v>
      </c>
      <c r="C473" s="6" t="str">
        <f>VLOOKUP(folha1[[#This Row],[Razão Social]],Planilha1!A:C,2,0)</f>
        <v xml:space="preserve"> SAARA </v>
      </c>
      <c r="D473" s="3" t="s">
        <v>15</v>
      </c>
      <c r="E473" s="6" t="str">
        <f>VLOOKUP(folha1[[#This Row],[Razão Social]],Planilha1!A:C,3,0)</f>
        <v>REGIONAL</v>
      </c>
      <c r="F473" s="3" t="s">
        <v>1849</v>
      </c>
      <c r="G473" s="3" t="s">
        <v>64</v>
      </c>
      <c r="H473" s="3" t="s">
        <v>65</v>
      </c>
      <c r="I473" s="3" t="s">
        <v>1850</v>
      </c>
      <c r="J473" s="3" t="s">
        <v>421</v>
      </c>
      <c r="K473" s="3" t="s">
        <v>44</v>
      </c>
      <c r="L473" s="4">
        <v>788</v>
      </c>
      <c r="M473" s="4">
        <v>100</v>
      </c>
      <c r="N473" s="4" t="str">
        <f>IF(folha1[[#This Row],[Participação (%)]]=100,"BASE PRÓPRIA","BASE POOL")</f>
        <v>BASE PRÓPRIA</v>
      </c>
      <c r="O473" s="3" t="s">
        <v>1851</v>
      </c>
      <c r="P473" s="5">
        <v>42647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61CD-2E78-4481-9A28-F6993E333F5B}">
  <dimension ref="A1:C182"/>
  <sheetViews>
    <sheetView workbookViewId="0">
      <selection activeCell="C182" sqref="C2:C182"/>
    </sheetView>
  </sheetViews>
  <sheetFormatPr defaultRowHeight="14.4" x14ac:dyDescent="0.3"/>
  <cols>
    <col min="1" max="2" width="83" bestFit="1" customWidth="1"/>
  </cols>
  <sheetData>
    <row r="1" spans="1:3" ht="15" thickBot="1" x14ac:dyDescent="0.35">
      <c r="A1" s="1" t="s">
        <v>1</v>
      </c>
      <c r="B1" s="1" t="s">
        <v>1</v>
      </c>
      <c r="C1" t="s">
        <v>1852</v>
      </c>
    </row>
    <row r="2" spans="1:3" ht="15" thickBot="1" x14ac:dyDescent="0.35">
      <c r="A2" s="3" t="s">
        <v>1064</v>
      </c>
      <c r="B2" s="3" t="s">
        <v>1895</v>
      </c>
      <c r="C2" t="s">
        <v>2033</v>
      </c>
    </row>
    <row r="3" spans="1:3" ht="15" thickBot="1" x14ac:dyDescent="0.35">
      <c r="A3" s="3" t="s">
        <v>1696</v>
      </c>
      <c r="B3" s="3" t="s">
        <v>1862</v>
      </c>
      <c r="C3" t="s">
        <v>2033</v>
      </c>
    </row>
    <row r="4" spans="1:3" ht="15" thickBot="1" x14ac:dyDescent="0.35">
      <c r="A4" s="3" t="s">
        <v>1167</v>
      </c>
      <c r="B4" s="3" t="s">
        <v>1863</v>
      </c>
      <c r="C4" t="s">
        <v>2033</v>
      </c>
    </row>
    <row r="5" spans="1:3" ht="15" thickBot="1" x14ac:dyDescent="0.35">
      <c r="A5" s="3" t="s">
        <v>889</v>
      </c>
      <c r="B5" s="3" t="s">
        <v>1896</v>
      </c>
      <c r="C5" t="s">
        <v>2033</v>
      </c>
    </row>
    <row r="6" spans="1:3" ht="15" thickBot="1" x14ac:dyDescent="0.35">
      <c r="A6" s="3" t="s">
        <v>1020</v>
      </c>
      <c r="B6" s="3" t="s">
        <v>1998</v>
      </c>
      <c r="C6" t="s">
        <v>2033</v>
      </c>
    </row>
    <row r="7" spans="1:3" ht="15" thickBot="1" x14ac:dyDescent="0.35">
      <c r="A7" s="3" t="s">
        <v>968</v>
      </c>
      <c r="B7" s="3" t="s">
        <v>1897</v>
      </c>
      <c r="C7" t="s">
        <v>2033</v>
      </c>
    </row>
    <row r="8" spans="1:3" ht="15" thickBot="1" x14ac:dyDescent="0.35">
      <c r="A8" s="3" t="s">
        <v>1121</v>
      </c>
      <c r="B8" s="3" t="s">
        <v>1987</v>
      </c>
      <c r="C8" t="s">
        <v>2033</v>
      </c>
    </row>
    <row r="9" spans="1:3" ht="15" thickBot="1" x14ac:dyDescent="0.35">
      <c r="A9" s="3" t="s">
        <v>897</v>
      </c>
      <c r="B9" s="3" t="s">
        <v>1953</v>
      </c>
      <c r="C9" t="s">
        <v>2033</v>
      </c>
    </row>
    <row r="10" spans="1:3" ht="15" thickBot="1" x14ac:dyDescent="0.35">
      <c r="A10" s="3" t="s">
        <v>1170</v>
      </c>
      <c r="B10" s="3" t="s">
        <v>1898</v>
      </c>
      <c r="C10" t="s">
        <v>2033</v>
      </c>
    </row>
    <row r="11" spans="1:3" ht="15" thickBot="1" x14ac:dyDescent="0.35">
      <c r="A11" s="3" t="s">
        <v>1689</v>
      </c>
      <c r="B11" s="3" t="s">
        <v>1899</v>
      </c>
      <c r="C11" t="s">
        <v>2033</v>
      </c>
    </row>
    <row r="12" spans="1:3" ht="15" thickBot="1" x14ac:dyDescent="0.35">
      <c r="A12" s="3" t="s">
        <v>995</v>
      </c>
      <c r="B12" s="3" t="s">
        <v>1954</v>
      </c>
      <c r="C12" t="s">
        <v>2033</v>
      </c>
    </row>
    <row r="13" spans="1:3" ht="15" thickBot="1" x14ac:dyDescent="0.35">
      <c r="A13" s="3" t="s">
        <v>493</v>
      </c>
      <c r="B13" s="3" t="s">
        <v>1945</v>
      </c>
      <c r="C13" t="s">
        <v>2033</v>
      </c>
    </row>
    <row r="14" spans="1:3" ht="15" thickBot="1" x14ac:dyDescent="0.35">
      <c r="A14" s="3" t="s">
        <v>1759</v>
      </c>
      <c r="B14" s="3" t="s">
        <v>1926</v>
      </c>
      <c r="C14" t="s">
        <v>2033</v>
      </c>
    </row>
    <row r="15" spans="1:3" ht="15" thickBot="1" x14ac:dyDescent="0.35">
      <c r="A15" s="3" t="s">
        <v>1725</v>
      </c>
      <c r="B15" s="3" t="s">
        <v>1927</v>
      </c>
      <c r="C15" t="s">
        <v>2033</v>
      </c>
    </row>
    <row r="16" spans="1:3" ht="15" thickBot="1" x14ac:dyDescent="0.35">
      <c r="A16" s="3" t="s">
        <v>1735</v>
      </c>
      <c r="B16" s="3" t="s">
        <v>1928</v>
      </c>
      <c r="C16" t="s">
        <v>2033</v>
      </c>
    </row>
    <row r="17" spans="1:3" ht="15" thickBot="1" x14ac:dyDescent="0.35">
      <c r="A17" s="3" t="s">
        <v>662</v>
      </c>
      <c r="B17" s="3" t="s">
        <v>1900</v>
      </c>
      <c r="C17" t="s">
        <v>2033</v>
      </c>
    </row>
    <row r="18" spans="1:3" ht="15" thickBot="1" x14ac:dyDescent="0.35">
      <c r="A18" s="3" t="s">
        <v>680</v>
      </c>
      <c r="B18" s="3" t="s">
        <v>1988</v>
      </c>
      <c r="C18" t="s">
        <v>2032</v>
      </c>
    </row>
    <row r="19" spans="1:3" ht="15" thickBot="1" x14ac:dyDescent="0.35">
      <c r="A19" s="3" t="s">
        <v>377</v>
      </c>
      <c r="B19" s="3" t="s">
        <v>1955</v>
      </c>
      <c r="C19" t="s">
        <v>2033</v>
      </c>
    </row>
    <row r="20" spans="1:3" ht="15" thickBot="1" x14ac:dyDescent="0.35">
      <c r="A20" s="3" t="s">
        <v>823</v>
      </c>
      <c r="B20" s="3" t="s">
        <v>1864</v>
      </c>
      <c r="C20" t="s">
        <v>2033</v>
      </c>
    </row>
    <row r="21" spans="1:3" ht="15" thickBot="1" x14ac:dyDescent="0.35">
      <c r="A21" s="3" t="s">
        <v>1739</v>
      </c>
      <c r="B21" s="3" t="s">
        <v>1865</v>
      </c>
      <c r="C21" t="s">
        <v>2033</v>
      </c>
    </row>
    <row r="22" spans="1:3" ht="15" thickBot="1" x14ac:dyDescent="0.35">
      <c r="A22" s="3" t="s">
        <v>1158</v>
      </c>
      <c r="B22" s="3" t="s">
        <v>2003</v>
      </c>
      <c r="C22" t="s">
        <v>2033</v>
      </c>
    </row>
    <row r="23" spans="1:3" ht="15" thickBot="1" x14ac:dyDescent="0.35">
      <c r="A23" s="3" t="s">
        <v>1113</v>
      </c>
      <c r="B23" s="3" t="s">
        <v>1929</v>
      </c>
      <c r="C23" t="s">
        <v>2033</v>
      </c>
    </row>
    <row r="24" spans="1:3" ht="15" thickBot="1" x14ac:dyDescent="0.35">
      <c r="A24" s="3" t="s">
        <v>1074</v>
      </c>
      <c r="B24" s="3" t="s">
        <v>1901</v>
      </c>
      <c r="C24" t="s">
        <v>2033</v>
      </c>
    </row>
    <row r="25" spans="1:3" ht="15" thickBot="1" x14ac:dyDescent="0.35">
      <c r="A25" s="3" t="s">
        <v>1062</v>
      </c>
      <c r="B25" s="3" t="s">
        <v>1902</v>
      </c>
      <c r="C25" t="s">
        <v>2033</v>
      </c>
    </row>
    <row r="26" spans="1:3" ht="15" thickBot="1" x14ac:dyDescent="0.35">
      <c r="A26" s="3" t="s">
        <v>1180</v>
      </c>
      <c r="B26" s="3" t="s">
        <v>1866</v>
      </c>
      <c r="C26" t="s">
        <v>2033</v>
      </c>
    </row>
    <row r="27" spans="1:3" ht="15" thickBot="1" x14ac:dyDescent="0.35">
      <c r="A27" s="3" t="s">
        <v>1165</v>
      </c>
      <c r="B27" s="3" t="s">
        <v>2000</v>
      </c>
      <c r="C27" t="s">
        <v>2033</v>
      </c>
    </row>
    <row r="28" spans="1:3" ht="15" thickBot="1" x14ac:dyDescent="0.35">
      <c r="A28" s="3" t="s">
        <v>1172</v>
      </c>
      <c r="B28" s="3" t="s">
        <v>1903</v>
      </c>
      <c r="C28" t="s">
        <v>2033</v>
      </c>
    </row>
    <row r="29" spans="1:3" ht="15" thickBot="1" x14ac:dyDescent="0.35">
      <c r="A29" s="3" t="s">
        <v>784</v>
      </c>
      <c r="B29" s="3" t="s">
        <v>1956</v>
      </c>
      <c r="C29" t="s">
        <v>2033</v>
      </c>
    </row>
    <row r="30" spans="1:3" ht="15" thickBot="1" x14ac:dyDescent="0.35">
      <c r="A30" s="3" t="s">
        <v>1727</v>
      </c>
      <c r="B30" s="3" t="s">
        <v>2010</v>
      </c>
      <c r="C30" t="s">
        <v>2033</v>
      </c>
    </row>
    <row r="31" spans="1:3" ht="15" thickBot="1" x14ac:dyDescent="0.35">
      <c r="A31" s="3" t="s">
        <v>892</v>
      </c>
      <c r="B31" s="3" t="s">
        <v>1867</v>
      </c>
      <c r="C31" t="s">
        <v>2033</v>
      </c>
    </row>
    <row r="32" spans="1:3" ht="15" thickBot="1" x14ac:dyDescent="0.35">
      <c r="A32" s="3" t="s">
        <v>1741</v>
      </c>
      <c r="B32" s="3" t="s">
        <v>1999</v>
      </c>
      <c r="C32" t="s">
        <v>2033</v>
      </c>
    </row>
    <row r="33" spans="1:3" ht="15" thickBot="1" x14ac:dyDescent="0.35">
      <c r="A33" s="3" t="s">
        <v>304</v>
      </c>
      <c r="B33" s="3" t="s">
        <v>1904</v>
      </c>
      <c r="C33" t="s">
        <v>2033</v>
      </c>
    </row>
    <row r="34" spans="1:3" ht="15" thickBot="1" x14ac:dyDescent="0.35">
      <c r="A34" s="3" t="s">
        <v>368</v>
      </c>
      <c r="B34" s="3" t="s">
        <v>1868</v>
      </c>
      <c r="C34" t="s">
        <v>2033</v>
      </c>
    </row>
    <row r="35" spans="1:3" ht="15" thickBot="1" x14ac:dyDescent="0.35">
      <c r="A35" s="3" t="s">
        <v>993</v>
      </c>
      <c r="B35" s="3" t="s">
        <v>1930</v>
      </c>
      <c r="C35" t="s">
        <v>2033</v>
      </c>
    </row>
    <row r="36" spans="1:3" ht="15" thickBot="1" x14ac:dyDescent="0.35">
      <c r="A36" s="3" t="s">
        <v>917</v>
      </c>
      <c r="B36" s="3" t="s">
        <v>1957</v>
      </c>
      <c r="C36" t="s">
        <v>2033</v>
      </c>
    </row>
    <row r="37" spans="1:3" ht="15" thickBot="1" x14ac:dyDescent="0.35">
      <c r="A37" s="3" t="s">
        <v>635</v>
      </c>
      <c r="B37" s="3" t="s">
        <v>1958</v>
      </c>
      <c r="C37" t="s">
        <v>2033</v>
      </c>
    </row>
    <row r="38" spans="1:3" ht="15" thickBot="1" x14ac:dyDescent="0.35">
      <c r="A38" s="3" t="s">
        <v>801</v>
      </c>
      <c r="B38" s="3" t="s">
        <v>1989</v>
      </c>
      <c r="C38" t="s">
        <v>2033</v>
      </c>
    </row>
    <row r="39" spans="1:3" ht="15" thickBot="1" x14ac:dyDescent="0.35">
      <c r="A39" s="3" t="s">
        <v>1108</v>
      </c>
      <c r="B39" s="3" t="s">
        <v>1931</v>
      </c>
      <c r="C39" t="s">
        <v>2033</v>
      </c>
    </row>
    <row r="40" spans="1:3" ht="15" thickBot="1" x14ac:dyDescent="0.35">
      <c r="A40" s="3" t="s">
        <v>1842</v>
      </c>
      <c r="B40" s="3" t="s">
        <v>2011</v>
      </c>
      <c r="C40" t="s">
        <v>2033</v>
      </c>
    </row>
    <row r="41" spans="1:3" ht="15" thickBot="1" x14ac:dyDescent="0.35">
      <c r="A41" s="3" t="s">
        <v>862</v>
      </c>
      <c r="B41" s="3" t="s">
        <v>1946</v>
      </c>
      <c r="C41" t="s">
        <v>2033</v>
      </c>
    </row>
    <row r="42" spans="1:3" ht="15" thickBot="1" x14ac:dyDescent="0.35">
      <c r="A42" s="3" t="s">
        <v>1723</v>
      </c>
      <c r="B42" s="3" t="s">
        <v>1853</v>
      </c>
      <c r="C42" t="s">
        <v>2033</v>
      </c>
    </row>
    <row r="43" spans="1:3" ht="15" thickBot="1" x14ac:dyDescent="0.35">
      <c r="A43" s="3" t="s">
        <v>532</v>
      </c>
      <c r="B43" s="3" t="s">
        <v>1932</v>
      </c>
      <c r="C43" t="s">
        <v>2033</v>
      </c>
    </row>
    <row r="44" spans="1:3" ht="15" thickBot="1" x14ac:dyDescent="0.35">
      <c r="A44" s="3" t="s">
        <v>1848</v>
      </c>
      <c r="B44" s="3" t="s">
        <v>1990</v>
      </c>
      <c r="C44" t="s">
        <v>2033</v>
      </c>
    </row>
    <row r="45" spans="1:3" ht="15" thickBot="1" x14ac:dyDescent="0.35">
      <c r="A45" s="3" t="s">
        <v>465</v>
      </c>
      <c r="B45" s="3" t="s">
        <v>2002</v>
      </c>
      <c r="C45" t="s">
        <v>2033</v>
      </c>
    </row>
    <row r="46" spans="1:3" ht="15" thickBot="1" x14ac:dyDescent="0.35">
      <c r="A46" s="3" t="s">
        <v>222</v>
      </c>
      <c r="B46" s="3" t="s">
        <v>2023</v>
      </c>
      <c r="C46" t="s">
        <v>2033</v>
      </c>
    </row>
    <row r="47" spans="1:3" ht="15" thickBot="1" x14ac:dyDescent="0.35">
      <c r="A47" s="3" t="s">
        <v>611</v>
      </c>
      <c r="B47" s="3" t="s">
        <v>2024</v>
      </c>
      <c r="C47" t="s">
        <v>2033</v>
      </c>
    </row>
    <row r="48" spans="1:3" ht="15" thickBot="1" x14ac:dyDescent="0.35">
      <c r="A48" s="3" t="s">
        <v>487</v>
      </c>
      <c r="B48" s="3" t="s">
        <v>2025</v>
      </c>
      <c r="C48" t="s">
        <v>2033</v>
      </c>
    </row>
    <row r="49" spans="1:3" ht="15" thickBot="1" x14ac:dyDescent="0.35">
      <c r="A49" s="3" t="s">
        <v>202</v>
      </c>
      <c r="B49" s="3" t="s">
        <v>2026</v>
      </c>
      <c r="C49" t="s">
        <v>2033</v>
      </c>
    </row>
    <row r="50" spans="1:3" ht="15" thickBot="1" x14ac:dyDescent="0.35">
      <c r="A50" s="3" t="s">
        <v>1491</v>
      </c>
      <c r="B50" s="3" t="s">
        <v>2027</v>
      </c>
      <c r="C50" t="s">
        <v>2033</v>
      </c>
    </row>
    <row r="51" spans="1:3" ht="15" thickBot="1" x14ac:dyDescent="0.35">
      <c r="A51" s="3" t="s">
        <v>544</v>
      </c>
      <c r="B51" s="3" t="s">
        <v>2028</v>
      </c>
      <c r="C51" t="s">
        <v>2033</v>
      </c>
    </row>
    <row r="52" spans="1:3" ht="15" thickBot="1" x14ac:dyDescent="0.35">
      <c r="A52" s="3" t="s">
        <v>520</v>
      </c>
      <c r="B52" s="3" t="s">
        <v>2029</v>
      </c>
      <c r="C52" t="s">
        <v>2033</v>
      </c>
    </row>
    <row r="53" spans="1:3" ht="15" thickBot="1" x14ac:dyDescent="0.35">
      <c r="A53" s="3" t="s">
        <v>1793</v>
      </c>
      <c r="B53" s="3" t="s">
        <v>1959</v>
      </c>
      <c r="C53" t="s">
        <v>2033</v>
      </c>
    </row>
    <row r="54" spans="1:3" ht="15" thickBot="1" x14ac:dyDescent="0.35">
      <c r="A54" s="3" t="s">
        <v>550</v>
      </c>
      <c r="B54" s="3" t="s">
        <v>1869</v>
      </c>
      <c r="C54" t="s">
        <v>2033</v>
      </c>
    </row>
    <row r="55" spans="1:3" ht="15" thickBot="1" x14ac:dyDescent="0.35">
      <c r="A55" s="3" t="s">
        <v>1707</v>
      </c>
      <c r="B55" s="3" t="s">
        <v>1933</v>
      </c>
      <c r="C55" t="s">
        <v>2033</v>
      </c>
    </row>
    <row r="56" spans="1:3" ht="15" thickBot="1" x14ac:dyDescent="0.35">
      <c r="A56" s="3" t="s">
        <v>1077</v>
      </c>
      <c r="B56" s="3" t="s">
        <v>1905</v>
      </c>
      <c r="C56" t="s">
        <v>2033</v>
      </c>
    </row>
    <row r="57" spans="1:3" ht="15" thickBot="1" x14ac:dyDescent="0.35">
      <c r="A57" s="3" t="s">
        <v>934</v>
      </c>
      <c r="B57" s="3" t="s">
        <v>1960</v>
      </c>
      <c r="C57" t="s">
        <v>2033</v>
      </c>
    </row>
    <row r="58" spans="1:3" ht="15" thickBot="1" x14ac:dyDescent="0.35">
      <c r="A58" s="3" t="s">
        <v>552</v>
      </c>
      <c r="B58" s="3" t="s">
        <v>1906</v>
      </c>
      <c r="C58" t="s">
        <v>2033</v>
      </c>
    </row>
    <row r="59" spans="1:3" ht="15" thickBot="1" x14ac:dyDescent="0.35">
      <c r="A59" s="3" t="s">
        <v>647</v>
      </c>
      <c r="B59" s="3" t="s">
        <v>1870</v>
      </c>
      <c r="C59" t="s">
        <v>2033</v>
      </c>
    </row>
    <row r="60" spans="1:3" ht="15" thickBot="1" x14ac:dyDescent="0.35">
      <c r="A60" s="3" t="s">
        <v>1493</v>
      </c>
      <c r="B60" s="3" t="s">
        <v>2004</v>
      </c>
      <c r="C60" t="s">
        <v>2033</v>
      </c>
    </row>
    <row r="61" spans="1:3" ht="15" thickBot="1" x14ac:dyDescent="0.35">
      <c r="A61" s="3" t="s">
        <v>459</v>
      </c>
      <c r="B61" s="3" t="s">
        <v>1947</v>
      </c>
      <c r="C61" t="s">
        <v>2033</v>
      </c>
    </row>
    <row r="62" spans="1:3" ht="15" thickBot="1" x14ac:dyDescent="0.35">
      <c r="A62" s="3" t="s">
        <v>997</v>
      </c>
      <c r="B62" s="3" t="s">
        <v>1948</v>
      </c>
      <c r="C62" t="s">
        <v>2033</v>
      </c>
    </row>
    <row r="63" spans="1:3" ht="15" thickBot="1" x14ac:dyDescent="0.35">
      <c r="A63" s="3" t="s">
        <v>1767</v>
      </c>
      <c r="B63" s="3" t="s">
        <v>1907</v>
      </c>
      <c r="C63" t="s">
        <v>2033</v>
      </c>
    </row>
    <row r="64" spans="1:3" ht="15" thickBot="1" x14ac:dyDescent="0.35">
      <c r="A64" s="3" t="s">
        <v>810</v>
      </c>
      <c r="B64" s="3" t="s">
        <v>1961</v>
      </c>
      <c r="C64" t="s">
        <v>2033</v>
      </c>
    </row>
    <row r="65" spans="1:3" ht="15" thickBot="1" x14ac:dyDescent="0.35">
      <c r="A65" s="3" t="s">
        <v>584</v>
      </c>
      <c r="B65" s="3" t="s">
        <v>1854</v>
      </c>
      <c r="C65" t="s">
        <v>2033</v>
      </c>
    </row>
    <row r="66" spans="1:3" ht="15" thickBot="1" x14ac:dyDescent="0.35">
      <c r="A66" s="3" t="s">
        <v>62</v>
      </c>
      <c r="B66" s="3" t="s">
        <v>1908</v>
      </c>
      <c r="C66" t="s">
        <v>2033</v>
      </c>
    </row>
    <row r="67" spans="1:3" ht="15" thickBot="1" x14ac:dyDescent="0.35">
      <c r="A67" s="3" t="s">
        <v>1799</v>
      </c>
      <c r="B67" s="3" t="s">
        <v>1871</v>
      </c>
      <c r="C67" t="s">
        <v>2033</v>
      </c>
    </row>
    <row r="68" spans="1:3" ht="15" thickBot="1" x14ac:dyDescent="0.35">
      <c r="A68" s="3" t="s">
        <v>873</v>
      </c>
      <c r="B68" s="3" t="s">
        <v>1909</v>
      </c>
      <c r="C68" t="s">
        <v>2033</v>
      </c>
    </row>
    <row r="69" spans="1:3" ht="15" thickBot="1" x14ac:dyDescent="0.35">
      <c r="A69" s="3" t="s">
        <v>724</v>
      </c>
      <c r="B69" s="3" t="s">
        <v>1962</v>
      </c>
      <c r="C69" t="s">
        <v>2033</v>
      </c>
    </row>
    <row r="70" spans="1:3" ht="15" thickBot="1" x14ac:dyDescent="0.35">
      <c r="A70" s="3" t="s">
        <v>1015</v>
      </c>
      <c r="B70" s="3" t="s">
        <v>1855</v>
      </c>
      <c r="C70" t="s">
        <v>2033</v>
      </c>
    </row>
    <row r="71" spans="1:3" ht="15" thickBot="1" x14ac:dyDescent="0.35">
      <c r="A71" s="3" t="s">
        <v>948</v>
      </c>
      <c r="B71" s="3" t="s">
        <v>1991</v>
      </c>
      <c r="C71" t="s">
        <v>2033</v>
      </c>
    </row>
    <row r="72" spans="1:3" ht="15" thickBot="1" x14ac:dyDescent="0.35">
      <c r="A72" s="3" t="s">
        <v>939</v>
      </c>
      <c r="B72" s="3" t="s">
        <v>2005</v>
      </c>
      <c r="C72" t="s">
        <v>2033</v>
      </c>
    </row>
    <row r="73" spans="1:3" ht="15" thickBot="1" x14ac:dyDescent="0.35">
      <c r="A73" s="3" t="s">
        <v>1737</v>
      </c>
      <c r="B73" s="3" t="s">
        <v>1934</v>
      </c>
      <c r="C73" t="s">
        <v>2033</v>
      </c>
    </row>
    <row r="74" spans="1:3" ht="15" thickBot="1" x14ac:dyDescent="0.35">
      <c r="A74" s="3" t="s">
        <v>1709</v>
      </c>
      <c r="B74" s="3" t="s">
        <v>1935</v>
      </c>
      <c r="C74" t="s">
        <v>2033</v>
      </c>
    </row>
    <row r="75" spans="1:3" ht="15" thickBot="1" x14ac:dyDescent="0.35">
      <c r="A75" s="3" t="s">
        <v>882</v>
      </c>
      <c r="B75" s="3" t="s">
        <v>882</v>
      </c>
      <c r="C75" t="s">
        <v>2033</v>
      </c>
    </row>
    <row r="76" spans="1:3" ht="15" thickBot="1" x14ac:dyDescent="0.35">
      <c r="A76" s="3" t="s">
        <v>637</v>
      </c>
      <c r="B76" s="3" t="s">
        <v>1910</v>
      </c>
      <c r="C76" t="s">
        <v>2033</v>
      </c>
    </row>
    <row r="77" spans="1:3" ht="15" thickBot="1" x14ac:dyDescent="0.35">
      <c r="A77" s="3" t="s">
        <v>894</v>
      </c>
      <c r="B77" s="3" t="s">
        <v>1911</v>
      </c>
      <c r="C77" t="s">
        <v>2033</v>
      </c>
    </row>
    <row r="78" spans="1:3" ht="15" thickBot="1" x14ac:dyDescent="0.35">
      <c r="A78" s="3" t="s">
        <v>1056</v>
      </c>
      <c r="B78" s="3" t="s">
        <v>1963</v>
      </c>
      <c r="C78" t="s">
        <v>2033</v>
      </c>
    </row>
    <row r="79" spans="1:3" ht="15" thickBot="1" x14ac:dyDescent="0.35">
      <c r="A79" s="3" t="s">
        <v>529</v>
      </c>
      <c r="B79" s="3" t="s">
        <v>1964</v>
      </c>
      <c r="C79" t="s">
        <v>2033</v>
      </c>
    </row>
    <row r="80" spans="1:3" ht="15" thickBot="1" x14ac:dyDescent="0.35">
      <c r="A80" s="3" t="s">
        <v>395</v>
      </c>
      <c r="B80" s="3" t="s">
        <v>1965</v>
      </c>
      <c r="C80" t="s">
        <v>2033</v>
      </c>
    </row>
    <row r="81" spans="1:3" ht="15" thickBot="1" x14ac:dyDescent="0.35">
      <c r="A81" s="3" t="s">
        <v>1731</v>
      </c>
      <c r="B81" s="3" t="s">
        <v>1872</v>
      </c>
      <c r="C81" t="s">
        <v>2033</v>
      </c>
    </row>
    <row r="82" spans="1:3" ht="15" thickBot="1" x14ac:dyDescent="0.35">
      <c r="A82" s="3" t="s">
        <v>849</v>
      </c>
      <c r="B82" s="3" t="s">
        <v>1966</v>
      </c>
      <c r="C82" t="s">
        <v>2033</v>
      </c>
    </row>
    <row r="83" spans="1:3" ht="15" thickBot="1" x14ac:dyDescent="0.35">
      <c r="A83" s="3" t="s">
        <v>1729</v>
      </c>
      <c r="B83" s="3" t="s">
        <v>1873</v>
      </c>
      <c r="C83" t="s">
        <v>2033</v>
      </c>
    </row>
    <row r="84" spans="1:3" ht="15" thickBot="1" x14ac:dyDescent="0.35">
      <c r="A84" s="3" t="s">
        <v>1182</v>
      </c>
      <c r="B84" s="3" t="s">
        <v>1182</v>
      </c>
      <c r="C84" t="s">
        <v>2031</v>
      </c>
    </row>
    <row r="85" spans="1:3" ht="15" thickBot="1" x14ac:dyDescent="0.35">
      <c r="A85" s="3" t="s">
        <v>1115</v>
      </c>
      <c r="B85" s="3" t="s">
        <v>1967</v>
      </c>
      <c r="C85" t="s">
        <v>2033</v>
      </c>
    </row>
    <row r="86" spans="1:3" ht="15" thickBot="1" x14ac:dyDescent="0.35">
      <c r="A86" s="3" t="s">
        <v>522</v>
      </c>
      <c r="B86" s="3" t="s">
        <v>1968</v>
      </c>
      <c r="C86" t="s">
        <v>2033</v>
      </c>
    </row>
    <row r="87" spans="1:3" ht="15" thickBot="1" x14ac:dyDescent="0.35">
      <c r="A87" s="3" t="s">
        <v>54</v>
      </c>
      <c r="B87" s="3" t="s">
        <v>1992</v>
      </c>
      <c r="C87" t="s">
        <v>2033</v>
      </c>
    </row>
    <row r="88" spans="1:3" ht="15" thickBot="1" x14ac:dyDescent="0.35">
      <c r="A88" s="3" t="s">
        <v>554</v>
      </c>
      <c r="B88" s="3" t="s">
        <v>1874</v>
      </c>
      <c r="C88" t="s">
        <v>2032</v>
      </c>
    </row>
    <row r="89" spans="1:3" ht="15" thickBot="1" x14ac:dyDescent="0.35">
      <c r="A89" s="3" t="s">
        <v>121</v>
      </c>
      <c r="B89" s="3" t="s">
        <v>1969</v>
      </c>
      <c r="C89" t="s">
        <v>2033</v>
      </c>
    </row>
    <row r="90" spans="1:3" ht="15" thickBot="1" x14ac:dyDescent="0.35">
      <c r="A90" s="3" t="s">
        <v>1485</v>
      </c>
      <c r="B90" s="3" t="s">
        <v>2012</v>
      </c>
      <c r="C90" t="s">
        <v>2033</v>
      </c>
    </row>
    <row r="91" spans="1:3" ht="15" thickBot="1" x14ac:dyDescent="0.35">
      <c r="A91" s="3" t="s">
        <v>514</v>
      </c>
      <c r="B91" s="3" t="s">
        <v>1936</v>
      </c>
      <c r="C91" t="s">
        <v>2033</v>
      </c>
    </row>
    <row r="92" spans="1:3" ht="15" thickBot="1" x14ac:dyDescent="0.35">
      <c r="A92" s="3" t="s">
        <v>991</v>
      </c>
      <c r="B92" s="3" t="s">
        <v>1970</v>
      </c>
      <c r="C92" t="s">
        <v>2033</v>
      </c>
    </row>
    <row r="93" spans="1:3" ht="15" thickBot="1" x14ac:dyDescent="0.35">
      <c r="A93" s="3" t="s">
        <v>47</v>
      </c>
      <c r="B93" s="3" t="s">
        <v>1912</v>
      </c>
      <c r="C93" t="s">
        <v>2033</v>
      </c>
    </row>
    <row r="94" spans="1:3" ht="15" thickBot="1" x14ac:dyDescent="0.35">
      <c r="A94" s="3" t="s">
        <v>1072</v>
      </c>
      <c r="B94" s="3" t="s">
        <v>1971</v>
      </c>
      <c r="C94" t="s">
        <v>2033</v>
      </c>
    </row>
    <row r="95" spans="1:3" ht="15" thickBot="1" x14ac:dyDescent="0.35">
      <c r="A95" s="3" t="s">
        <v>1163</v>
      </c>
      <c r="B95" s="3" t="s">
        <v>1913</v>
      </c>
      <c r="C95" t="s">
        <v>2033</v>
      </c>
    </row>
    <row r="96" spans="1:3" ht="15" thickBot="1" x14ac:dyDescent="0.35">
      <c r="A96" s="3" t="s">
        <v>1079</v>
      </c>
      <c r="B96" s="3" t="s">
        <v>1875</v>
      </c>
      <c r="C96" t="s">
        <v>2033</v>
      </c>
    </row>
    <row r="97" spans="1:3" ht="15" thickBot="1" x14ac:dyDescent="0.35">
      <c r="A97" s="3" t="s">
        <v>1099</v>
      </c>
      <c r="B97" s="3" t="s">
        <v>1993</v>
      </c>
      <c r="C97" t="s">
        <v>2033</v>
      </c>
    </row>
    <row r="98" spans="1:3" ht="15" thickBot="1" x14ac:dyDescent="0.35">
      <c r="A98" s="3" t="s">
        <v>844</v>
      </c>
      <c r="B98" s="3" t="s">
        <v>1876</v>
      </c>
      <c r="C98" t="s">
        <v>2033</v>
      </c>
    </row>
    <row r="99" spans="1:3" ht="15" thickBot="1" x14ac:dyDescent="0.35">
      <c r="A99" s="3" t="s">
        <v>1174</v>
      </c>
      <c r="B99" s="3" t="s">
        <v>1877</v>
      </c>
      <c r="C99" t="s">
        <v>2033</v>
      </c>
    </row>
    <row r="100" spans="1:3" ht="15" thickBot="1" x14ac:dyDescent="0.35">
      <c r="A100" s="3" t="s">
        <v>731</v>
      </c>
      <c r="B100" s="3" t="s">
        <v>1914</v>
      </c>
      <c r="C100" t="s">
        <v>2033</v>
      </c>
    </row>
    <row r="101" spans="1:3" ht="15" thickBot="1" x14ac:dyDescent="0.35">
      <c r="A101" s="3" t="s">
        <v>390</v>
      </c>
      <c r="B101" s="3" t="s">
        <v>2006</v>
      </c>
      <c r="C101" t="s">
        <v>2033</v>
      </c>
    </row>
    <row r="102" spans="1:3" ht="15" thickBot="1" x14ac:dyDescent="0.35">
      <c r="A102" s="3" t="s">
        <v>1804</v>
      </c>
      <c r="B102" s="3" t="s">
        <v>2013</v>
      </c>
      <c r="C102" t="s">
        <v>2032</v>
      </c>
    </row>
    <row r="103" spans="1:3" ht="15" thickBot="1" x14ac:dyDescent="0.35">
      <c r="A103" s="3" t="s">
        <v>961</v>
      </c>
      <c r="B103" s="3" t="s">
        <v>2014</v>
      </c>
      <c r="C103" t="s">
        <v>2033</v>
      </c>
    </row>
    <row r="104" spans="1:3" ht="15" thickBot="1" x14ac:dyDescent="0.35">
      <c r="A104" s="3" t="s">
        <v>975</v>
      </c>
      <c r="B104" s="3" t="s">
        <v>1915</v>
      </c>
      <c r="C104" t="s">
        <v>2033</v>
      </c>
    </row>
    <row r="105" spans="1:3" ht="15" thickBot="1" x14ac:dyDescent="0.35">
      <c r="A105" s="3" t="s">
        <v>875</v>
      </c>
      <c r="B105" s="3" t="s">
        <v>1972</v>
      </c>
      <c r="C105" t="s">
        <v>2033</v>
      </c>
    </row>
    <row r="106" spans="1:3" ht="15" thickBot="1" x14ac:dyDescent="0.35">
      <c r="A106" s="3" t="s">
        <v>1719</v>
      </c>
      <c r="B106" s="3" t="s">
        <v>1856</v>
      </c>
      <c r="C106" t="s">
        <v>2033</v>
      </c>
    </row>
    <row r="107" spans="1:3" ht="15" thickBot="1" x14ac:dyDescent="0.35">
      <c r="A107" s="3" t="s">
        <v>1757</v>
      </c>
      <c r="B107" s="3" t="s">
        <v>1937</v>
      </c>
      <c r="C107" t="s">
        <v>2033</v>
      </c>
    </row>
    <row r="108" spans="1:3" ht="15" thickBot="1" x14ac:dyDescent="0.35">
      <c r="A108" s="3" t="s">
        <v>96</v>
      </c>
      <c r="B108" s="3" t="s">
        <v>1973</v>
      </c>
      <c r="C108" t="s">
        <v>2033</v>
      </c>
    </row>
    <row r="109" spans="1:3" ht="15" thickBot="1" x14ac:dyDescent="0.35">
      <c r="A109" s="3" t="s">
        <v>1838</v>
      </c>
      <c r="B109" s="3" t="s">
        <v>1878</v>
      </c>
      <c r="C109" t="s">
        <v>2033</v>
      </c>
    </row>
    <row r="110" spans="1:3" ht="15" thickBot="1" x14ac:dyDescent="0.35">
      <c r="A110" s="3" t="s">
        <v>172</v>
      </c>
      <c r="B110" s="3" t="s">
        <v>1879</v>
      </c>
      <c r="C110" t="s">
        <v>2033</v>
      </c>
    </row>
    <row r="111" spans="1:3" ht="15" thickBot="1" x14ac:dyDescent="0.35">
      <c r="A111" s="3" t="s">
        <v>1502</v>
      </c>
      <c r="B111" s="3" t="s">
        <v>2007</v>
      </c>
      <c r="C111" t="s">
        <v>2033</v>
      </c>
    </row>
    <row r="112" spans="1:3" ht="15" thickBot="1" x14ac:dyDescent="0.35">
      <c r="A112" s="3" t="s">
        <v>134</v>
      </c>
      <c r="B112" s="3" t="s">
        <v>1857</v>
      </c>
      <c r="C112" t="s">
        <v>2033</v>
      </c>
    </row>
    <row r="113" spans="1:3" ht="15" thickBot="1" x14ac:dyDescent="0.35">
      <c r="A113" s="3" t="s">
        <v>602</v>
      </c>
      <c r="B113" s="3" t="s">
        <v>1916</v>
      </c>
      <c r="C113" t="s">
        <v>2033</v>
      </c>
    </row>
    <row r="114" spans="1:3" ht="15" thickBot="1" x14ac:dyDescent="0.35">
      <c r="A114" s="3" t="s">
        <v>814</v>
      </c>
      <c r="B114" s="3" t="s">
        <v>1974</v>
      </c>
      <c r="C114" t="s">
        <v>2033</v>
      </c>
    </row>
    <row r="115" spans="1:3" ht="15" thickBot="1" x14ac:dyDescent="0.35">
      <c r="A115" s="3" t="s">
        <v>736</v>
      </c>
      <c r="B115" s="3" t="s">
        <v>1994</v>
      </c>
      <c r="C115" t="s">
        <v>2031</v>
      </c>
    </row>
    <row r="116" spans="1:3" ht="15" thickBot="1" x14ac:dyDescent="0.35">
      <c r="A116" s="3" t="s">
        <v>605</v>
      </c>
      <c r="B116" s="3" t="s">
        <v>2015</v>
      </c>
      <c r="C116" t="s">
        <v>2033</v>
      </c>
    </row>
    <row r="117" spans="1:3" ht="15" thickBot="1" x14ac:dyDescent="0.35">
      <c r="A117" s="3" t="s">
        <v>512</v>
      </c>
      <c r="B117" s="3" t="s">
        <v>2030</v>
      </c>
      <c r="C117" t="s">
        <v>2033</v>
      </c>
    </row>
    <row r="118" spans="1:3" ht="15" thickBot="1" x14ac:dyDescent="0.35">
      <c r="A118" s="3" t="s">
        <v>978</v>
      </c>
      <c r="B118" s="3" t="s">
        <v>1975</v>
      </c>
      <c r="C118" t="s">
        <v>2033</v>
      </c>
    </row>
    <row r="119" spans="1:3" ht="15" thickBot="1" x14ac:dyDescent="0.35">
      <c r="A119" s="3" t="s">
        <v>903</v>
      </c>
      <c r="B119" s="3" t="s">
        <v>1917</v>
      </c>
      <c r="C119" t="s">
        <v>2033</v>
      </c>
    </row>
    <row r="120" spans="1:3" ht="15" thickBot="1" x14ac:dyDescent="0.35">
      <c r="A120" s="3" t="s">
        <v>1705</v>
      </c>
      <c r="B120" s="3" t="s">
        <v>1938</v>
      </c>
      <c r="C120" t="s">
        <v>2033</v>
      </c>
    </row>
    <row r="121" spans="1:3" ht="15" thickBot="1" x14ac:dyDescent="0.35">
      <c r="A121" s="3" t="s">
        <v>1046</v>
      </c>
      <c r="B121" s="3" t="s">
        <v>1918</v>
      </c>
      <c r="C121" t="s">
        <v>2033</v>
      </c>
    </row>
    <row r="122" spans="1:3" ht="15" thickBot="1" x14ac:dyDescent="0.35">
      <c r="A122" s="3" t="s">
        <v>339</v>
      </c>
      <c r="B122" s="3" t="s">
        <v>1976</v>
      </c>
      <c r="C122" t="s">
        <v>2033</v>
      </c>
    </row>
    <row r="123" spans="1:3" ht="15" thickBot="1" x14ac:dyDescent="0.35">
      <c r="A123" s="3" t="s">
        <v>14</v>
      </c>
      <c r="B123" s="3" t="s">
        <v>2016</v>
      </c>
      <c r="C123" t="s">
        <v>2033</v>
      </c>
    </row>
    <row r="124" spans="1:3" ht="15" thickBot="1" x14ac:dyDescent="0.35">
      <c r="A124" s="3" t="s">
        <v>1787</v>
      </c>
      <c r="B124" s="3" t="s">
        <v>1939</v>
      </c>
      <c r="C124" t="s">
        <v>2033</v>
      </c>
    </row>
    <row r="125" spans="1:3" ht="15" thickBot="1" x14ac:dyDescent="0.35">
      <c r="A125" s="3" t="s">
        <v>950</v>
      </c>
      <c r="B125" s="3" t="s">
        <v>1858</v>
      </c>
      <c r="C125" t="s">
        <v>2033</v>
      </c>
    </row>
    <row r="126" spans="1:3" ht="15" thickBot="1" x14ac:dyDescent="0.35">
      <c r="A126" s="3" t="s">
        <v>816</v>
      </c>
      <c r="B126" s="3" t="s">
        <v>2017</v>
      </c>
      <c r="C126" t="s">
        <v>2033</v>
      </c>
    </row>
    <row r="127" spans="1:3" ht="15" thickBot="1" x14ac:dyDescent="0.35">
      <c r="A127" s="3" t="s">
        <v>1701</v>
      </c>
      <c r="B127" s="3" t="s">
        <v>1940</v>
      </c>
      <c r="C127" t="s">
        <v>2033</v>
      </c>
    </row>
    <row r="128" spans="1:3" ht="15" thickBot="1" x14ac:dyDescent="0.35">
      <c r="A128" s="3" t="s">
        <v>963</v>
      </c>
      <c r="B128" s="3" t="s">
        <v>1919</v>
      </c>
      <c r="C128" t="s">
        <v>2033</v>
      </c>
    </row>
    <row r="129" spans="1:3" ht="15" thickBot="1" x14ac:dyDescent="0.35">
      <c r="A129" s="3" t="s">
        <v>581</v>
      </c>
      <c r="B129" s="3" t="s">
        <v>1880</v>
      </c>
      <c r="C129" t="s">
        <v>2033</v>
      </c>
    </row>
    <row r="130" spans="1:3" ht="15" thickBot="1" x14ac:dyDescent="0.35">
      <c r="A130" s="3" t="s">
        <v>1831</v>
      </c>
      <c r="B130" s="3" t="s">
        <v>1881</v>
      </c>
      <c r="C130" t="s">
        <v>2033</v>
      </c>
    </row>
    <row r="131" spans="1:3" ht="15" thickBot="1" x14ac:dyDescent="0.35">
      <c r="A131" s="3" t="s">
        <v>435</v>
      </c>
      <c r="B131" s="3" t="s">
        <v>1859</v>
      </c>
      <c r="C131" t="s">
        <v>2031</v>
      </c>
    </row>
    <row r="132" spans="1:3" ht="15" thickBot="1" x14ac:dyDescent="0.35">
      <c r="A132" s="3" t="s">
        <v>1392</v>
      </c>
      <c r="B132" s="3" t="s">
        <v>1995</v>
      </c>
      <c r="C132" t="s">
        <v>2031</v>
      </c>
    </row>
    <row r="133" spans="1:3" ht="15" thickBot="1" x14ac:dyDescent="0.35">
      <c r="A133" s="3" t="s">
        <v>1093</v>
      </c>
      <c r="B133" s="3" t="s">
        <v>1941</v>
      </c>
      <c r="C133" t="s">
        <v>2033</v>
      </c>
    </row>
    <row r="134" spans="1:3" ht="15" thickBot="1" x14ac:dyDescent="0.35">
      <c r="A134" s="3" t="s">
        <v>31</v>
      </c>
      <c r="B134" s="3" t="s">
        <v>1882</v>
      </c>
      <c r="C134" t="s">
        <v>2033</v>
      </c>
    </row>
    <row r="135" spans="1:3" ht="15" thickBot="1" x14ac:dyDescent="0.35">
      <c r="A135" s="3" t="s">
        <v>1081</v>
      </c>
      <c r="B135" s="3" t="s">
        <v>2008</v>
      </c>
      <c r="C135" t="s">
        <v>2033</v>
      </c>
    </row>
    <row r="136" spans="1:3" ht="15" thickBot="1" x14ac:dyDescent="0.35">
      <c r="A136" s="3" t="s">
        <v>1048</v>
      </c>
      <c r="B136" s="3" t="s">
        <v>2001</v>
      </c>
      <c r="C136" t="s">
        <v>2033</v>
      </c>
    </row>
    <row r="137" spans="1:3" ht="15" thickBot="1" x14ac:dyDescent="0.35">
      <c r="A137" s="3" t="s">
        <v>587</v>
      </c>
      <c r="B137" s="3" t="s">
        <v>2018</v>
      </c>
      <c r="C137" t="s">
        <v>2033</v>
      </c>
    </row>
    <row r="138" spans="1:3" ht="15" thickBot="1" x14ac:dyDescent="0.35">
      <c r="A138" s="3" t="s">
        <v>669</v>
      </c>
      <c r="B138" s="3" t="s">
        <v>1977</v>
      </c>
      <c r="C138" t="s">
        <v>2033</v>
      </c>
    </row>
    <row r="139" spans="1:3" ht="15" thickBot="1" x14ac:dyDescent="0.35">
      <c r="A139" s="3" t="s">
        <v>786</v>
      </c>
      <c r="B139" s="3" t="s">
        <v>1883</v>
      </c>
      <c r="C139" t="s">
        <v>2033</v>
      </c>
    </row>
    <row r="140" spans="1:3" ht="15" thickBot="1" x14ac:dyDescent="0.35">
      <c r="A140" s="3" t="s">
        <v>906</v>
      </c>
      <c r="B140" s="3" t="s">
        <v>1920</v>
      </c>
      <c r="C140" t="s">
        <v>2033</v>
      </c>
    </row>
    <row r="141" spans="1:3" ht="15" thickBot="1" x14ac:dyDescent="0.35">
      <c r="A141" s="3" t="s">
        <v>793</v>
      </c>
      <c r="B141" s="3" t="s">
        <v>1978</v>
      </c>
      <c r="C141" t="s">
        <v>2033</v>
      </c>
    </row>
    <row r="142" spans="1:3" ht="15" thickBot="1" x14ac:dyDescent="0.35">
      <c r="A142" s="3" t="s">
        <v>235</v>
      </c>
      <c r="B142" s="3" t="s">
        <v>1949</v>
      </c>
      <c r="C142" t="s">
        <v>2033</v>
      </c>
    </row>
    <row r="143" spans="1:3" ht="15" thickBot="1" x14ac:dyDescent="0.35">
      <c r="A143" s="3" t="s">
        <v>71</v>
      </c>
      <c r="B143" s="3" t="s">
        <v>1979</v>
      </c>
      <c r="C143" t="s">
        <v>2033</v>
      </c>
    </row>
    <row r="144" spans="1:3" ht="15" thickBot="1" x14ac:dyDescent="0.35">
      <c r="A144" s="3" t="s">
        <v>1004</v>
      </c>
      <c r="B144" s="3" t="s">
        <v>2009</v>
      </c>
      <c r="C144" t="s">
        <v>2033</v>
      </c>
    </row>
    <row r="145" spans="1:3" ht="15" thickBot="1" x14ac:dyDescent="0.35">
      <c r="A145" s="3" t="s">
        <v>952</v>
      </c>
      <c r="B145" s="3" t="s">
        <v>1950</v>
      </c>
      <c r="C145" t="s">
        <v>2033</v>
      </c>
    </row>
    <row r="146" spans="1:3" ht="15" thickBot="1" x14ac:dyDescent="0.35">
      <c r="A146" s="3" t="s">
        <v>941</v>
      </c>
      <c r="B146" s="3" t="s">
        <v>1884</v>
      </c>
      <c r="C146" t="s">
        <v>2033</v>
      </c>
    </row>
    <row r="147" spans="1:3" ht="15" thickBot="1" x14ac:dyDescent="0.35">
      <c r="A147" s="3" t="s">
        <v>855</v>
      </c>
      <c r="B147" s="3" t="s">
        <v>1942</v>
      </c>
      <c r="C147" t="s">
        <v>2033</v>
      </c>
    </row>
    <row r="148" spans="1:3" ht="15" thickBot="1" x14ac:dyDescent="0.35">
      <c r="A148" s="3" t="s">
        <v>1773</v>
      </c>
      <c r="B148" s="3" t="s">
        <v>1885</v>
      </c>
      <c r="C148" t="s">
        <v>2033</v>
      </c>
    </row>
    <row r="149" spans="1:3" ht="15" thickBot="1" x14ac:dyDescent="0.35">
      <c r="A149" s="3" t="s">
        <v>919</v>
      </c>
      <c r="B149" s="3" t="s">
        <v>1943</v>
      </c>
      <c r="C149" t="s">
        <v>2032</v>
      </c>
    </row>
    <row r="150" spans="1:3" ht="15" thickBot="1" x14ac:dyDescent="0.35">
      <c r="A150" s="3" t="s">
        <v>101</v>
      </c>
      <c r="B150" s="3" t="s">
        <v>1951</v>
      </c>
      <c r="C150" t="s">
        <v>2033</v>
      </c>
    </row>
    <row r="151" spans="1:3" ht="15" thickBot="1" x14ac:dyDescent="0.35">
      <c r="A151" s="3" t="s">
        <v>495</v>
      </c>
      <c r="B151" s="3" t="s">
        <v>1952</v>
      </c>
      <c r="C151" t="s">
        <v>2033</v>
      </c>
    </row>
    <row r="152" spans="1:3" ht="15" thickBot="1" x14ac:dyDescent="0.35">
      <c r="A152" s="3" t="s">
        <v>1500</v>
      </c>
      <c r="B152" s="3" t="s">
        <v>1886</v>
      </c>
      <c r="C152" t="s">
        <v>2033</v>
      </c>
    </row>
    <row r="153" spans="1:3" ht="15" thickBot="1" x14ac:dyDescent="0.35">
      <c r="A153" s="3" t="s">
        <v>1765</v>
      </c>
      <c r="B153" s="3" t="s">
        <v>1944</v>
      </c>
      <c r="C153" t="s">
        <v>2033</v>
      </c>
    </row>
    <row r="154" spans="1:3" ht="15" thickBot="1" x14ac:dyDescent="0.35">
      <c r="A154" s="3" t="s">
        <v>392</v>
      </c>
      <c r="B154" s="3" t="s">
        <v>1980</v>
      </c>
      <c r="C154" t="s">
        <v>2033</v>
      </c>
    </row>
    <row r="155" spans="1:3" ht="15" thickBot="1" x14ac:dyDescent="0.35">
      <c r="A155" s="3" t="s">
        <v>270</v>
      </c>
      <c r="B155" s="3" t="s">
        <v>1981</v>
      </c>
      <c r="C155" t="s">
        <v>2033</v>
      </c>
    </row>
    <row r="156" spans="1:3" ht="15" thickBot="1" x14ac:dyDescent="0.35">
      <c r="A156" s="3" t="s">
        <v>830</v>
      </c>
      <c r="B156" s="3" t="s">
        <v>1887</v>
      </c>
      <c r="C156" t="s">
        <v>2033</v>
      </c>
    </row>
    <row r="157" spans="1:3" ht="15" thickBot="1" x14ac:dyDescent="0.35">
      <c r="A157" s="3" t="s">
        <v>1025</v>
      </c>
      <c r="B157" s="3" t="s">
        <v>1982</v>
      </c>
      <c r="C157" t="s">
        <v>2033</v>
      </c>
    </row>
    <row r="158" spans="1:3" ht="15" thickBot="1" x14ac:dyDescent="0.35">
      <c r="A158" s="3" t="s">
        <v>1711</v>
      </c>
      <c r="B158" s="3" t="s">
        <v>1996</v>
      </c>
      <c r="C158" t="s">
        <v>2033</v>
      </c>
    </row>
    <row r="159" spans="1:3" ht="15" thickBot="1" x14ac:dyDescent="0.35">
      <c r="A159" s="3" t="s">
        <v>1088</v>
      </c>
      <c r="B159" s="3" t="s">
        <v>1983</v>
      </c>
      <c r="C159" t="s">
        <v>2033</v>
      </c>
    </row>
    <row r="160" spans="1:3" ht="15" thickBot="1" x14ac:dyDescent="0.35">
      <c r="A160" s="3" t="s">
        <v>985</v>
      </c>
      <c r="B160" s="3" t="s">
        <v>1921</v>
      </c>
      <c r="C160" t="s">
        <v>2033</v>
      </c>
    </row>
    <row r="161" spans="1:3" ht="15" thickBot="1" x14ac:dyDescent="0.35">
      <c r="A161" s="3" t="s">
        <v>289</v>
      </c>
      <c r="B161" s="3" t="s">
        <v>1984</v>
      </c>
      <c r="C161" t="s">
        <v>2033</v>
      </c>
    </row>
    <row r="162" spans="1:3" ht="15" thickBot="1" x14ac:dyDescent="0.35">
      <c r="A162" s="3" t="s">
        <v>178</v>
      </c>
      <c r="B162" s="3" t="s">
        <v>1922</v>
      </c>
      <c r="C162" t="s">
        <v>2033</v>
      </c>
    </row>
    <row r="163" spans="1:3" ht="15" thickBot="1" x14ac:dyDescent="0.35">
      <c r="A163" s="3" t="s">
        <v>1018</v>
      </c>
      <c r="B163" s="3" t="s">
        <v>1985</v>
      </c>
      <c r="C163" t="s">
        <v>2033</v>
      </c>
    </row>
    <row r="164" spans="1:3" ht="15" thickBot="1" x14ac:dyDescent="0.35">
      <c r="A164" s="3" t="s">
        <v>1713</v>
      </c>
      <c r="B164" s="3" t="s">
        <v>1888</v>
      </c>
      <c r="C164" t="s">
        <v>2033</v>
      </c>
    </row>
    <row r="165" spans="1:3" ht="15" thickBot="1" x14ac:dyDescent="0.35">
      <c r="A165" s="3" t="s">
        <v>1775</v>
      </c>
      <c r="B165" s="3" t="s">
        <v>1860</v>
      </c>
      <c r="C165" t="s">
        <v>2033</v>
      </c>
    </row>
    <row r="166" spans="1:3" ht="15" thickBot="1" x14ac:dyDescent="0.35">
      <c r="A166" s="3" t="s">
        <v>833</v>
      </c>
      <c r="B166" s="3" t="s">
        <v>1923</v>
      </c>
      <c r="C166" t="s">
        <v>2033</v>
      </c>
    </row>
    <row r="167" spans="1:3" ht="15" thickBot="1" x14ac:dyDescent="0.35">
      <c r="A167" s="3" t="s">
        <v>1797</v>
      </c>
      <c r="B167" s="3" t="s">
        <v>1889</v>
      </c>
      <c r="C167" t="s">
        <v>2033</v>
      </c>
    </row>
    <row r="168" spans="1:3" ht="15" thickBot="1" x14ac:dyDescent="0.35">
      <c r="A168" s="3" t="s">
        <v>166</v>
      </c>
      <c r="B168" s="3" t="s">
        <v>1890</v>
      </c>
      <c r="C168" t="s">
        <v>2033</v>
      </c>
    </row>
    <row r="169" spans="1:3" ht="15" thickBot="1" x14ac:dyDescent="0.35">
      <c r="A169" s="3" t="s">
        <v>375</v>
      </c>
      <c r="B169" s="3" t="s">
        <v>1986</v>
      </c>
      <c r="C169" t="s">
        <v>2033</v>
      </c>
    </row>
    <row r="170" spans="1:3" ht="15" thickBot="1" x14ac:dyDescent="0.35">
      <c r="A170" s="3" t="s">
        <v>1818</v>
      </c>
      <c r="B170" s="3" t="s">
        <v>1891</v>
      </c>
      <c r="C170" t="s">
        <v>2033</v>
      </c>
    </row>
    <row r="171" spans="1:3" ht="15" thickBot="1" x14ac:dyDescent="0.35">
      <c r="A171" s="3" t="s">
        <v>639</v>
      </c>
      <c r="B171" s="3" t="s">
        <v>1861</v>
      </c>
      <c r="C171" t="s">
        <v>2033</v>
      </c>
    </row>
    <row r="172" spans="1:3" ht="15" thickBot="1" x14ac:dyDescent="0.35">
      <c r="A172" s="3" t="s">
        <v>1101</v>
      </c>
      <c r="B172" s="3" t="s">
        <v>2019</v>
      </c>
      <c r="C172" t="s">
        <v>2033</v>
      </c>
    </row>
    <row r="173" spans="1:3" ht="15" thickBot="1" x14ac:dyDescent="0.35">
      <c r="A173" s="3" t="s">
        <v>1507</v>
      </c>
      <c r="B173" s="3" t="s">
        <v>1507</v>
      </c>
      <c r="C173" t="s">
        <v>2031</v>
      </c>
    </row>
    <row r="174" spans="1:3" ht="15" thickBot="1" x14ac:dyDescent="0.35">
      <c r="A174" s="3" t="s">
        <v>1780</v>
      </c>
      <c r="B174" s="3" t="s">
        <v>2020</v>
      </c>
      <c r="C174" t="s">
        <v>2033</v>
      </c>
    </row>
    <row r="175" spans="1:3" ht="15" thickBot="1" x14ac:dyDescent="0.35">
      <c r="A175" s="3" t="s">
        <v>1795</v>
      </c>
      <c r="B175" s="3" t="s">
        <v>2021</v>
      </c>
      <c r="C175" t="s">
        <v>2033</v>
      </c>
    </row>
    <row r="176" spans="1:3" ht="15" thickBot="1" x14ac:dyDescent="0.35">
      <c r="A176" s="3" t="s">
        <v>383</v>
      </c>
      <c r="B176" s="3" t="s">
        <v>1924</v>
      </c>
      <c r="C176" t="s">
        <v>2033</v>
      </c>
    </row>
    <row r="177" spans="1:3" ht="15" thickBot="1" x14ac:dyDescent="0.35">
      <c r="A177" s="3" t="s">
        <v>653</v>
      </c>
      <c r="B177" s="3" t="s">
        <v>2022</v>
      </c>
      <c r="C177" t="s">
        <v>2033</v>
      </c>
    </row>
    <row r="178" spans="1:3" ht="15" thickBot="1" x14ac:dyDescent="0.35">
      <c r="A178" s="3" t="s">
        <v>1694</v>
      </c>
      <c r="B178" s="3" t="s">
        <v>1925</v>
      </c>
      <c r="C178" t="s">
        <v>2033</v>
      </c>
    </row>
    <row r="179" spans="1:3" ht="15" thickBot="1" x14ac:dyDescent="0.35">
      <c r="A179" s="3" t="s">
        <v>1721</v>
      </c>
      <c r="B179" s="3" t="s">
        <v>1892</v>
      </c>
      <c r="C179" t="s">
        <v>2033</v>
      </c>
    </row>
    <row r="180" spans="1:3" ht="15" thickBot="1" x14ac:dyDescent="0.35">
      <c r="A180" s="3" t="s">
        <v>1733</v>
      </c>
      <c r="B180" s="3" t="s">
        <v>1893</v>
      </c>
      <c r="C180" t="s">
        <v>2033</v>
      </c>
    </row>
    <row r="181" spans="1:3" ht="15" thickBot="1" x14ac:dyDescent="0.35">
      <c r="A181" s="3" t="s">
        <v>1703</v>
      </c>
      <c r="B181" s="3" t="s">
        <v>1894</v>
      </c>
      <c r="C181" t="s">
        <v>2033</v>
      </c>
    </row>
    <row r="182" spans="1:3" ht="15" thickBot="1" x14ac:dyDescent="0.35">
      <c r="A182" s="3" t="s">
        <v>1050</v>
      </c>
      <c r="B182" s="3" t="s">
        <v>1997</v>
      </c>
      <c r="C182" t="s">
        <v>2033</v>
      </c>
    </row>
  </sheetData>
  <sortState xmlns:xlrd2="http://schemas.microsoft.com/office/spreadsheetml/2017/richdata2" ref="A2:A182">
    <sortCondition ref="A1:A18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Folha1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Mendes, Rodrigo (Sao Paulo - BR)</cp:lastModifiedBy>
  <dcterms:created xsi:type="dcterms:W3CDTF">2026-06-29T12:22:27Z</dcterms:created>
  <dcterms:modified xsi:type="dcterms:W3CDTF">2026-06-29T12:42:39Z</dcterms:modified>
</cp:coreProperties>
</file>